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.Jestoni.Penaso\Desktop\"/>
    </mc:Choice>
  </mc:AlternateContent>
  <xr:revisionPtr revIDLastSave="0" documentId="13_ncr:1_{98E49C49-2A73-4CDD-B8C1-09CF2F545476}" xr6:coauthVersionLast="47" xr6:coauthVersionMax="47" xr10:uidLastSave="{00000000-0000-0000-0000-000000000000}"/>
  <bookViews>
    <workbookView xWindow="-108" yWindow="-108" windowWidth="23256" windowHeight="12576" activeTab="4" xr2:uid="{F136D7E6-EFF0-457C-B03D-0DC1ACB0AD8A}"/>
  </bookViews>
  <sheets>
    <sheet name="Variance Summary" sheetId="5" r:id="rId1"/>
    <sheet name="Checking(ZSERIALS)" sheetId="4" r:id="rId2"/>
    <sheet name="System(MB51)" sheetId="1" r:id="rId3"/>
    <sheet name="MLR" sheetId="3" r:id="rId4"/>
    <sheet name="Checking" sheetId="13" r:id="rId5"/>
    <sheet name="Set of Installation" sheetId="10" r:id="rId6"/>
    <sheet name="Cuttof Mapping" sheetId="6" r:id="rId7"/>
  </sheets>
  <definedNames>
    <definedName name="_xlnm._FilterDatabase" localSheetId="1" hidden="1">'Checking(ZSERIALS)'!$A$3:$BC$490</definedName>
    <definedName name="_xlnm._FilterDatabase" localSheetId="6" hidden="1">'Cuttof Mapping'!$A$1:$D$366</definedName>
    <definedName name="_xlnm._FilterDatabase" localSheetId="3" hidden="1">MLR!$A$3:$AK$455</definedName>
    <definedName name="_xlnm._FilterDatabase" localSheetId="2" hidden="1">'System(MB51)'!$A$1:$S$1700</definedName>
    <definedName name="_xlnm._FilterDatabase" localSheetId="0" hidden="1">'Variance Summary'!$B$4:$O$6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20" i="4" l="1"/>
  <c r="M106" i="4"/>
  <c r="S106" i="4" s="1"/>
  <c r="N106" i="4"/>
  <c r="T106" i="4" s="1"/>
  <c r="O106" i="4"/>
  <c r="U106" i="4" s="1"/>
  <c r="P106" i="4"/>
  <c r="Q106" i="4"/>
  <c r="R106" i="4"/>
  <c r="J5" i="13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2" i="1"/>
  <c r="B3" i="13"/>
  <c r="C5" i="13"/>
  <c r="C3" i="13" s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" i="3"/>
  <c r="Q2" i="1"/>
  <c r="H8" i="13"/>
  <c r="H6" i="13"/>
  <c r="H13" i="13"/>
  <c r="H12" i="13"/>
  <c r="H7" i="13"/>
  <c r="H11" i="13"/>
  <c r="H10" i="13"/>
  <c r="H9" i="13"/>
  <c r="H5" i="13"/>
  <c r="Q6" i="13" l="1"/>
  <c r="Q5" i="13"/>
  <c r="A2" i="13"/>
  <c r="H3" i="13"/>
  <c r="F2" i="13" s="1"/>
  <c r="Q3" i="13" l="1"/>
  <c r="Q2" i="13" s="1"/>
  <c r="A106" i="4" l="1"/>
  <c r="A455" i="3" l="1"/>
  <c r="C455" i="3"/>
  <c r="A454" i="3"/>
  <c r="C454" i="3"/>
  <c r="A453" i="3"/>
  <c r="C453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377" i="3" l="1"/>
  <c r="A378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232" i="3" l="1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201" i="3" l="1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A733" i="6"/>
  <c r="B733" i="6" s="1"/>
  <c r="C733" i="6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S5" i="13" l="1"/>
  <c r="S3" i="13" s="1"/>
  <c r="S2" i="13" s="1"/>
  <c r="W35" i="4"/>
  <c r="X35" i="4"/>
  <c r="Y35" i="4"/>
  <c r="Z35" i="4"/>
  <c r="AA35" i="4"/>
  <c r="AB35" i="4"/>
  <c r="AC35" i="4"/>
  <c r="AD35" i="4"/>
  <c r="AE35" i="4"/>
  <c r="AF35" i="4"/>
  <c r="W36" i="4"/>
  <c r="X36" i="4"/>
  <c r="Y36" i="4"/>
  <c r="Z36" i="4"/>
  <c r="AA36" i="4"/>
  <c r="AB36" i="4"/>
  <c r="AC36" i="4"/>
  <c r="AD36" i="4"/>
  <c r="AE36" i="4"/>
  <c r="AF36" i="4"/>
  <c r="W37" i="4"/>
  <c r="X37" i="4"/>
  <c r="Y37" i="4"/>
  <c r="Z37" i="4"/>
  <c r="AA37" i="4"/>
  <c r="AB37" i="4"/>
  <c r="AC37" i="4"/>
  <c r="AD37" i="4"/>
  <c r="AE37" i="4"/>
  <c r="AF37" i="4"/>
  <c r="W38" i="4"/>
  <c r="X38" i="4"/>
  <c r="Y38" i="4"/>
  <c r="Z38" i="4"/>
  <c r="AA38" i="4"/>
  <c r="AB38" i="4"/>
  <c r="AC38" i="4"/>
  <c r="AD38" i="4"/>
  <c r="AE38" i="4"/>
  <c r="AF38" i="4"/>
  <c r="W39" i="4"/>
  <c r="X39" i="4"/>
  <c r="Y39" i="4"/>
  <c r="Z39" i="4"/>
  <c r="AA39" i="4"/>
  <c r="AB39" i="4"/>
  <c r="AC39" i="4"/>
  <c r="AD39" i="4"/>
  <c r="AE39" i="4"/>
  <c r="AF39" i="4"/>
  <c r="W40" i="4"/>
  <c r="X40" i="4"/>
  <c r="Y40" i="4"/>
  <c r="Z40" i="4"/>
  <c r="AA40" i="4"/>
  <c r="AB40" i="4"/>
  <c r="AC40" i="4"/>
  <c r="AD40" i="4"/>
  <c r="AE40" i="4"/>
  <c r="AF40" i="4"/>
  <c r="W41" i="4"/>
  <c r="X41" i="4"/>
  <c r="Y41" i="4"/>
  <c r="Z41" i="4"/>
  <c r="AA41" i="4"/>
  <c r="AB41" i="4"/>
  <c r="AC41" i="4"/>
  <c r="AD41" i="4"/>
  <c r="AE41" i="4"/>
  <c r="AF41" i="4"/>
  <c r="W42" i="4"/>
  <c r="X42" i="4"/>
  <c r="Y42" i="4"/>
  <c r="Z42" i="4"/>
  <c r="AA42" i="4"/>
  <c r="AB42" i="4"/>
  <c r="AC42" i="4"/>
  <c r="AD42" i="4"/>
  <c r="AE42" i="4"/>
  <c r="AF42" i="4"/>
  <c r="W43" i="4"/>
  <c r="X43" i="4"/>
  <c r="Y43" i="4"/>
  <c r="Z43" i="4"/>
  <c r="AA43" i="4"/>
  <c r="AB43" i="4"/>
  <c r="AC43" i="4"/>
  <c r="AD43" i="4"/>
  <c r="AE43" i="4"/>
  <c r="AF43" i="4"/>
  <c r="W44" i="4"/>
  <c r="X44" i="4"/>
  <c r="Y44" i="4"/>
  <c r="Z44" i="4"/>
  <c r="AA44" i="4"/>
  <c r="AB44" i="4"/>
  <c r="AC44" i="4"/>
  <c r="AD44" i="4"/>
  <c r="AE44" i="4"/>
  <c r="AF44" i="4"/>
  <c r="W45" i="4"/>
  <c r="X45" i="4"/>
  <c r="Y45" i="4"/>
  <c r="Z45" i="4"/>
  <c r="AA45" i="4"/>
  <c r="AB45" i="4"/>
  <c r="AC45" i="4"/>
  <c r="AD45" i="4"/>
  <c r="AE45" i="4"/>
  <c r="AF45" i="4"/>
  <c r="W46" i="4"/>
  <c r="X46" i="4"/>
  <c r="Y46" i="4"/>
  <c r="Z46" i="4"/>
  <c r="AA46" i="4"/>
  <c r="AB46" i="4"/>
  <c r="AC46" i="4"/>
  <c r="AD46" i="4"/>
  <c r="AE46" i="4"/>
  <c r="AF46" i="4"/>
  <c r="W47" i="4"/>
  <c r="X47" i="4"/>
  <c r="Y47" i="4"/>
  <c r="Z47" i="4"/>
  <c r="AA47" i="4"/>
  <c r="AB47" i="4"/>
  <c r="AC47" i="4"/>
  <c r="AD47" i="4"/>
  <c r="AE47" i="4"/>
  <c r="AF47" i="4"/>
  <c r="W48" i="4"/>
  <c r="X48" i="4"/>
  <c r="Y48" i="4"/>
  <c r="Z48" i="4"/>
  <c r="AA48" i="4"/>
  <c r="AB48" i="4"/>
  <c r="AC48" i="4"/>
  <c r="AD48" i="4"/>
  <c r="AE48" i="4"/>
  <c r="AF48" i="4"/>
  <c r="W49" i="4"/>
  <c r="X49" i="4"/>
  <c r="Y49" i="4"/>
  <c r="Z49" i="4"/>
  <c r="AA49" i="4"/>
  <c r="AB49" i="4"/>
  <c r="AC49" i="4"/>
  <c r="AD49" i="4"/>
  <c r="AE49" i="4"/>
  <c r="AF49" i="4"/>
  <c r="W50" i="4"/>
  <c r="X50" i="4"/>
  <c r="Y50" i="4"/>
  <c r="Z50" i="4"/>
  <c r="AA50" i="4"/>
  <c r="AB50" i="4"/>
  <c r="AC50" i="4"/>
  <c r="AD50" i="4"/>
  <c r="AE50" i="4"/>
  <c r="AF50" i="4"/>
  <c r="W51" i="4"/>
  <c r="X51" i="4"/>
  <c r="Y51" i="4"/>
  <c r="Z51" i="4"/>
  <c r="AA51" i="4"/>
  <c r="AB51" i="4"/>
  <c r="AC51" i="4"/>
  <c r="AD51" i="4"/>
  <c r="AE51" i="4"/>
  <c r="AF51" i="4"/>
  <c r="W52" i="4"/>
  <c r="X52" i="4"/>
  <c r="Y52" i="4"/>
  <c r="Z52" i="4"/>
  <c r="AA52" i="4"/>
  <c r="AB52" i="4"/>
  <c r="AC52" i="4"/>
  <c r="AD52" i="4"/>
  <c r="AE52" i="4"/>
  <c r="AF52" i="4"/>
  <c r="W53" i="4"/>
  <c r="X53" i="4"/>
  <c r="Y53" i="4"/>
  <c r="Z53" i="4"/>
  <c r="AA53" i="4"/>
  <c r="AB53" i="4"/>
  <c r="AC53" i="4"/>
  <c r="AD53" i="4"/>
  <c r="AE53" i="4"/>
  <c r="AF53" i="4"/>
  <c r="W54" i="4"/>
  <c r="X54" i="4"/>
  <c r="Y54" i="4"/>
  <c r="Z54" i="4"/>
  <c r="AA54" i="4"/>
  <c r="AB54" i="4"/>
  <c r="AC54" i="4"/>
  <c r="AD54" i="4"/>
  <c r="AE54" i="4"/>
  <c r="AF54" i="4"/>
  <c r="W55" i="4"/>
  <c r="X55" i="4"/>
  <c r="Y55" i="4"/>
  <c r="Z55" i="4"/>
  <c r="AA55" i="4"/>
  <c r="AB55" i="4"/>
  <c r="AC55" i="4"/>
  <c r="AD55" i="4"/>
  <c r="AE55" i="4"/>
  <c r="AF55" i="4"/>
  <c r="W56" i="4"/>
  <c r="X56" i="4"/>
  <c r="Y56" i="4"/>
  <c r="Z56" i="4"/>
  <c r="AA56" i="4"/>
  <c r="AB56" i="4"/>
  <c r="AC56" i="4"/>
  <c r="AD56" i="4"/>
  <c r="AE56" i="4"/>
  <c r="AF56" i="4"/>
  <c r="W57" i="4"/>
  <c r="X57" i="4"/>
  <c r="Y57" i="4"/>
  <c r="Z57" i="4"/>
  <c r="AA57" i="4"/>
  <c r="AB57" i="4"/>
  <c r="AC57" i="4"/>
  <c r="AD57" i="4"/>
  <c r="AE57" i="4"/>
  <c r="AF57" i="4"/>
  <c r="W58" i="4"/>
  <c r="X58" i="4"/>
  <c r="Y58" i="4"/>
  <c r="Z58" i="4"/>
  <c r="AA58" i="4"/>
  <c r="AB58" i="4"/>
  <c r="AC58" i="4"/>
  <c r="AD58" i="4"/>
  <c r="AE58" i="4"/>
  <c r="AF58" i="4"/>
  <c r="W59" i="4"/>
  <c r="X59" i="4"/>
  <c r="Y59" i="4"/>
  <c r="Z59" i="4"/>
  <c r="AA59" i="4"/>
  <c r="AB59" i="4"/>
  <c r="AC59" i="4"/>
  <c r="AD59" i="4"/>
  <c r="AE59" i="4"/>
  <c r="AF59" i="4"/>
  <c r="W60" i="4"/>
  <c r="X60" i="4"/>
  <c r="Y60" i="4"/>
  <c r="Z60" i="4"/>
  <c r="AA60" i="4"/>
  <c r="AB60" i="4"/>
  <c r="AC60" i="4"/>
  <c r="AD60" i="4"/>
  <c r="AE60" i="4"/>
  <c r="AF60" i="4"/>
  <c r="W61" i="4"/>
  <c r="X61" i="4"/>
  <c r="Y61" i="4"/>
  <c r="Z61" i="4"/>
  <c r="AA61" i="4"/>
  <c r="AB61" i="4"/>
  <c r="AC61" i="4"/>
  <c r="AD61" i="4"/>
  <c r="AE61" i="4"/>
  <c r="AF61" i="4"/>
  <c r="W62" i="4"/>
  <c r="X62" i="4"/>
  <c r="Y62" i="4"/>
  <c r="Z62" i="4"/>
  <c r="AA62" i="4"/>
  <c r="AB62" i="4"/>
  <c r="AC62" i="4"/>
  <c r="AD62" i="4"/>
  <c r="AE62" i="4"/>
  <c r="AF62" i="4"/>
  <c r="W63" i="4"/>
  <c r="X63" i="4"/>
  <c r="Y63" i="4"/>
  <c r="Z63" i="4"/>
  <c r="AA63" i="4"/>
  <c r="AB63" i="4"/>
  <c r="AC63" i="4"/>
  <c r="AD63" i="4"/>
  <c r="AE63" i="4"/>
  <c r="AF63" i="4"/>
  <c r="W64" i="4"/>
  <c r="X64" i="4"/>
  <c r="Y64" i="4"/>
  <c r="Z64" i="4"/>
  <c r="AA64" i="4"/>
  <c r="AB64" i="4"/>
  <c r="AC64" i="4"/>
  <c r="AD64" i="4"/>
  <c r="AE64" i="4"/>
  <c r="AF64" i="4"/>
  <c r="W65" i="4"/>
  <c r="X65" i="4"/>
  <c r="Y65" i="4"/>
  <c r="Z65" i="4"/>
  <c r="AA65" i="4"/>
  <c r="AB65" i="4"/>
  <c r="AC65" i="4"/>
  <c r="AD65" i="4"/>
  <c r="AE65" i="4"/>
  <c r="AF65" i="4"/>
  <c r="W66" i="4"/>
  <c r="X66" i="4"/>
  <c r="Y66" i="4"/>
  <c r="Z66" i="4"/>
  <c r="AA66" i="4"/>
  <c r="AB66" i="4"/>
  <c r="AC66" i="4"/>
  <c r="AD66" i="4"/>
  <c r="AE66" i="4"/>
  <c r="AF66" i="4"/>
  <c r="W67" i="4"/>
  <c r="X67" i="4"/>
  <c r="Y67" i="4"/>
  <c r="Z67" i="4"/>
  <c r="AA67" i="4"/>
  <c r="AB67" i="4"/>
  <c r="AC67" i="4"/>
  <c r="AD67" i="4"/>
  <c r="AE67" i="4"/>
  <c r="AF67" i="4"/>
  <c r="W68" i="4"/>
  <c r="X68" i="4"/>
  <c r="Y68" i="4"/>
  <c r="Z68" i="4"/>
  <c r="AA68" i="4"/>
  <c r="AB68" i="4"/>
  <c r="AC68" i="4"/>
  <c r="AD68" i="4"/>
  <c r="AE68" i="4"/>
  <c r="AF68" i="4"/>
  <c r="W69" i="4"/>
  <c r="X69" i="4"/>
  <c r="Y69" i="4"/>
  <c r="Z69" i="4"/>
  <c r="AA69" i="4"/>
  <c r="AB69" i="4"/>
  <c r="AC69" i="4"/>
  <c r="AD69" i="4"/>
  <c r="AE69" i="4"/>
  <c r="AF69" i="4"/>
  <c r="BB69" i="4" s="1"/>
  <c r="W70" i="4"/>
  <c r="X70" i="4"/>
  <c r="Y70" i="4"/>
  <c r="Z70" i="4"/>
  <c r="AA70" i="4"/>
  <c r="AB70" i="4"/>
  <c r="AC70" i="4"/>
  <c r="AD70" i="4"/>
  <c r="AE70" i="4"/>
  <c r="AF70" i="4"/>
  <c r="W71" i="4"/>
  <c r="X71" i="4"/>
  <c r="Y71" i="4"/>
  <c r="Z71" i="4"/>
  <c r="AA71" i="4"/>
  <c r="AB71" i="4"/>
  <c r="AC71" i="4"/>
  <c r="AD71" i="4"/>
  <c r="AE71" i="4"/>
  <c r="AF71" i="4"/>
  <c r="W72" i="4"/>
  <c r="X72" i="4"/>
  <c r="Y72" i="4"/>
  <c r="Z72" i="4"/>
  <c r="AA72" i="4"/>
  <c r="AB72" i="4"/>
  <c r="AC72" i="4"/>
  <c r="AD72" i="4"/>
  <c r="AE72" i="4"/>
  <c r="AF72" i="4"/>
  <c r="W73" i="4"/>
  <c r="X73" i="4"/>
  <c r="Y73" i="4"/>
  <c r="Z73" i="4"/>
  <c r="AA73" i="4"/>
  <c r="AB73" i="4"/>
  <c r="AC73" i="4"/>
  <c r="AD73" i="4"/>
  <c r="AE73" i="4"/>
  <c r="AF73" i="4"/>
  <c r="W74" i="4"/>
  <c r="X74" i="4"/>
  <c r="Y74" i="4"/>
  <c r="Z74" i="4"/>
  <c r="AA74" i="4"/>
  <c r="AB74" i="4"/>
  <c r="AC74" i="4"/>
  <c r="AD74" i="4"/>
  <c r="AE74" i="4"/>
  <c r="AF74" i="4"/>
  <c r="W75" i="4"/>
  <c r="X75" i="4"/>
  <c r="Y75" i="4"/>
  <c r="Z75" i="4"/>
  <c r="AA75" i="4"/>
  <c r="AB75" i="4"/>
  <c r="AC75" i="4"/>
  <c r="AD75" i="4"/>
  <c r="AE75" i="4"/>
  <c r="AF75" i="4"/>
  <c r="W76" i="4"/>
  <c r="X76" i="4"/>
  <c r="Y76" i="4"/>
  <c r="Z76" i="4"/>
  <c r="AA76" i="4"/>
  <c r="AB76" i="4"/>
  <c r="AC76" i="4"/>
  <c r="AD76" i="4"/>
  <c r="AE76" i="4"/>
  <c r="AF76" i="4"/>
  <c r="W77" i="4"/>
  <c r="X77" i="4"/>
  <c r="Y77" i="4"/>
  <c r="Z77" i="4"/>
  <c r="AA77" i="4"/>
  <c r="AB77" i="4"/>
  <c r="AC77" i="4"/>
  <c r="AD77" i="4"/>
  <c r="AE77" i="4"/>
  <c r="AF77" i="4"/>
  <c r="W78" i="4"/>
  <c r="X78" i="4"/>
  <c r="Y78" i="4"/>
  <c r="Z78" i="4"/>
  <c r="AA78" i="4"/>
  <c r="AB78" i="4"/>
  <c r="AC78" i="4"/>
  <c r="AD78" i="4"/>
  <c r="AE78" i="4"/>
  <c r="AF78" i="4"/>
  <c r="W79" i="4"/>
  <c r="X79" i="4"/>
  <c r="Y79" i="4"/>
  <c r="Z79" i="4"/>
  <c r="AA79" i="4"/>
  <c r="AB79" i="4"/>
  <c r="AC79" i="4"/>
  <c r="AD79" i="4"/>
  <c r="AE79" i="4"/>
  <c r="AF79" i="4"/>
  <c r="W80" i="4"/>
  <c r="X80" i="4"/>
  <c r="Y80" i="4"/>
  <c r="Z80" i="4"/>
  <c r="AA80" i="4"/>
  <c r="AB80" i="4"/>
  <c r="AC80" i="4"/>
  <c r="AD80" i="4"/>
  <c r="AE80" i="4"/>
  <c r="AF80" i="4"/>
  <c r="W81" i="4"/>
  <c r="X81" i="4"/>
  <c r="Y81" i="4"/>
  <c r="Z81" i="4"/>
  <c r="AA81" i="4"/>
  <c r="AB81" i="4"/>
  <c r="AC81" i="4"/>
  <c r="AD81" i="4"/>
  <c r="AE81" i="4"/>
  <c r="AF81" i="4"/>
  <c r="W82" i="4"/>
  <c r="X82" i="4"/>
  <c r="Y82" i="4"/>
  <c r="Z82" i="4"/>
  <c r="AA82" i="4"/>
  <c r="AB82" i="4"/>
  <c r="AC82" i="4"/>
  <c r="AD82" i="4"/>
  <c r="AE82" i="4"/>
  <c r="AF82" i="4"/>
  <c r="W83" i="4"/>
  <c r="X83" i="4"/>
  <c r="Y83" i="4"/>
  <c r="Z83" i="4"/>
  <c r="AA83" i="4"/>
  <c r="AB83" i="4"/>
  <c r="AC83" i="4"/>
  <c r="AD83" i="4"/>
  <c r="AE83" i="4"/>
  <c r="AF83" i="4"/>
  <c r="W84" i="4"/>
  <c r="X84" i="4"/>
  <c r="Y84" i="4"/>
  <c r="Z84" i="4"/>
  <c r="AA84" i="4"/>
  <c r="AB84" i="4"/>
  <c r="AC84" i="4"/>
  <c r="AD84" i="4"/>
  <c r="AE84" i="4"/>
  <c r="AF84" i="4"/>
  <c r="W85" i="4"/>
  <c r="X85" i="4"/>
  <c r="Y85" i="4"/>
  <c r="Z85" i="4"/>
  <c r="AA85" i="4"/>
  <c r="AB85" i="4"/>
  <c r="AC85" i="4"/>
  <c r="AD85" i="4"/>
  <c r="AE85" i="4"/>
  <c r="AF85" i="4"/>
  <c r="W86" i="4"/>
  <c r="X86" i="4"/>
  <c r="Y86" i="4"/>
  <c r="Z86" i="4"/>
  <c r="AA86" i="4"/>
  <c r="AB86" i="4"/>
  <c r="AC86" i="4"/>
  <c r="AD86" i="4"/>
  <c r="AE86" i="4"/>
  <c r="AF86" i="4"/>
  <c r="W87" i="4"/>
  <c r="X87" i="4"/>
  <c r="Y87" i="4"/>
  <c r="Z87" i="4"/>
  <c r="AA87" i="4"/>
  <c r="AB87" i="4"/>
  <c r="AC87" i="4"/>
  <c r="AD87" i="4"/>
  <c r="AE87" i="4"/>
  <c r="AF87" i="4"/>
  <c r="W88" i="4"/>
  <c r="X88" i="4"/>
  <c r="Y88" i="4"/>
  <c r="Z88" i="4"/>
  <c r="AA88" i="4"/>
  <c r="AB88" i="4"/>
  <c r="AC88" i="4"/>
  <c r="AD88" i="4"/>
  <c r="AE88" i="4"/>
  <c r="AF88" i="4"/>
  <c r="W89" i="4"/>
  <c r="X89" i="4"/>
  <c r="Y89" i="4"/>
  <c r="Z89" i="4"/>
  <c r="AA89" i="4"/>
  <c r="AB89" i="4"/>
  <c r="AC89" i="4"/>
  <c r="AD89" i="4"/>
  <c r="AE89" i="4"/>
  <c r="AF89" i="4"/>
  <c r="W90" i="4"/>
  <c r="X90" i="4"/>
  <c r="Y90" i="4"/>
  <c r="Z90" i="4"/>
  <c r="AA90" i="4"/>
  <c r="AB90" i="4"/>
  <c r="AC90" i="4"/>
  <c r="AD90" i="4"/>
  <c r="AE90" i="4"/>
  <c r="AF90" i="4"/>
  <c r="W91" i="4"/>
  <c r="X91" i="4"/>
  <c r="Y91" i="4"/>
  <c r="Z91" i="4"/>
  <c r="AA91" i="4"/>
  <c r="AB91" i="4"/>
  <c r="AC91" i="4"/>
  <c r="AD91" i="4"/>
  <c r="AE91" i="4"/>
  <c r="AF91" i="4"/>
  <c r="W92" i="4"/>
  <c r="X92" i="4"/>
  <c r="Y92" i="4"/>
  <c r="Z92" i="4"/>
  <c r="AA92" i="4"/>
  <c r="AB92" i="4"/>
  <c r="AC92" i="4"/>
  <c r="AD92" i="4"/>
  <c r="AE92" i="4"/>
  <c r="AF92" i="4"/>
  <c r="W93" i="4"/>
  <c r="X93" i="4"/>
  <c r="Y93" i="4"/>
  <c r="Z93" i="4"/>
  <c r="AA93" i="4"/>
  <c r="AB93" i="4"/>
  <c r="AC93" i="4"/>
  <c r="AD93" i="4"/>
  <c r="AE93" i="4"/>
  <c r="AF93" i="4"/>
  <c r="W94" i="4"/>
  <c r="X94" i="4"/>
  <c r="Y94" i="4"/>
  <c r="Z94" i="4"/>
  <c r="AA94" i="4"/>
  <c r="AB94" i="4"/>
  <c r="AC94" i="4"/>
  <c r="AD94" i="4"/>
  <c r="AE94" i="4"/>
  <c r="AF94" i="4"/>
  <c r="W95" i="4"/>
  <c r="X95" i="4"/>
  <c r="Y95" i="4"/>
  <c r="Z95" i="4"/>
  <c r="AA95" i="4"/>
  <c r="AB95" i="4"/>
  <c r="AC95" i="4"/>
  <c r="AD95" i="4"/>
  <c r="AE95" i="4"/>
  <c r="AF95" i="4"/>
  <c r="W96" i="4"/>
  <c r="X96" i="4"/>
  <c r="Y96" i="4"/>
  <c r="Z96" i="4"/>
  <c r="AA96" i="4"/>
  <c r="AB96" i="4"/>
  <c r="AC96" i="4"/>
  <c r="AD96" i="4"/>
  <c r="AE96" i="4"/>
  <c r="AF96" i="4"/>
  <c r="W97" i="4"/>
  <c r="X97" i="4"/>
  <c r="Y97" i="4"/>
  <c r="Z97" i="4"/>
  <c r="AA97" i="4"/>
  <c r="AB97" i="4"/>
  <c r="AC97" i="4"/>
  <c r="AD97" i="4"/>
  <c r="AE97" i="4"/>
  <c r="AF97" i="4"/>
  <c r="W98" i="4"/>
  <c r="X98" i="4"/>
  <c r="Y98" i="4"/>
  <c r="Z98" i="4"/>
  <c r="AA98" i="4"/>
  <c r="AB98" i="4"/>
  <c r="AC98" i="4"/>
  <c r="AD98" i="4"/>
  <c r="AE98" i="4"/>
  <c r="AF98" i="4"/>
  <c r="W99" i="4"/>
  <c r="X99" i="4"/>
  <c r="Y99" i="4"/>
  <c r="Z99" i="4"/>
  <c r="AA99" i="4"/>
  <c r="AB99" i="4"/>
  <c r="AC99" i="4"/>
  <c r="AD99" i="4"/>
  <c r="AE99" i="4"/>
  <c r="AF99" i="4"/>
  <c r="W100" i="4"/>
  <c r="X100" i="4"/>
  <c r="Y100" i="4"/>
  <c r="Z100" i="4"/>
  <c r="AA100" i="4"/>
  <c r="AB100" i="4"/>
  <c r="AC100" i="4"/>
  <c r="AD100" i="4"/>
  <c r="AE100" i="4"/>
  <c r="AF100" i="4"/>
  <c r="W101" i="4"/>
  <c r="X101" i="4"/>
  <c r="Y101" i="4"/>
  <c r="Z101" i="4"/>
  <c r="AA101" i="4"/>
  <c r="AB101" i="4"/>
  <c r="AC101" i="4"/>
  <c r="AD101" i="4"/>
  <c r="AE101" i="4"/>
  <c r="AF101" i="4"/>
  <c r="W102" i="4"/>
  <c r="X102" i="4"/>
  <c r="Y102" i="4"/>
  <c r="Z102" i="4"/>
  <c r="AA102" i="4"/>
  <c r="AB102" i="4"/>
  <c r="AC102" i="4"/>
  <c r="AD102" i="4"/>
  <c r="AE102" i="4"/>
  <c r="AF102" i="4"/>
  <c r="W103" i="4"/>
  <c r="X103" i="4"/>
  <c r="Y103" i="4"/>
  <c r="Z103" i="4"/>
  <c r="AA103" i="4"/>
  <c r="AB103" i="4"/>
  <c r="AC103" i="4"/>
  <c r="AD103" i="4"/>
  <c r="AE103" i="4"/>
  <c r="AF103" i="4"/>
  <c r="W104" i="4"/>
  <c r="X104" i="4"/>
  <c r="Y104" i="4"/>
  <c r="Z104" i="4"/>
  <c r="AA104" i="4"/>
  <c r="AB104" i="4"/>
  <c r="AC104" i="4"/>
  <c r="AD104" i="4"/>
  <c r="AE104" i="4"/>
  <c r="AF104" i="4"/>
  <c r="W105" i="4"/>
  <c r="X105" i="4"/>
  <c r="Y105" i="4"/>
  <c r="Z105" i="4"/>
  <c r="AA105" i="4"/>
  <c r="AB105" i="4"/>
  <c r="AC105" i="4"/>
  <c r="AD105" i="4"/>
  <c r="AE105" i="4"/>
  <c r="AF105" i="4"/>
  <c r="W106" i="4"/>
  <c r="X106" i="4"/>
  <c r="Y106" i="4"/>
  <c r="Z106" i="4"/>
  <c r="AA106" i="4"/>
  <c r="AB106" i="4"/>
  <c r="AC106" i="4"/>
  <c r="AD106" i="4"/>
  <c r="AE106" i="4"/>
  <c r="AF106" i="4"/>
  <c r="M35" i="4"/>
  <c r="N35" i="4"/>
  <c r="O35" i="4"/>
  <c r="P35" i="4"/>
  <c r="Q35" i="4"/>
  <c r="R35" i="4"/>
  <c r="M36" i="4"/>
  <c r="S36" i="4" s="1"/>
  <c r="N36" i="4"/>
  <c r="O36" i="4"/>
  <c r="P36" i="4"/>
  <c r="Q36" i="4"/>
  <c r="R36" i="4"/>
  <c r="M37" i="4"/>
  <c r="N37" i="4"/>
  <c r="O37" i="4"/>
  <c r="P37" i="4"/>
  <c r="Q37" i="4"/>
  <c r="R37" i="4"/>
  <c r="M38" i="4"/>
  <c r="S38" i="4" s="1"/>
  <c r="N38" i="4"/>
  <c r="O38" i="4"/>
  <c r="P38" i="4"/>
  <c r="Q38" i="4"/>
  <c r="R38" i="4"/>
  <c r="M39" i="4"/>
  <c r="S39" i="4" s="1"/>
  <c r="N39" i="4"/>
  <c r="O39" i="4"/>
  <c r="P39" i="4"/>
  <c r="Q39" i="4"/>
  <c r="R39" i="4"/>
  <c r="M40" i="4"/>
  <c r="N40" i="4"/>
  <c r="O40" i="4"/>
  <c r="U40" i="4" s="1"/>
  <c r="P40" i="4"/>
  <c r="Q40" i="4"/>
  <c r="R40" i="4"/>
  <c r="M41" i="4"/>
  <c r="N41" i="4"/>
  <c r="O41" i="4"/>
  <c r="U41" i="4" s="1"/>
  <c r="P41" i="4"/>
  <c r="Q41" i="4"/>
  <c r="R41" i="4"/>
  <c r="M42" i="4"/>
  <c r="N42" i="4"/>
  <c r="O42" i="4"/>
  <c r="P42" i="4"/>
  <c r="Q42" i="4"/>
  <c r="R42" i="4"/>
  <c r="M43" i="4"/>
  <c r="N43" i="4"/>
  <c r="O43" i="4"/>
  <c r="P43" i="4"/>
  <c r="Q43" i="4"/>
  <c r="R43" i="4"/>
  <c r="M44" i="4"/>
  <c r="S44" i="4" s="1"/>
  <c r="N44" i="4"/>
  <c r="O44" i="4"/>
  <c r="P44" i="4"/>
  <c r="Q44" i="4"/>
  <c r="R44" i="4"/>
  <c r="M45" i="4"/>
  <c r="S45" i="4" s="1"/>
  <c r="N45" i="4"/>
  <c r="O45" i="4"/>
  <c r="P45" i="4"/>
  <c r="Q45" i="4"/>
  <c r="R45" i="4"/>
  <c r="M46" i="4"/>
  <c r="N46" i="4"/>
  <c r="O46" i="4"/>
  <c r="P46" i="4"/>
  <c r="Q46" i="4"/>
  <c r="R46" i="4"/>
  <c r="M47" i="4"/>
  <c r="N47" i="4"/>
  <c r="O47" i="4"/>
  <c r="U47" i="4" s="1"/>
  <c r="P47" i="4"/>
  <c r="Q47" i="4"/>
  <c r="R47" i="4"/>
  <c r="M48" i="4"/>
  <c r="N48" i="4"/>
  <c r="O48" i="4"/>
  <c r="P48" i="4"/>
  <c r="Q48" i="4"/>
  <c r="R48" i="4"/>
  <c r="M49" i="4"/>
  <c r="N49" i="4"/>
  <c r="O49" i="4"/>
  <c r="P49" i="4"/>
  <c r="Q49" i="4"/>
  <c r="R49" i="4"/>
  <c r="M50" i="4"/>
  <c r="N50" i="4"/>
  <c r="O50" i="4"/>
  <c r="P50" i="4"/>
  <c r="Q50" i="4"/>
  <c r="R50" i="4"/>
  <c r="M51" i="4"/>
  <c r="N51" i="4"/>
  <c r="O51" i="4"/>
  <c r="P51" i="4"/>
  <c r="Q51" i="4"/>
  <c r="R51" i="4"/>
  <c r="M52" i="4"/>
  <c r="N52" i="4"/>
  <c r="O52" i="4"/>
  <c r="U52" i="4" s="1"/>
  <c r="P52" i="4"/>
  <c r="Q52" i="4"/>
  <c r="R52" i="4"/>
  <c r="M53" i="4"/>
  <c r="S53" i="4" s="1"/>
  <c r="N53" i="4"/>
  <c r="O53" i="4"/>
  <c r="P53" i="4"/>
  <c r="Q53" i="4"/>
  <c r="R53" i="4"/>
  <c r="M54" i="4"/>
  <c r="N54" i="4"/>
  <c r="O54" i="4"/>
  <c r="P54" i="4"/>
  <c r="Q54" i="4"/>
  <c r="R54" i="4"/>
  <c r="M55" i="4"/>
  <c r="N55" i="4"/>
  <c r="O55" i="4"/>
  <c r="P55" i="4"/>
  <c r="Q55" i="4"/>
  <c r="R55" i="4"/>
  <c r="M56" i="4"/>
  <c r="S56" i="4" s="1"/>
  <c r="N56" i="4"/>
  <c r="O56" i="4"/>
  <c r="P56" i="4"/>
  <c r="Q56" i="4"/>
  <c r="R56" i="4"/>
  <c r="M57" i="4"/>
  <c r="S57" i="4" s="1"/>
  <c r="N57" i="4"/>
  <c r="O57" i="4"/>
  <c r="P57" i="4"/>
  <c r="Q57" i="4"/>
  <c r="R57" i="4"/>
  <c r="M58" i="4"/>
  <c r="N58" i="4"/>
  <c r="O58" i="4"/>
  <c r="P58" i="4"/>
  <c r="Q58" i="4"/>
  <c r="R58" i="4"/>
  <c r="M59" i="4"/>
  <c r="N59" i="4"/>
  <c r="T59" i="4" s="1"/>
  <c r="O59" i="4"/>
  <c r="U59" i="4" s="1"/>
  <c r="P59" i="4"/>
  <c r="Q59" i="4"/>
  <c r="R59" i="4"/>
  <c r="M60" i="4"/>
  <c r="S60" i="4" s="1"/>
  <c r="N60" i="4"/>
  <c r="T60" i="4" s="1"/>
  <c r="O60" i="4"/>
  <c r="P60" i="4"/>
  <c r="Q60" i="4"/>
  <c r="R60" i="4"/>
  <c r="M61" i="4"/>
  <c r="S61" i="4" s="1"/>
  <c r="N61" i="4"/>
  <c r="O61" i="4"/>
  <c r="U61" i="4" s="1"/>
  <c r="P61" i="4"/>
  <c r="Q61" i="4"/>
  <c r="R61" i="4"/>
  <c r="M62" i="4"/>
  <c r="N62" i="4"/>
  <c r="T62" i="4" s="1"/>
  <c r="O62" i="4"/>
  <c r="U62" i="4" s="1"/>
  <c r="P62" i="4"/>
  <c r="Q62" i="4"/>
  <c r="R62" i="4"/>
  <c r="M63" i="4"/>
  <c r="S63" i="4" s="1"/>
  <c r="N63" i="4"/>
  <c r="O63" i="4"/>
  <c r="U63" i="4" s="1"/>
  <c r="P63" i="4"/>
  <c r="Q63" i="4"/>
  <c r="R63" i="4"/>
  <c r="M64" i="4"/>
  <c r="S64" i="4" s="1"/>
  <c r="N64" i="4"/>
  <c r="O64" i="4"/>
  <c r="P64" i="4"/>
  <c r="Q64" i="4"/>
  <c r="R64" i="4"/>
  <c r="M65" i="4"/>
  <c r="N65" i="4"/>
  <c r="O65" i="4"/>
  <c r="P65" i="4"/>
  <c r="Q65" i="4"/>
  <c r="R65" i="4"/>
  <c r="M66" i="4"/>
  <c r="N66" i="4"/>
  <c r="O66" i="4"/>
  <c r="U66" i="4" s="1"/>
  <c r="P66" i="4"/>
  <c r="Q66" i="4"/>
  <c r="R66" i="4"/>
  <c r="M67" i="4"/>
  <c r="N67" i="4"/>
  <c r="O67" i="4"/>
  <c r="P67" i="4"/>
  <c r="Q67" i="4"/>
  <c r="R67" i="4"/>
  <c r="M68" i="4"/>
  <c r="N68" i="4"/>
  <c r="O68" i="4"/>
  <c r="P68" i="4"/>
  <c r="Q68" i="4"/>
  <c r="R68" i="4"/>
  <c r="M69" i="4"/>
  <c r="N69" i="4"/>
  <c r="O69" i="4"/>
  <c r="P69" i="4"/>
  <c r="Q69" i="4"/>
  <c r="R69" i="4"/>
  <c r="M70" i="4"/>
  <c r="N70" i="4"/>
  <c r="O70" i="4"/>
  <c r="P70" i="4"/>
  <c r="Q70" i="4"/>
  <c r="R70" i="4"/>
  <c r="M71" i="4"/>
  <c r="N71" i="4"/>
  <c r="O71" i="4"/>
  <c r="P71" i="4"/>
  <c r="Q71" i="4"/>
  <c r="R71" i="4"/>
  <c r="M72" i="4"/>
  <c r="N72" i="4"/>
  <c r="O72" i="4"/>
  <c r="P72" i="4"/>
  <c r="Q72" i="4"/>
  <c r="R72" i="4"/>
  <c r="M73" i="4"/>
  <c r="N73" i="4"/>
  <c r="O73" i="4"/>
  <c r="P73" i="4"/>
  <c r="Q73" i="4"/>
  <c r="R73" i="4"/>
  <c r="M74" i="4"/>
  <c r="N74" i="4"/>
  <c r="T74" i="4" s="1"/>
  <c r="O74" i="4"/>
  <c r="P74" i="4"/>
  <c r="Q74" i="4"/>
  <c r="R74" i="4"/>
  <c r="M75" i="4"/>
  <c r="S75" i="4" s="1"/>
  <c r="N75" i="4"/>
  <c r="O75" i="4"/>
  <c r="P75" i="4"/>
  <c r="Q75" i="4"/>
  <c r="R75" i="4"/>
  <c r="M76" i="4"/>
  <c r="N76" i="4"/>
  <c r="O76" i="4"/>
  <c r="P76" i="4"/>
  <c r="Q76" i="4"/>
  <c r="R76" i="4"/>
  <c r="M77" i="4"/>
  <c r="N77" i="4"/>
  <c r="O77" i="4"/>
  <c r="P77" i="4"/>
  <c r="Q77" i="4"/>
  <c r="R77" i="4"/>
  <c r="M78" i="4"/>
  <c r="S78" i="4" s="1"/>
  <c r="N78" i="4"/>
  <c r="O78" i="4"/>
  <c r="P78" i="4"/>
  <c r="Q78" i="4"/>
  <c r="R78" i="4"/>
  <c r="M79" i="4"/>
  <c r="S79" i="4" s="1"/>
  <c r="N79" i="4"/>
  <c r="O79" i="4"/>
  <c r="U79" i="4" s="1"/>
  <c r="P79" i="4"/>
  <c r="Q79" i="4"/>
  <c r="R79" i="4"/>
  <c r="M80" i="4"/>
  <c r="S80" i="4" s="1"/>
  <c r="N80" i="4"/>
  <c r="O80" i="4"/>
  <c r="P80" i="4"/>
  <c r="Q80" i="4"/>
  <c r="R80" i="4"/>
  <c r="M81" i="4"/>
  <c r="S81" i="4" s="1"/>
  <c r="N81" i="4"/>
  <c r="O81" i="4"/>
  <c r="P81" i="4"/>
  <c r="Q81" i="4"/>
  <c r="R81" i="4"/>
  <c r="M82" i="4"/>
  <c r="N82" i="4"/>
  <c r="O82" i="4"/>
  <c r="U82" i="4" s="1"/>
  <c r="P82" i="4"/>
  <c r="Q82" i="4"/>
  <c r="R82" i="4"/>
  <c r="M83" i="4"/>
  <c r="N83" i="4"/>
  <c r="O83" i="4"/>
  <c r="U83" i="4" s="1"/>
  <c r="P83" i="4"/>
  <c r="Q83" i="4"/>
  <c r="R83" i="4"/>
  <c r="M84" i="4"/>
  <c r="N84" i="4"/>
  <c r="O84" i="4"/>
  <c r="P84" i="4"/>
  <c r="Q84" i="4"/>
  <c r="R84" i="4"/>
  <c r="M85" i="4"/>
  <c r="N85" i="4"/>
  <c r="O85" i="4"/>
  <c r="P85" i="4"/>
  <c r="Q85" i="4"/>
  <c r="R85" i="4"/>
  <c r="M86" i="4"/>
  <c r="N86" i="4"/>
  <c r="O86" i="4"/>
  <c r="P86" i="4"/>
  <c r="Q86" i="4"/>
  <c r="R86" i="4"/>
  <c r="M87" i="4"/>
  <c r="N87" i="4"/>
  <c r="O87" i="4"/>
  <c r="P87" i="4"/>
  <c r="Q87" i="4"/>
  <c r="R87" i="4"/>
  <c r="M88" i="4"/>
  <c r="N88" i="4"/>
  <c r="O88" i="4"/>
  <c r="P88" i="4"/>
  <c r="Q88" i="4"/>
  <c r="R88" i="4"/>
  <c r="M89" i="4"/>
  <c r="N89" i="4"/>
  <c r="O89" i="4"/>
  <c r="P89" i="4"/>
  <c r="Q89" i="4"/>
  <c r="R89" i="4"/>
  <c r="M90" i="4"/>
  <c r="N90" i="4"/>
  <c r="O90" i="4"/>
  <c r="U90" i="4" s="1"/>
  <c r="P90" i="4"/>
  <c r="Q90" i="4"/>
  <c r="R90" i="4"/>
  <c r="M91" i="4"/>
  <c r="N91" i="4"/>
  <c r="O91" i="4"/>
  <c r="U91" i="4" s="1"/>
  <c r="P91" i="4"/>
  <c r="Q91" i="4"/>
  <c r="R91" i="4"/>
  <c r="M92" i="4"/>
  <c r="N92" i="4"/>
  <c r="O92" i="4"/>
  <c r="P92" i="4"/>
  <c r="Q92" i="4"/>
  <c r="R92" i="4"/>
  <c r="M93" i="4"/>
  <c r="N93" i="4"/>
  <c r="O93" i="4"/>
  <c r="P93" i="4"/>
  <c r="Q93" i="4"/>
  <c r="R93" i="4"/>
  <c r="M94" i="4"/>
  <c r="S94" i="4" s="1"/>
  <c r="N94" i="4"/>
  <c r="O94" i="4"/>
  <c r="P94" i="4"/>
  <c r="Q94" i="4"/>
  <c r="R94" i="4"/>
  <c r="M95" i="4"/>
  <c r="S95" i="4" s="1"/>
  <c r="N95" i="4"/>
  <c r="O95" i="4"/>
  <c r="P95" i="4"/>
  <c r="Q95" i="4"/>
  <c r="R95" i="4"/>
  <c r="M96" i="4"/>
  <c r="N96" i="4"/>
  <c r="O96" i="4"/>
  <c r="P96" i="4"/>
  <c r="Q96" i="4"/>
  <c r="R96" i="4"/>
  <c r="M97" i="4"/>
  <c r="S97" i="4" s="1"/>
  <c r="N97" i="4"/>
  <c r="O97" i="4"/>
  <c r="P97" i="4"/>
  <c r="Q97" i="4"/>
  <c r="R97" i="4"/>
  <c r="M98" i="4"/>
  <c r="N98" i="4"/>
  <c r="O98" i="4"/>
  <c r="U98" i="4" s="1"/>
  <c r="P98" i="4"/>
  <c r="Q98" i="4"/>
  <c r="R98" i="4"/>
  <c r="M99" i="4"/>
  <c r="N99" i="4"/>
  <c r="O99" i="4"/>
  <c r="U99" i="4" s="1"/>
  <c r="P99" i="4"/>
  <c r="Q99" i="4"/>
  <c r="R99" i="4"/>
  <c r="M100" i="4"/>
  <c r="N100" i="4"/>
  <c r="O100" i="4"/>
  <c r="P100" i="4"/>
  <c r="Q100" i="4"/>
  <c r="R100" i="4"/>
  <c r="M101" i="4"/>
  <c r="N101" i="4"/>
  <c r="O101" i="4"/>
  <c r="U101" i="4" s="1"/>
  <c r="P101" i="4"/>
  <c r="Q101" i="4"/>
  <c r="R101" i="4"/>
  <c r="M102" i="4"/>
  <c r="N102" i="4"/>
  <c r="O102" i="4"/>
  <c r="P102" i="4"/>
  <c r="Q102" i="4"/>
  <c r="R102" i="4"/>
  <c r="M103" i="4"/>
  <c r="N103" i="4"/>
  <c r="T103" i="4" s="1"/>
  <c r="O103" i="4"/>
  <c r="P103" i="4"/>
  <c r="Q103" i="4"/>
  <c r="R103" i="4"/>
  <c r="M104" i="4"/>
  <c r="S104" i="4" s="1"/>
  <c r="N104" i="4"/>
  <c r="T104" i="4" s="1"/>
  <c r="O104" i="4"/>
  <c r="P104" i="4"/>
  <c r="Q104" i="4"/>
  <c r="R104" i="4"/>
  <c r="M105" i="4"/>
  <c r="S105" i="4" s="1"/>
  <c r="N105" i="4"/>
  <c r="O105" i="4"/>
  <c r="P105" i="4"/>
  <c r="Q105" i="4"/>
  <c r="R105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W42" i="4" l="1"/>
  <c r="AW38" i="4"/>
  <c r="AV42" i="4"/>
  <c r="AV38" i="4"/>
  <c r="AZ40" i="4"/>
  <c r="AX36" i="4"/>
  <c r="AX38" i="4"/>
  <c r="AZ98" i="4"/>
  <c r="AX94" i="4"/>
  <c r="AZ52" i="4"/>
  <c r="AV43" i="4"/>
  <c r="AV39" i="4"/>
  <c r="AV36" i="4"/>
  <c r="AU43" i="4"/>
  <c r="AU39" i="4"/>
  <c r="AW36" i="4"/>
  <c r="AV37" i="4"/>
  <c r="AU37" i="4"/>
  <c r="AZ41" i="4"/>
  <c r="AW41" i="4"/>
  <c r="AW35" i="4"/>
  <c r="AU42" i="4"/>
  <c r="AU36" i="4"/>
  <c r="AW43" i="4"/>
  <c r="AW39" i="4"/>
  <c r="AW37" i="4"/>
  <c r="AW40" i="4"/>
  <c r="AV41" i="4"/>
  <c r="AV35" i="4"/>
  <c r="AU41" i="4"/>
  <c r="AU35" i="4"/>
  <c r="AZ99" i="4"/>
  <c r="AZ59" i="4"/>
  <c r="AV40" i="4"/>
  <c r="AU40" i="4"/>
  <c r="AX39" i="4"/>
  <c r="AU87" i="4"/>
  <c r="AU85" i="4"/>
  <c r="AU81" i="4"/>
  <c r="AU79" i="4"/>
  <c r="AU77" i="4"/>
  <c r="AU72" i="4"/>
  <c r="AU69" i="4"/>
  <c r="AU65" i="4"/>
  <c r="AY59" i="4"/>
  <c r="AW55" i="4"/>
  <c r="AW103" i="4"/>
  <c r="AW89" i="4"/>
  <c r="AW83" i="4"/>
  <c r="AW74" i="4"/>
  <c r="AW67" i="4"/>
  <c r="AW53" i="4"/>
  <c r="AW51" i="4"/>
  <c r="AW47" i="4"/>
  <c r="AV92" i="4"/>
  <c r="AV89" i="4"/>
  <c r="AV83" i="4"/>
  <c r="AV67" i="4"/>
  <c r="AV98" i="4"/>
  <c r="AV74" i="4"/>
  <c r="AX61" i="4"/>
  <c r="AU89" i="4"/>
  <c r="AU83" i="4"/>
  <c r="AU74" i="4"/>
  <c r="AU67" i="4"/>
  <c r="AV60" i="4"/>
  <c r="AV57" i="4"/>
  <c r="AW87" i="4"/>
  <c r="AU86" i="4"/>
  <c r="AW85" i="4"/>
  <c r="AU84" i="4"/>
  <c r="AW81" i="4"/>
  <c r="AU80" i="4"/>
  <c r="AW79" i="4"/>
  <c r="AU78" i="4"/>
  <c r="AW77" i="4"/>
  <c r="AU76" i="4"/>
  <c r="AU75" i="4"/>
  <c r="AW72" i="4"/>
  <c r="AU71" i="4"/>
  <c r="AW69" i="4"/>
  <c r="AU68" i="4"/>
  <c r="AW65" i="4"/>
  <c r="AW105" i="4"/>
  <c r="AV87" i="4"/>
  <c r="AV85" i="4"/>
  <c r="AV81" i="4"/>
  <c r="AV79" i="4"/>
  <c r="AV77" i="4"/>
  <c r="AV72" i="4"/>
  <c r="AV69" i="4"/>
  <c r="AV65" i="4"/>
  <c r="AX63" i="4"/>
  <c r="AZ61" i="4"/>
  <c r="AV96" i="4"/>
  <c r="AZ66" i="4"/>
  <c r="AV94" i="4"/>
  <c r="AZ82" i="4"/>
  <c r="AV86" i="4"/>
  <c r="AV84" i="4"/>
  <c r="AV80" i="4"/>
  <c r="AV78" i="4"/>
  <c r="AV76" i="4"/>
  <c r="AV75" i="4"/>
  <c r="AV71" i="4"/>
  <c r="AV68" i="4"/>
  <c r="AY62" i="4"/>
  <c r="AW56" i="4"/>
  <c r="AW99" i="4"/>
  <c r="AW93" i="4"/>
  <c r="AW91" i="4"/>
  <c r="AV90" i="4"/>
  <c r="AV59" i="4"/>
  <c r="AX104" i="4"/>
  <c r="AV102" i="4"/>
  <c r="AZ101" i="4"/>
  <c r="AW98" i="4"/>
  <c r="AW92" i="4"/>
  <c r="AZ90" i="4"/>
  <c r="AV64" i="4"/>
  <c r="AZ63" i="4"/>
  <c r="AU59" i="4"/>
  <c r="AV56" i="4"/>
  <c r="AX53" i="4"/>
  <c r="AV52" i="4"/>
  <c r="AV50" i="4"/>
  <c r="AV46" i="4"/>
  <c r="AX44" i="4"/>
  <c r="AW90" i="4"/>
  <c r="AU56" i="4"/>
  <c r="AX105" i="4"/>
  <c r="AV103" i="4"/>
  <c r="AV53" i="4"/>
  <c r="AV51" i="4"/>
  <c r="AV47" i="4"/>
  <c r="AU103" i="4"/>
  <c r="AV99" i="4"/>
  <c r="AV93" i="4"/>
  <c r="AV91" i="4"/>
  <c r="AZ79" i="4"/>
  <c r="AW62" i="4"/>
  <c r="AU53" i="4"/>
  <c r="AU51" i="4"/>
  <c r="AU47" i="4"/>
  <c r="AW106" i="4"/>
  <c r="AV100" i="4"/>
  <c r="AU99" i="4"/>
  <c r="AU93" i="4"/>
  <c r="AU91" i="4"/>
  <c r="AV58" i="4"/>
  <c r="AX56" i="4"/>
  <c r="AV54" i="4"/>
  <c r="AV48" i="4"/>
  <c r="AZ47" i="4"/>
  <c r="AV44" i="4"/>
  <c r="AU98" i="4"/>
  <c r="AU92" i="4"/>
  <c r="AW88" i="4"/>
  <c r="AW82" i="4"/>
  <c r="AW73" i="4"/>
  <c r="AW70" i="4"/>
  <c r="AW66" i="4"/>
  <c r="AW61" i="4"/>
  <c r="AU50" i="4"/>
  <c r="AU46" i="4"/>
  <c r="AU52" i="4"/>
  <c r="AU102" i="4"/>
  <c r="AU105" i="4"/>
  <c r="AY104" i="4"/>
  <c r="AW102" i="4"/>
  <c r="AV97" i="4"/>
  <c r="AV95" i="4"/>
  <c r="AZ83" i="4"/>
  <c r="AU63" i="4"/>
  <c r="AU55" i="4"/>
  <c r="AW52" i="4"/>
  <c r="AW50" i="4"/>
  <c r="AW46" i="4"/>
  <c r="AW104" i="4"/>
  <c r="AX97" i="4"/>
  <c r="AX95" i="4"/>
  <c r="AU90" i="4"/>
  <c r="AV88" i="4"/>
  <c r="AV82" i="4"/>
  <c r="AX80" i="4"/>
  <c r="AX78" i="4"/>
  <c r="AX75" i="4"/>
  <c r="AV73" i="4"/>
  <c r="AV70" i="4"/>
  <c r="AV66" i="4"/>
  <c r="AV61" i="4"/>
  <c r="AW58" i="4"/>
  <c r="AU57" i="4"/>
  <c r="AW54" i="4"/>
  <c r="AV104" i="4"/>
  <c r="AU88" i="4"/>
  <c r="AU82" i="4"/>
  <c r="AU66" i="4"/>
  <c r="AU73" i="4"/>
  <c r="AU70" i="4"/>
  <c r="AY60" i="4"/>
  <c r="AV106" i="4"/>
  <c r="AW101" i="4"/>
  <c r="AU100" i="4"/>
  <c r="AZ91" i="4"/>
  <c r="AX81" i="4"/>
  <c r="AX79" i="4"/>
  <c r="AW63" i="4"/>
  <c r="AX60" i="4"/>
  <c r="AW49" i="4"/>
  <c r="AU48" i="4"/>
  <c r="AW45" i="4"/>
  <c r="AU44" i="4"/>
  <c r="AW48" i="4"/>
  <c r="AW44" i="4"/>
  <c r="AW96" i="4"/>
  <c r="AW94" i="4"/>
  <c r="AU61" i="4"/>
  <c r="AU54" i="4"/>
  <c r="AW100" i="4"/>
  <c r="AU104" i="4"/>
  <c r="AU58" i="4"/>
  <c r="AU101" i="4"/>
  <c r="AW64" i="4"/>
  <c r="AU49" i="4"/>
  <c r="AU45" i="4"/>
  <c r="AY103" i="4"/>
  <c r="AU97" i="4"/>
  <c r="AU95" i="4"/>
  <c r="AY74" i="4"/>
  <c r="AW60" i="4"/>
  <c r="AW57" i="4"/>
  <c r="AU106" i="4"/>
  <c r="AV105" i="4"/>
  <c r="AV101" i="4"/>
  <c r="AW97" i="4"/>
  <c r="AU96" i="4"/>
  <c r="AW95" i="4"/>
  <c r="AU94" i="4"/>
  <c r="AW86" i="4"/>
  <c r="AW84" i="4"/>
  <c r="AW80" i="4"/>
  <c r="AW78" i="4"/>
  <c r="AW76" i="4"/>
  <c r="AW75" i="4"/>
  <c r="AW71" i="4"/>
  <c r="AW68" i="4"/>
  <c r="AX64" i="4"/>
  <c r="AV63" i="4"/>
  <c r="AZ62" i="4"/>
  <c r="AW59" i="4"/>
  <c r="AX57" i="4"/>
  <c r="AV49" i="4"/>
  <c r="AV45" i="4"/>
  <c r="AV55" i="4"/>
  <c r="AV62" i="4"/>
  <c r="AX45" i="4"/>
  <c r="AU64" i="4"/>
  <c r="AU62" i="4"/>
  <c r="AU60" i="4"/>
  <c r="AT105" i="4"/>
  <c r="U104" i="4"/>
  <c r="AZ104" i="4" s="1"/>
  <c r="AT104" i="4"/>
  <c r="AT103" i="4"/>
  <c r="S102" i="4"/>
  <c r="AX102" i="4" s="1"/>
  <c r="AR102" i="4"/>
  <c r="AT101" i="4"/>
  <c r="AP101" i="4"/>
  <c r="AT98" i="4"/>
  <c r="AP98" i="4"/>
  <c r="T97" i="4"/>
  <c r="AY97" i="4" s="1"/>
  <c r="AS97" i="4"/>
  <c r="AR96" i="4"/>
  <c r="T92" i="4"/>
  <c r="AY92" i="4" s="1"/>
  <c r="AS92" i="4"/>
  <c r="S89" i="4"/>
  <c r="AX89" i="4" s="1"/>
  <c r="AR89" i="4"/>
  <c r="U86" i="4"/>
  <c r="AZ86" i="4" s="1"/>
  <c r="AT86" i="4"/>
  <c r="U84" i="4"/>
  <c r="AZ84" i="4" s="1"/>
  <c r="AT84" i="4"/>
  <c r="T83" i="4"/>
  <c r="AY83" i="4" s="1"/>
  <c r="AS83" i="4"/>
  <c r="S82" i="4"/>
  <c r="AX82" i="4" s="1"/>
  <c r="AR82" i="4"/>
  <c r="AR75" i="4"/>
  <c r="AN75" i="4"/>
  <c r="T71" i="4"/>
  <c r="AY71" i="4" s="1"/>
  <c r="AS71" i="4"/>
  <c r="T68" i="4"/>
  <c r="AY68" i="4" s="1"/>
  <c r="AS68" i="4"/>
  <c r="S58" i="4"/>
  <c r="AX58" i="4" s="1"/>
  <c r="AR58" i="4"/>
  <c r="U54" i="4"/>
  <c r="AZ54" i="4" s="1"/>
  <c r="AT54" i="4"/>
  <c r="AT53" i="4"/>
  <c r="T52" i="4"/>
  <c r="AY52" i="4" s="1"/>
  <c r="AS52" i="4"/>
  <c r="T49" i="4"/>
  <c r="AY49" i="4" s="1"/>
  <c r="AS49" i="4"/>
  <c r="AT47" i="4"/>
  <c r="AP47" i="4"/>
  <c r="S46" i="4"/>
  <c r="AX46" i="4" s="1"/>
  <c r="AR46" i="4"/>
  <c r="T43" i="4"/>
  <c r="AY43" i="4" s="1"/>
  <c r="AS43" i="4"/>
  <c r="AU38" i="4"/>
  <c r="AK38" i="4"/>
  <c r="AR37" i="4"/>
  <c r="S37" i="4"/>
  <c r="AX37" i="4" s="1"/>
  <c r="AI106" i="4"/>
  <c r="AI105" i="4"/>
  <c r="AK104" i="4"/>
  <c r="AI102" i="4"/>
  <c r="AK101" i="4"/>
  <c r="AM100" i="4"/>
  <c r="AI98" i="4"/>
  <c r="AK97" i="4"/>
  <c r="AM96" i="4"/>
  <c r="AK95" i="4"/>
  <c r="AM94" i="4"/>
  <c r="AI92" i="4"/>
  <c r="AI90" i="4"/>
  <c r="AI88" i="4"/>
  <c r="AK87" i="4"/>
  <c r="AM86" i="4"/>
  <c r="AK85" i="4"/>
  <c r="AM84" i="4"/>
  <c r="AI82" i="4"/>
  <c r="AK81" i="4"/>
  <c r="AM80" i="4"/>
  <c r="AK79" i="4"/>
  <c r="AM78" i="4"/>
  <c r="AK77" i="4"/>
  <c r="AM76" i="4"/>
  <c r="AM75" i="4"/>
  <c r="AI73" i="4"/>
  <c r="AK72" i="4"/>
  <c r="AM71" i="4"/>
  <c r="AI70" i="4"/>
  <c r="AK69" i="4"/>
  <c r="AM68" i="4"/>
  <c r="AI66" i="4"/>
  <c r="AK65" i="4"/>
  <c r="AM64" i="4"/>
  <c r="AI62" i="4"/>
  <c r="AK61" i="4"/>
  <c r="AM60" i="4"/>
  <c r="AK58" i="4"/>
  <c r="AM57" i="4"/>
  <c r="AI55" i="4"/>
  <c r="AK54" i="4"/>
  <c r="AI52" i="4"/>
  <c r="AI50" i="4"/>
  <c r="AK49" i="4"/>
  <c r="AM48" i="4"/>
  <c r="AI46" i="4"/>
  <c r="AK45" i="4"/>
  <c r="AM44" i="4"/>
  <c r="T105" i="4"/>
  <c r="AY105" i="4" s="1"/>
  <c r="AS105" i="4"/>
  <c r="AS104" i="4"/>
  <c r="AO104" i="4"/>
  <c r="AS103" i="4"/>
  <c r="AO103" i="4"/>
  <c r="T101" i="4"/>
  <c r="AY101" i="4" s="1"/>
  <c r="AS101" i="4"/>
  <c r="AT99" i="4"/>
  <c r="AP99" i="4"/>
  <c r="T98" i="4"/>
  <c r="AY98" i="4" s="1"/>
  <c r="AS98" i="4"/>
  <c r="AR97" i="4"/>
  <c r="AN97" i="4"/>
  <c r="U93" i="4"/>
  <c r="AZ93" i="4" s="1"/>
  <c r="AT93" i="4"/>
  <c r="S92" i="4"/>
  <c r="AX92" i="4" s="1"/>
  <c r="AR92" i="4"/>
  <c r="AT90" i="4"/>
  <c r="AP90" i="4"/>
  <c r="T86" i="4"/>
  <c r="AY86" i="4" s="1"/>
  <c r="AS86" i="4"/>
  <c r="T84" i="4"/>
  <c r="AY84" i="4" s="1"/>
  <c r="AS84" i="4"/>
  <c r="S83" i="4"/>
  <c r="AX83" i="4" s="1"/>
  <c r="AR83" i="4"/>
  <c r="U72" i="4"/>
  <c r="AZ72" i="4" s="1"/>
  <c r="AT72" i="4"/>
  <c r="S71" i="4"/>
  <c r="AX71" i="4" s="1"/>
  <c r="AR71" i="4"/>
  <c r="U69" i="4"/>
  <c r="AZ69" i="4" s="1"/>
  <c r="AT69" i="4"/>
  <c r="S68" i="4"/>
  <c r="AX68" i="4" s="1"/>
  <c r="AR68" i="4"/>
  <c r="U64" i="4"/>
  <c r="AZ64" i="4" s="1"/>
  <c r="AT64" i="4"/>
  <c r="AT63" i="4"/>
  <c r="AP63" i="4"/>
  <c r="AT62" i="4"/>
  <c r="AP62" i="4"/>
  <c r="AT61" i="4"/>
  <c r="AP61" i="4"/>
  <c r="U60" i="4"/>
  <c r="AZ60" i="4" s="1"/>
  <c r="AT60" i="4"/>
  <c r="AT59" i="4"/>
  <c r="AP59" i="4"/>
  <c r="T54" i="4"/>
  <c r="AY54" i="4" s="1"/>
  <c r="AS54" i="4"/>
  <c r="T53" i="4"/>
  <c r="AY53" i="4" s="1"/>
  <c r="AS53" i="4"/>
  <c r="S52" i="4"/>
  <c r="AX52" i="4" s="1"/>
  <c r="AR52" i="4"/>
  <c r="U50" i="4"/>
  <c r="AZ50" i="4" s="1"/>
  <c r="AT50" i="4"/>
  <c r="S49" i="4"/>
  <c r="AX49" i="4" s="1"/>
  <c r="AR49" i="4"/>
  <c r="T47" i="4"/>
  <c r="AY47" i="4" s="1"/>
  <c r="AS47" i="4"/>
  <c r="S43" i="4"/>
  <c r="AX43" i="4" s="1"/>
  <c r="AR43" i="4"/>
  <c r="U38" i="4"/>
  <c r="AZ38" i="4" s="1"/>
  <c r="AT38" i="4"/>
  <c r="AH106" i="4"/>
  <c r="AH105" i="4"/>
  <c r="AJ104" i="4"/>
  <c r="AH102" i="4"/>
  <c r="AJ101" i="4"/>
  <c r="AL100" i="4"/>
  <c r="AH98" i="4"/>
  <c r="AJ97" i="4"/>
  <c r="AL96" i="4"/>
  <c r="AJ95" i="4"/>
  <c r="AL94" i="4"/>
  <c r="AH92" i="4"/>
  <c r="AH90" i="4"/>
  <c r="AH88" i="4"/>
  <c r="AJ87" i="4"/>
  <c r="AL86" i="4"/>
  <c r="AJ85" i="4"/>
  <c r="AL84" i="4"/>
  <c r="AH82" i="4"/>
  <c r="AJ81" i="4"/>
  <c r="AL80" i="4"/>
  <c r="AJ79" i="4"/>
  <c r="AL78" i="4"/>
  <c r="AJ77" i="4"/>
  <c r="AL76" i="4"/>
  <c r="AL75" i="4"/>
  <c r="AH73" i="4"/>
  <c r="AJ72" i="4"/>
  <c r="AL71" i="4"/>
  <c r="AH70" i="4"/>
  <c r="AJ69" i="4"/>
  <c r="AL68" i="4"/>
  <c r="AH66" i="4"/>
  <c r="AJ65" i="4"/>
  <c r="AL64" i="4"/>
  <c r="AH62" i="4"/>
  <c r="AJ61" i="4"/>
  <c r="AL60" i="4"/>
  <c r="AJ58" i="4"/>
  <c r="AL57" i="4"/>
  <c r="AH55" i="4"/>
  <c r="AJ54" i="4"/>
  <c r="AH46" i="4"/>
  <c r="AZ106" i="4"/>
  <c r="AT106" i="4"/>
  <c r="AR105" i="4"/>
  <c r="AN105" i="4"/>
  <c r="AR104" i="4"/>
  <c r="AN104" i="4"/>
  <c r="S103" i="4"/>
  <c r="AX103" i="4" s="1"/>
  <c r="AR103" i="4"/>
  <c r="S101" i="4"/>
  <c r="AX101" i="4" s="1"/>
  <c r="AR101" i="4"/>
  <c r="U100" i="4"/>
  <c r="AZ100" i="4" s="1"/>
  <c r="AT100" i="4"/>
  <c r="T99" i="4"/>
  <c r="AY99" i="4" s="1"/>
  <c r="AS99" i="4"/>
  <c r="S98" i="4"/>
  <c r="AX98" i="4" s="1"/>
  <c r="AR98" i="4"/>
  <c r="S96" i="4"/>
  <c r="AX96" i="4" s="1"/>
  <c r="T93" i="4"/>
  <c r="AY93" i="4" s="1"/>
  <c r="AS93" i="4"/>
  <c r="AT91" i="4"/>
  <c r="AP91" i="4"/>
  <c r="T90" i="4"/>
  <c r="AY90" i="4" s="1"/>
  <c r="AS90" i="4"/>
  <c r="U87" i="4"/>
  <c r="AZ87" i="4" s="1"/>
  <c r="AT87" i="4"/>
  <c r="S86" i="4"/>
  <c r="AX86" i="4" s="1"/>
  <c r="AR86" i="4"/>
  <c r="U85" i="4"/>
  <c r="AZ85" i="4" s="1"/>
  <c r="AT85" i="4"/>
  <c r="S84" i="4"/>
  <c r="AX84" i="4" s="1"/>
  <c r="AR84" i="4"/>
  <c r="U78" i="4"/>
  <c r="AZ78" i="4" s="1"/>
  <c r="AT78" i="4"/>
  <c r="U76" i="4"/>
  <c r="AZ76" i="4" s="1"/>
  <c r="AT76" i="4"/>
  <c r="T72" i="4"/>
  <c r="AY72" i="4" s="1"/>
  <c r="AS72" i="4"/>
  <c r="T69" i="4"/>
  <c r="AY69" i="4" s="1"/>
  <c r="AS69" i="4"/>
  <c r="U65" i="4"/>
  <c r="AZ65" i="4" s="1"/>
  <c r="AT65" i="4"/>
  <c r="T64" i="4"/>
  <c r="AY64" i="4" s="1"/>
  <c r="AS64" i="4"/>
  <c r="T63" i="4"/>
  <c r="AY63" i="4" s="1"/>
  <c r="AS63" i="4"/>
  <c r="AS62" i="4"/>
  <c r="AO62" i="4"/>
  <c r="T61" i="4"/>
  <c r="AY61" i="4" s="1"/>
  <c r="AS61" i="4"/>
  <c r="AS60" i="4"/>
  <c r="AO60" i="4"/>
  <c r="AS59" i="4"/>
  <c r="AO59" i="4"/>
  <c r="U55" i="4"/>
  <c r="AZ55" i="4" s="1"/>
  <c r="AT55" i="4"/>
  <c r="S54" i="4"/>
  <c r="AX54" i="4" s="1"/>
  <c r="AR54" i="4"/>
  <c r="AR53" i="4"/>
  <c r="AN53" i="4"/>
  <c r="T50" i="4"/>
  <c r="AY50" i="4" s="1"/>
  <c r="AS50" i="4"/>
  <c r="S47" i="4"/>
  <c r="AX47" i="4" s="1"/>
  <c r="AR47" i="4"/>
  <c r="U39" i="4"/>
  <c r="AZ39" i="4" s="1"/>
  <c r="AT39" i="4"/>
  <c r="T38" i="4"/>
  <c r="AY38" i="4" s="1"/>
  <c r="AS38" i="4"/>
  <c r="AI97" i="4"/>
  <c r="AK71" i="4"/>
  <c r="AK64" i="4"/>
  <c r="AY106" i="4"/>
  <c r="AS106" i="4"/>
  <c r="U105" i="4"/>
  <c r="AZ105" i="4" s="1"/>
  <c r="U103" i="4"/>
  <c r="AZ103" i="4" s="1"/>
  <c r="T100" i="4"/>
  <c r="AY100" i="4" s="1"/>
  <c r="AS100" i="4"/>
  <c r="S99" i="4"/>
  <c r="AX99" i="4" s="1"/>
  <c r="AR99" i="4"/>
  <c r="U94" i="4"/>
  <c r="AZ94" i="4" s="1"/>
  <c r="AT94" i="4"/>
  <c r="S93" i="4"/>
  <c r="AX93" i="4" s="1"/>
  <c r="AR93" i="4"/>
  <c r="T91" i="4"/>
  <c r="AY91" i="4" s="1"/>
  <c r="AS91" i="4"/>
  <c r="S90" i="4"/>
  <c r="AX90" i="4" s="1"/>
  <c r="AR90" i="4"/>
  <c r="T87" i="4"/>
  <c r="AY87" i="4" s="1"/>
  <c r="AS87" i="4"/>
  <c r="T85" i="4"/>
  <c r="AY85" i="4" s="1"/>
  <c r="AS85" i="4"/>
  <c r="AT79" i="4"/>
  <c r="AP79" i="4"/>
  <c r="T78" i="4"/>
  <c r="AY78" i="4" s="1"/>
  <c r="AS78" i="4"/>
  <c r="T76" i="4"/>
  <c r="AY76" i="4" s="1"/>
  <c r="AS76" i="4"/>
  <c r="U73" i="4"/>
  <c r="AZ73" i="4" s="1"/>
  <c r="AT73" i="4"/>
  <c r="S72" i="4"/>
  <c r="AX72" i="4" s="1"/>
  <c r="AR72" i="4"/>
  <c r="U70" i="4"/>
  <c r="AZ70" i="4" s="1"/>
  <c r="AT70" i="4"/>
  <c r="S69" i="4"/>
  <c r="AX69" i="4" s="1"/>
  <c r="AR69" i="4"/>
  <c r="T65" i="4"/>
  <c r="AY65" i="4" s="1"/>
  <c r="AS65" i="4"/>
  <c r="AR64" i="4"/>
  <c r="AN64" i="4"/>
  <c r="AR63" i="4"/>
  <c r="AN63" i="4"/>
  <c r="S62" i="4"/>
  <c r="AX62" i="4" s="1"/>
  <c r="AR62" i="4"/>
  <c r="AR61" i="4"/>
  <c r="AN61" i="4"/>
  <c r="AR60" i="4"/>
  <c r="AN60" i="4"/>
  <c r="S59" i="4"/>
  <c r="AX59" i="4" s="1"/>
  <c r="AR59" i="4"/>
  <c r="T55" i="4"/>
  <c r="AY55" i="4" s="1"/>
  <c r="AS55" i="4"/>
  <c r="U53" i="4"/>
  <c r="AZ53" i="4" s="1"/>
  <c r="U51" i="4"/>
  <c r="AZ51" i="4" s="1"/>
  <c r="AT51" i="4"/>
  <c r="S50" i="4"/>
  <c r="AX50" i="4" s="1"/>
  <c r="AR50" i="4"/>
  <c r="AT40" i="4"/>
  <c r="AP40" i="4"/>
  <c r="T39" i="4"/>
  <c r="AY39" i="4" s="1"/>
  <c r="AS39" i="4"/>
  <c r="U35" i="4"/>
  <c r="AZ35" i="4" s="1"/>
  <c r="AT35" i="4"/>
  <c r="AH104" i="4"/>
  <c r="AL103" i="4"/>
  <c r="AH101" i="4"/>
  <c r="AJ100" i="4"/>
  <c r="AL99" i="4"/>
  <c r="AH97" i="4"/>
  <c r="AJ96" i="4"/>
  <c r="AH95" i="4"/>
  <c r="AJ94" i="4"/>
  <c r="AL93" i="4"/>
  <c r="AL91" i="4"/>
  <c r="AL89" i="4"/>
  <c r="AH87" i="4"/>
  <c r="AJ86" i="4"/>
  <c r="AH85" i="4"/>
  <c r="AJ84" i="4"/>
  <c r="AL83" i="4"/>
  <c r="AH81" i="4"/>
  <c r="AJ80" i="4"/>
  <c r="AH79" i="4"/>
  <c r="AJ78" i="4"/>
  <c r="AH77" i="4"/>
  <c r="AJ76" i="4"/>
  <c r="AJ75" i="4"/>
  <c r="AL74" i="4"/>
  <c r="AH72" i="4"/>
  <c r="AJ71" i="4"/>
  <c r="AH69" i="4"/>
  <c r="AJ68" i="4"/>
  <c r="AL67" i="4"/>
  <c r="AH65" i="4"/>
  <c r="AJ64" i="4"/>
  <c r="AL63" i="4"/>
  <c r="AH61" i="4"/>
  <c r="AJ60" i="4"/>
  <c r="AL59" i="4"/>
  <c r="AH58" i="4"/>
  <c r="AJ57" i="4"/>
  <c r="AL56" i="4"/>
  <c r="AH54" i="4"/>
  <c r="AL53" i="4"/>
  <c r="AL51" i="4"/>
  <c r="AH49" i="4"/>
  <c r="AJ48" i="4"/>
  <c r="AL47" i="4"/>
  <c r="AH45" i="4"/>
  <c r="AJ44" i="4"/>
  <c r="AX106" i="4"/>
  <c r="AR106" i="4"/>
  <c r="S100" i="4"/>
  <c r="AX100" i="4" s="1"/>
  <c r="AR100" i="4"/>
  <c r="AT95" i="4"/>
  <c r="T94" i="4"/>
  <c r="AY94" i="4" s="1"/>
  <c r="AS94" i="4"/>
  <c r="S91" i="4"/>
  <c r="AX91" i="4" s="1"/>
  <c r="AR91" i="4"/>
  <c r="U88" i="4"/>
  <c r="AZ88" i="4" s="1"/>
  <c r="AT88" i="4"/>
  <c r="S87" i="4"/>
  <c r="AX87" i="4" s="1"/>
  <c r="AR87" i="4"/>
  <c r="S85" i="4"/>
  <c r="AX85" i="4" s="1"/>
  <c r="AR85" i="4"/>
  <c r="U80" i="4"/>
  <c r="AZ80" i="4" s="1"/>
  <c r="AT80" i="4"/>
  <c r="T79" i="4"/>
  <c r="AY79" i="4" s="1"/>
  <c r="AS79" i="4"/>
  <c r="AR78" i="4"/>
  <c r="AN78" i="4"/>
  <c r="U77" i="4"/>
  <c r="AZ77" i="4" s="1"/>
  <c r="AT77" i="4"/>
  <c r="S76" i="4"/>
  <c r="AX76" i="4" s="1"/>
  <c r="AR76" i="4"/>
  <c r="T73" i="4"/>
  <c r="AY73" i="4" s="1"/>
  <c r="AS73" i="4"/>
  <c r="T70" i="4"/>
  <c r="AY70" i="4" s="1"/>
  <c r="AS70" i="4"/>
  <c r="AT66" i="4"/>
  <c r="AP66" i="4"/>
  <c r="S65" i="4"/>
  <c r="AX65" i="4" s="1"/>
  <c r="AR65" i="4"/>
  <c r="U56" i="4"/>
  <c r="AZ56" i="4" s="1"/>
  <c r="AT56" i="4"/>
  <c r="S55" i="4"/>
  <c r="AX55" i="4" s="1"/>
  <c r="AR55" i="4"/>
  <c r="T51" i="4"/>
  <c r="AY51" i="4" s="1"/>
  <c r="AS51" i="4"/>
  <c r="U44" i="4"/>
  <c r="AZ44" i="4" s="1"/>
  <c r="AT44" i="4"/>
  <c r="AT41" i="4"/>
  <c r="AP41" i="4"/>
  <c r="T40" i="4"/>
  <c r="AY40" i="4" s="1"/>
  <c r="AS40" i="4"/>
  <c r="AR39" i="4"/>
  <c r="AN39" i="4"/>
  <c r="T35" i="4"/>
  <c r="AY35" i="4" s="1"/>
  <c r="AS35" i="4"/>
  <c r="AM70" i="4"/>
  <c r="AK56" i="4"/>
  <c r="T95" i="4"/>
  <c r="AY95" i="4" s="1"/>
  <c r="AS95" i="4"/>
  <c r="AR94" i="4"/>
  <c r="AN94" i="4"/>
  <c r="T88" i="4"/>
  <c r="AY88" i="4" s="1"/>
  <c r="AS88" i="4"/>
  <c r="U81" i="4"/>
  <c r="AZ81" i="4" s="1"/>
  <c r="AT81" i="4"/>
  <c r="T80" i="4"/>
  <c r="AY80" i="4" s="1"/>
  <c r="AS80" i="4"/>
  <c r="AR79" i="4"/>
  <c r="AN79" i="4"/>
  <c r="T77" i="4"/>
  <c r="AY77" i="4" s="1"/>
  <c r="AS77" i="4"/>
  <c r="U74" i="4"/>
  <c r="AZ74" i="4" s="1"/>
  <c r="AT74" i="4"/>
  <c r="S73" i="4"/>
  <c r="AX73" i="4" s="1"/>
  <c r="AR73" i="4"/>
  <c r="S70" i="4"/>
  <c r="AX70" i="4" s="1"/>
  <c r="AR70" i="4"/>
  <c r="U67" i="4"/>
  <c r="AZ67" i="4" s="1"/>
  <c r="AT67" i="4"/>
  <c r="T66" i="4"/>
  <c r="AY66" i="4" s="1"/>
  <c r="AS66" i="4"/>
  <c r="U57" i="4"/>
  <c r="AZ57" i="4" s="1"/>
  <c r="AT57" i="4"/>
  <c r="T56" i="4"/>
  <c r="AY56" i="4" s="1"/>
  <c r="AS56" i="4"/>
  <c r="S51" i="4"/>
  <c r="AX51" i="4" s="1"/>
  <c r="AR51" i="4"/>
  <c r="U48" i="4"/>
  <c r="AZ48" i="4" s="1"/>
  <c r="AT48" i="4"/>
  <c r="U45" i="4"/>
  <c r="AZ45" i="4" s="1"/>
  <c r="AT45" i="4"/>
  <c r="T44" i="4"/>
  <c r="AY44" i="4" s="1"/>
  <c r="AS44" i="4"/>
  <c r="U42" i="4"/>
  <c r="AZ42" i="4" s="1"/>
  <c r="AT42" i="4"/>
  <c r="T41" i="4"/>
  <c r="AY41" i="4" s="1"/>
  <c r="AS41" i="4"/>
  <c r="S40" i="4"/>
  <c r="AX40" i="4" s="1"/>
  <c r="AR40" i="4"/>
  <c r="U36" i="4"/>
  <c r="AZ36" i="4" s="1"/>
  <c r="AT36" i="4"/>
  <c r="S35" i="4"/>
  <c r="AX35" i="4" s="1"/>
  <c r="AR35" i="4"/>
  <c r="AL106" i="4"/>
  <c r="AL105" i="4"/>
  <c r="AJ103" i="4"/>
  <c r="AL102" i="4"/>
  <c r="AH100" i="4"/>
  <c r="AJ99" i="4"/>
  <c r="AL98" i="4"/>
  <c r="AH96" i="4"/>
  <c r="AH94" i="4"/>
  <c r="AJ93" i="4"/>
  <c r="AL92" i="4"/>
  <c r="AJ91" i="4"/>
  <c r="AL90" i="4"/>
  <c r="AJ89" i="4"/>
  <c r="AL88" i="4"/>
  <c r="AH86" i="4"/>
  <c r="AH84" i="4"/>
  <c r="AJ83" i="4"/>
  <c r="AL82" i="4"/>
  <c r="AH80" i="4"/>
  <c r="AH78" i="4"/>
  <c r="AH76" i="4"/>
  <c r="AH75" i="4"/>
  <c r="AJ74" i="4"/>
  <c r="AL73" i="4"/>
  <c r="AH71" i="4"/>
  <c r="AL70" i="4"/>
  <c r="AH68" i="4"/>
  <c r="AJ67" i="4"/>
  <c r="AL66" i="4"/>
  <c r="AH64" i="4"/>
  <c r="AJ63" i="4"/>
  <c r="AL62" i="4"/>
  <c r="AH60" i="4"/>
  <c r="AJ59" i="4"/>
  <c r="AH57" i="4"/>
  <c r="AJ56" i="4"/>
  <c r="AL55" i="4"/>
  <c r="AJ53" i="4"/>
  <c r="AL52" i="4"/>
  <c r="AJ51" i="4"/>
  <c r="AL50" i="4"/>
  <c r="AH48" i="4"/>
  <c r="AJ47" i="4"/>
  <c r="AL46" i="4"/>
  <c r="AH44" i="4"/>
  <c r="U102" i="4"/>
  <c r="AZ102" i="4" s="1"/>
  <c r="AT102" i="4"/>
  <c r="U96" i="4"/>
  <c r="AZ96" i="4" s="1"/>
  <c r="AT96" i="4"/>
  <c r="AR95" i="4"/>
  <c r="AN95" i="4"/>
  <c r="U89" i="4"/>
  <c r="AZ89" i="4" s="1"/>
  <c r="AT89" i="4"/>
  <c r="S88" i="4"/>
  <c r="AX88" i="4" s="1"/>
  <c r="AR88" i="4"/>
  <c r="AT82" i="4"/>
  <c r="AP82" i="4"/>
  <c r="T81" i="4"/>
  <c r="AY81" i="4" s="1"/>
  <c r="AS81" i="4"/>
  <c r="AR80" i="4"/>
  <c r="AN80" i="4"/>
  <c r="S77" i="4"/>
  <c r="AX77" i="4" s="1"/>
  <c r="AR77" i="4"/>
  <c r="U75" i="4"/>
  <c r="AZ75" i="4" s="1"/>
  <c r="AT75" i="4"/>
  <c r="AS74" i="4"/>
  <c r="AO74" i="4"/>
  <c r="T67" i="4"/>
  <c r="AY67" i="4" s="1"/>
  <c r="AS67" i="4"/>
  <c r="S66" i="4"/>
  <c r="AX66" i="4" s="1"/>
  <c r="AR66" i="4"/>
  <c r="U58" i="4"/>
  <c r="AZ58" i="4" s="1"/>
  <c r="AT58" i="4"/>
  <c r="T57" i="4"/>
  <c r="AY57" i="4" s="1"/>
  <c r="AS57" i="4"/>
  <c r="AR56" i="4"/>
  <c r="AN56" i="4"/>
  <c r="T48" i="4"/>
  <c r="AY48" i="4" s="1"/>
  <c r="AS48" i="4"/>
  <c r="U46" i="4"/>
  <c r="AZ46" i="4" s="1"/>
  <c r="AT46" i="4"/>
  <c r="T45" i="4"/>
  <c r="AY45" i="4" s="1"/>
  <c r="AS45" i="4"/>
  <c r="AR44" i="4"/>
  <c r="AN44" i="4"/>
  <c r="T42" i="4"/>
  <c r="AY42" i="4" s="1"/>
  <c r="AS42" i="4"/>
  <c r="S41" i="4"/>
  <c r="AX41" i="4" s="1"/>
  <c r="AR41" i="4"/>
  <c r="U37" i="4"/>
  <c r="AZ37" i="4" s="1"/>
  <c r="AT37" i="4"/>
  <c r="T36" i="4"/>
  <c r="AY36" i="4" s="1"/>
  <c r="AS36" i="4"/>
  <c r="AK106" i="4"/>
  <c r="AK105" i="4"/>
  <c r="AM104" i="4"/>
  <c r="AI103" i="4"/>
  <c r="AK102" i="4"/>
  <c r="AM101" i="4"/>
  <c r="AI99" i="4"/>
  <c r="AK98" i="4"/>
  <c r="AM97" i="4"/>
  <c r="AM95" i="4"/>
  <c r="AI93" i="4"/>
  <c r="AK92" i="4"/>
  <c r="AI91" i="4"/>
  <c r="AK90" i="4"/>
  <c r="AI89" i="4"/>
  <c r="AK88" i="4"/>
  <c r="AM87" i="4"/>
  <c r="AM85" i="4"/>
  <c r="AI83" i="4"/>
  <c r="AK82" i="4"/>
  <c r="AM81" i="4"/>
  <c r="AM79" i="4"/>
  <c r="AM77" i="4"/>
  <c r="AI74" i="4"/>
  <c r="AK73" i="4"/>
  <c r="AM72" i="4"/>
  <c r="AK70" i="4"/>
  <c r="AM69" i="4"/>
  <c r="AI67" i="4"/>
  <c r="AK66" i="4"/>
  <c r="AM65" i="4"/>
  <c r="AI63" i="4"/>
  <c r="AK62" i="4"/>
  <c r="AM61" i="4"/>
  <c r="AI59" i="4"/>
  <c r="AM58" i="4"/>
  <c r="AI56" i="4"/>
  <c r="AK55" i="4"/>
  <c r="AM54" i="4"/>
  <c r="AI53" i="4"/>
  <c r="AK52" i="4"/>
  <c r="AI51" i="4"/>
  <c r="AK50" i="4"/>
  <c r="AM49" i="4"/>
  <c r="AI47" i="4"/>
  <c r="AK46" i="4"/>
  <c r="AM45" i="4"/>
  <c r="T102" i="4"/>
  <c r="AY102" i="4" s="1"/>
  <c r="AS102" i="4"/>
  <c r="U97" i="4"/>
  <c r="AZ97" i="4" s="1"/>
  <c r="AT97" i="4"/>
  <c r="T96" i="4"/>
  <c r="AY96" i="4" s="1"/>
  <c r="AS96" i="4"/>
  <c r="U95" i="4"/>
  <c r="AZ95" i="4" s="1"/>
  <c r="U92" i="4"/>
  <c r="AZ92" i="4" s="1"/>
  <c r="AT92" i="4"/>
  <c r="T89" i="4"/>
  <c r="AY89" i="4" s="1"/>
  <c r="AS89" i="4"/>
  <c r="AT83" i="4"/>
  <c r="AP83" i="4"/>
  <c r="T82" i="4"/>
  <c r="AY82" i="4" s="1"/>
  <c r="AS82" i="4"/>
  <c r="AR81" i="4"/>
  <c r="AN81" i="4"/>
  <c r="T75" i="4"/>
  <c r="AY75" i="4" s="1"/>
  <c r="AS75" i="4"/>
  <c r="S74" i="4"/>
  <c r="AX74" i="4" s="1"/>
  <c r="AR74" i="4"/>
  <c r="U71" i="4"/>
  <c r="AZ71" i="4" s="1"/>
  <c r="AT71" i="4"/>
  <c r="U68" i="4"/>
  <c r="AZ68" i="4" s="1"/>
  <c r="AT68" i="4"/>
  <c r="S67" i="4"/>
  <c r="AX67" i="4" s="1"/>
  <c r="AR67" i="4"/>
  <c r="T58" i="4"/>
  <c r="AY58" i="4" s="1"/>
  <c r="AS58" i="4"/>
  <c r="AR57" i="4"/>
  <c r="AN57" i="4"/>
  <c r="AT52" i="4"/>
  <c r="AP52" i="4"/>
  <c r="U49" i="4"/>
  <c r="AZ49" i="4" s="1"/>
  <c r="AT49" i="4"/>
  <c r="S48" i="4"/>
  <c r="AX48" i="4" s="1"/>
  <c r="AR48" i="4"/>
  <c r="T46" i="4"/>
  <c r="AY46" i="4" s="1"/>
  <c r="AS46" i="4"/>
  <c r="AR45" i="4"/>
  <c r="AN45" i="4"/>
  <c r="U43" i="4"/>
  <c r="AZ43" i="4" s="1"/>
  <c r="AT43" i="4"/>
  <c r="S42" i="4"/>
  <c r="AX42" i="4" s="1"/>
  <c r="AR42" i="4"/>
  <c r="T37" i="4"/>
  <c r="AY37" i="4" s="1"/>
  <c r="AS37" i="4"/>
  <c r="AR36" i="4"/>
  <c r="AN36" i="4"/>
  <c r="AJ106" i="4"/>
  <c r="AJ105" i="4"/>
  <c r="AL104" i="4"/>
  <c r="AH103" i="4"/>
  <c r="AJ102" i="4"/>
  <c r="AL101" i="4"/>
  <c r="AH99" i="4"/>
  <c r="AJ98" i="4"/>
  <c r="AL97" i="4"/>
  <c r="AL95" i="4"/>
  <c r="AH93" i="4"/>
  <c r="AJ92" i="4"/>
  <c r="AH91" i="4"/>
  <c r="AJ90" i="4"/>
  <c r="AH89" i="4"/>
  <c r="AJ88" i="4"/>
  <c r="AL87" i="4"/>
  <c r="AL85" i="4"/>
  <c r="AH83" i="4"/>
  <c r="AJ82" i="4"/>
  <c r="AL81" i="4"/>
  <c r="AL79" i="4"/>
  <c r="AL77" i="4"/>
  <c r="AH74" i="4"/>
  <c r="AJ73" i="4"/>
  <c r="AL72" i="4"/>
  <c r="AJ70" i="4"/>
  <c r="AL69" i="4"/>
  <c r="AH67" i="4"/>
  <c r="AJ66" i="4"/>
  <c r="AL65" i="4"/>
  <c r="AH63" i="4"/>
  <c r="AJ62" i="4"/>
  <c r="AL61" i="4"/>
  <c r="AH59" i="4"/>
  <c r="AL58" i="4"/>
  <c r="AH56" i="4"/>
  <c r="AJ55" i="4"/>
  <c r="AL54" i="4"/>
  <c r="AH53" i="4"/>
  <c r="AJ52" i="4"/>
  <c r="AH51" i="4"/>
  <c r="AJ50" i="4"/>
  <c r="AL49" i="4"/>
  <c r="AH47" i="4"/>
  <c r="AJ46" i="4"/>
  <c r="AL45" i="4"/>
  <c r="AJ40" i="4"/>
  <c r="AH52" i="4"/>
  <c r="AH50" i="4"/>
  <c r="AJ49" i="4"/>
  <c r="AL48" i="4"/>
  <c r="AJ45" i="4"/>
  <c r="AL44" i="4"/>
  <c r="AJ43" i="4"/>
  <c r="AL42" i="4"/>
  <c r="AH40" i="4"/>
  <c r="AJ39" i="4"/>
  <c r="AL38" i="4"/>
  <c r="AJ37" i="4"/>
  <c r="AL36" i="4"/>
  <c r="AR38" i="4"/>
  <c r="AN38" i="4"/>
  <c r="AI104" i="4"/>
  <c r="AM103" i="4"/>
  <c r="AI101" i="4"/>
  <c r="AK100" i="4"/>
  <c r="AM99" i="4"/>
  <c r="AK96" i="4"/>
  <c r="AI95" i="4"/>
  <c r="AK94" i="4"/>
  <c r="AM93" i="4"/>
  <c r="AM91" i="4"/>
  <c r="AM89" i="4"/>
  <c r="AI87" i="4"/>
  <c r="AK86" i="4"/>
  <c r="AI85" i="4"/>
  <c r="AK84" i="4"/>
  <c r="AM83" i="4"/>
  <c r="AI81" i="4"/>
  <c r="AK80" i="4"/>
  <c r="AI79" i="4"/>
  <c r="AK78" i="4"/>
  <c r="AI77" i="4"/>
  <c r="AK76" i="4"/>
  <c r="AK75" i="4"/>
  <c r="AM74" i="4"/>
  <c r="AI72" i="4"/>
  <c r="AI69" i="4"/>
  <c r="AK68" i="4"/>
  <c r="AM67" i="4"/>
  <c r="AI65" i="4"/>
  <c r="AM63" i="4"/>
  <c r="AI61" i="4"/>
  <c r="AK60" i="4"/>
  <c r="AM59" i="4"/>
  <c r="AI58" i="4"/>
  <c r="AK57" i="4"/>
  <c r="AM56" i="4"/>
  <c r="AI54" i="4"/>
  <c r="AM53" i="4"/>
  <c r="AM51" i="4"/>
  <c r="AI49" i="4"/>
  <c r="AK48" i="4"/>
  <c r="AM47" i="4"/>
  <c r="AI45" i="4"/>
  <c r="AK44" i="4"/>
  <c r="AI43" i="4"/>
  <c r="AK42" i="4"/>
  <c r="AM41" i="4"/>
  <c r="AI39" i="4"/>
  <c r="AI37" i="4"/>
  <c r="AK36" i="4"/>
  <c r="AM35" i="4"/>
  <c r="AH43" i="4"/>
  <c r="AJ42" i="4"/>
  <c r="AL41" i="4"/>
  <c r="AH39" i="4"/>
  <c r="AJ38" i="4"/>
  <c r="AH37" i="4"/>
  <c r="AJ36" i="4"/>
  <c r="AL35" i="4"/>
  <c r="AM106" i="4"/>
  <c r="AM105" i="4"/>
  <c r="AK103" i="4"/>
  <c r="AM102" i="4"/>
  <c r="AI100" i="4"/>
  <c r="AK99" i="4"/>
  <c r="AM98" i="4"/>
  <c r="AI96" i="4"/>
  <c r="AI94" i="4"/>
  <c r="AK93" i="4"/>
  <c r="AM92" i="4"/>
  <c r="AK91" i="4"/>
  <c r="AM90" i="4"/>
  <c r="AK89" i="4"/>
  <c r="AM88" i="4"/>
  <c r="AI86" i="4"/>
  <c r="AI84" i="4"/>
  <c r="AK83" i="4"/>
  <c r="AM82" i="4"/>
  <c r="AI80" i="4"/>
  <c r="AI78" i="4"/>
  <c r="AI76" i="4"/>
  <c r="AI75" i="4"/>
  <c r="AK74" i="4"/>
  <c r="AM73" i="4"/>
  <c r="AI71" i="4"/>
  <c r="AI68" i="4"/>
  <c r="AK67" i="4"/>
  <c r="AM66" i="4"/>
  <c r="AI64" i="4"/>
  <c r="AK63" i="4"/>
  <c r="AM62" i="4"/>
  <c r="AI60" i="4"/>
  <c r="AK59" i="4"/>
  <c r="AI57" i="4"/>
  <c r="AM55" i="4"/>
  <c r="AK53" i="4"/>
  <c r="AM52" i="4"/>
  <c r="AK51" i="4"/>
  <c r="AM50" i="4"/>
  <c r="AI48" i="4"/>
  <c r="AK47" i="4"/>
  <c r="AM46" i="4"/>
  <c r="AI44" i="4"/>
  <c r="AI42" i="4"/>
  <c r="AK41" i="4"/>
  <c r="AM40" i="4"/>
  <c r="AI38" i="4"/>
  <c r="AI36" i="4"/>
  <c r="AK35" i="4"/>
  <c r="AH42" i="4"/>
  <c r="AJ41" i="4"/>
  <c r="AL40" i="4"/>
  <c r="AH38" i="4"/>
  <c r="AH36" i="4"/>
  <c r="AJ35" i="4"/>
  <c r="AM43" i="4"/>
  <c r="AI41" i="4"/>
  <c r="AK40" i="4"/>
  <c r="AM39" i="4"/>
  <c r="AM37" i="4"/>
  <c r="AI35" i="4"/>
  <c r="AL43" i="4"/>
  <c r="AH41" i="4"/>
  <c r="AL39" i="4"/>
  <c r="AL37" i="4"/>
  <c r="AH35" i="4"/>
  <c r="AK43" i="4"/>
  <c r="AM42" i="4"/>
  <c r="AI40" i="4"/>
  <c r="AK39" i="4"/>
  <c r="AM38" i="4"/>
  <c r="AK37" i="4"/>
  <c r="AM36" i="4"/>
  <c r="AN98" i="4" l="1"/>
  <c r="AP43" i="4"/>
  <c r="AP49" i="4"/>
  <c r="AO50" i="4"/>
  <c r="AO57" i="4"/>
  <c r="AN55" i="4"/>
  <c r="AP81" i="4"/>
  <c r="AN85" i="4"/>
  <c r="AN99" i="4"/>
  <c r="AP54" i="4"/>
  <c r="AP68" i="4"/>
  <c r="AO41" i="4"/>
  <c r="AP67" i="4"/>
  <c r="AP77" i="4"/>
  <c r="AP69" i="4"/>
  <c r="AO36" i="4"/>
  <c r="AP57" i="4"/>
  <c r="AO102" i="4"/>
  <c r="AP35" i="4"/>
  <c r="AO72" i="4"/>
  <c r="AN62" i="4"/>
  <c r="BB62" i="4" s="1"/>
  <c r="AP71" i="4"/>
  <c r="AO44" i="4"/>
  <c r="AN59" i="4"/>
  <c r="BB59" i="4" s="1"/>
  <c r="AP50" i="4"/>
  <c r="AO92" i="4"/>
  <c r="AP44" i="4"/>
  <c r="AO49" i="4"/>
  <c r="AO40" i="4"/>
  <c r="AO87" i="4"/>
  <c r="AP106" i="4"/>
  <c r="AP74" i="4"/>
  <c r="AP76" i="4"/>
  <c r="AO93" i="4"/>
  <c r="AO99" i="4"/>
  <c r="AP100" i="4"/>
  <c r="AO53" i="4"/>
  <c r="AP104" i="4"/>
  <c r="BB104" i="4" s="1"/>
  <c r="AN35" i="4"/>
  <c r="AO88" i="4"/>
  <c r="AN76" i="4"/>
  <c r="AO79" i="4"/>
  <c r="BB79" i="4" s="1"/>
  <c r="AN102" i="4"/>
  <c r="AO66" i="4"/>
  <c r="AP70" i="4"/>
  <c r="AO68" i="4"/>
  <c r="AN82" i="4"/>
  <c r="AN51" i="4"/>
  <c r="AN50" i="4"/>
  <c r="AP55" i="4"/>
  <c r="AP85" i="4"/>
  <c r="AO47" i="4"/>
  <c r="AP86" i="4"/>
  <c r="AO83" i="4"/>
  <c r="AP58" i="4"/>
  <c r="AP48" i="4"/>
  <c r="AN70" i="4"/>
  <c r="AN91" i="4"/>
  <c r="AN100" i="4"/>
  <c r="AP51" i="4"/>
  <c r="AO76" i="4"/>
  <c r="AO43" i="4"/>
  <c r="AN48" i="4"/>
  <c r="AN72" i="4"/>
  <c r="AO91" i="4"/>
  <c r="AO69" i="4"/>
  <c r="AN86" i="4"/>
  <c r="AO97" i="4"/>
  <c r="AN74" i="4"/>
  <c r="AP37" i="4"/>
  <c r="AN66" i="4"/>
  <c r="BB66" i="4" s="1"/>
  <c r="AO81" i="4"/>
  <c r="AP36" i="4"/>
  <c r="AO95" i="4"/>
  <c r="AP80" i="4"/>
  <c r="AP95" i="4"/>
  <c r="AN69" i="4"/>
  <c r="AO85" i="4"/>
  <c r="AN90" i="4"/>
  <c r="AP87" i="4"/>
  <c r="AO90" i="4"/>
  <c r="AP64" i="4"/>
  <c r="AN46" i="4"/>
  <c r="AP84" i="4"/>
  <c r="AO37" i="4"/>
  <c r="AO58" i="4"/>
  <c r="AP42" i="4"/>
  <c r="AP45" i="4"/>
  <c r="AO56" i="4"/>
  <c r="AO77" i="4"/>
  <c r="AP56" i="4"/>
  <c r="AO70" i="4"/>
  <c r="AN87" i="4"/>
  <c r="AN106" i="4"/>
  <c r="AP73" i="4"/>
  <c r="AO78" i="4"/>
  <c r="AN93" i="4"/>
  <c r="AO106" i="4"/>
  <c r="AO63" i="4"/>
  <c r="BB63" i="4" s="1"/>
  <c r="AN101" i="4"/>
  <c r="AN103" i="4"/>
  <c r="AN71" i="4"/>
  <c r="AN83" i="4"/>
  <c r="AN92" i="4"/>
  <c r="AO98" i="4"/>
  <c r="AN58" i="4"/>
  <c r="AO71" i="4"/>
  <c r="AN89" i="4"/>
  <c r="AP105" i="4"/>
  <c r="AP103" i="4"/>
  <c r="AO75" i="4"/>
  <c r="AO96" i="4"/>
  <c r="AN41" i="4"/>
  <c r="BB41" i="4" s="1"/>
  <c r="AO45" i="4"/>
  <c r="AO67" i="4"/>
  <c r="AP75" i="4"/>
  <c r="AN88" i="4"/>
  <c r="AP96" i="4"/>
  <c r="AN40" i="4"/>
  <c r="AN73" i="4"/>
  <c r="AO80" i="4"/>
  <c r="AN49" i="4"/>
  <c r="AN52" i="4"/>
  <c r="AN68" i="4"/>
  <c r="AO105" i="4"/>
  <c r="AO52" i="4"/>
  <c r="AN42" i="4"/>
  <c r="AO46" i="4"/>
  <c r="AN67" i="4"/>
  <c r="AP92" i="4"/>
  <c r="AO48" i="4"/>
  <c r="AP102" i="4"/>
  <c r="AO35" i="4"/>
  <c r="AN65" i="4"/>
  <c r="AO73" i="4"/>
  <c r="AO55" i="4"/>
  <c r="AP94" i="4"/>
  <c r="AO38" i="4"/>
  <c r="AO61" i="4"/>
  <c r="BB61" i="4" s="1"/>
  <c r="AO64" i="4"/>
  <c r="AP78" i="4"/>
  <c r="AP38" i="4"/>
  <c r="AP72" i="4"/>
  <c r="AO84" i="4"/>
  <c r="AP93" i="4"/>
  <c r="AN96" i="4"/>
  <c r="AO51" i="4"/>
  <c r="AP88" i="4"/>
  <c r="AO94" i="4"/>
  <c r="AO39" i="4"/>
  <c r="AO65" i="4"/>
  <c r="AO100" i="4"/>
  <c r="AN47" i="4"/>
  <c r="AO82" i="4"/>
  <c r="AO89" i="4"/>
  <c r="AP97" i="4"/>
  <c r="AO42" i="4"/>
  <c r="AP46" i="4"/>
  <c r="AN77" i="4"/>
  <c r="AP89" i="4"/>
  <c r="AP53" i="4"/>
  <c r="AP39" i="4"/>
  <c r="AN54" i="4"/>
  <c r="AP65" i="4"/>
  <c r="AN84" i="4"/>
  <c r="AN43" i="4"/>
  <c r="AO54" i="4"/>
  <c r="AP60" i="4"/>
  <c r="BB60" i="4" s="1"/>
  <c r="AO86" i="4"/>
  <c r="AO101" i="4"/>
  <c r="AN37" i="4"/>
  <c r="BB83" i="4" l="1"/>
  <c r="BB57" i="4"/>
  <c r="BB46" i="4"/>
  <c r="BB56" i="4"/>
  <c r="BB40" i="4"/>
  <c r="BB47" i="4"/>
  <c r="BB64" i="4"/>
  <c r="BB84" i="4"/>
  <c r="BB77" i="4"/>
  <c r="BB50" i="4"/>
  <c r="BB105" i="4"/>
  <c r="BB67" i="4"/>
  <c r="BB78" i="4"/>
  <c r="BB81" i="4"/>
  <c r="BB42" i="4"/>
  <c r="BB90" i="4"/>
  <c r="BB49" i="4"/>
  <c r="BB86" i="4"/>
  <c r="BB74" i="4"/>
  <c r="BB80" i="4"/>
  <c r="BB82" i="4"/>
  <c r="BB36" i="4"/>
  <c r="BB45" i="4"/>
  <c r="BB71" i="4"/>
  <c r="BB68" i="4"/>
  <c r="BB75" i="4"/>
  <c r="BB94" i="4"/>
  <c r="BB96" i="4"/>
  <c r="BB37" i="4"/>
  <c r="BB95" i="4"/>
  <c r="BB91" i="4"/>
  <c r="BB73" i="4"/>
  <c r="BB52" i="4"/>
  <c r="BB48" i="4"/>
  <c r="BB51" i="4"/>
  <c r="BB55" i="4"/>
  <c r="BB97" i="4"/>
  <c r="BB72" i="4"/>
  <c r="BB100" i="4"/>
  <c r="BB76" i="4"/>
  <c r="BB98" i="4"/>
  <c r="BB88" i="4"/>
  <c r="BB89" i="4"/>
  <c r="BB70" i="4"/>
  <c r="BB99" i="4"/>
  <c r="BB39" i="4"/>
  <c r="BB38" i="4"/>
  <c r="BB92" i="4"/>
  <c r="BB103" i="4"/>
  <c r="BB106" i="4"/>
  <c r="BB35" i="4"/>
  <c r="BB44" i="4"/>
  <c r="BB85" i="4"/>
  <c r="BB43" i="4"/>
  <c r="BB54" i="4"/>
  <c r="BB65" i="4"/>
  <c r="BB58" i="4"/>
  <c r="BB101" i="4"/>
  <c r="BB93" i="4"/>
  <c r="BB87" i="4"/>
  <c r="BB102" i="4"/>
  <c r="BB53" i="4"/>
  <c r="B558" i="6"/>
  <c r="C558" i="6" s="1"/>
  <c r="B559" i="6"/>
  <c r="C559" i="6"/>
  <c r="B560" i="6"/>
  <c r="C560" i="6"/>
  <c r="B561" i="6"/>
  <c r="C561" i="6" s="1"/>
  <c r="B562" i="6"/>
  <c r="C562" i="6"/>
  <c r="B563" i="6"/>
  <c r="C563" i="6"/>
  <c r="B564" i="6"/>
  <c r="C564" i="6"/>
  <c r="B565" i="6"/>
  <c r="C565" i="6" s="1"/>
  <c r="B566" i="6"/>
  <c r="C566" i="6" s="1"/>
  <c r="B567" i="6"/>
  <c r="C567" i="6" s="1"/>
  <c r="B568" i="6"/>
  <c r="C568" i="6"/>
  <c r="B569" i="6"/>
  <c r="C569" i="6" s="1"/>
  <c r="B570" i="6"/>
  <c r="C570" i="6"/>
  <c r="B571" i="6"/>
  <c r="C571" i="6"/>
  <c r="B572" i="6"/>
  <c r="C572" i="6"/>
  <c r="B573" i="6"/>
  <c r="C573" i="6" s="1"/>
  <c r="B574" i="6"/>
  <c r="C574" i="6" s="1"/>
  <c r="B575" i="6"/>
  <c r="C575" i="6" s="1"/>
  <c r="B576" i="6"/>
  <c r="C576" i="6"/>
  <c r="B577" i="6"/>
  <c r="C577" i="6" s="1"/>
  <c r="B578" i="6"/>
  <c r="C578" i="6"/>
  <c r="B579" i="6"/>
  <c r="C579" i="6"/>
  <c r="B580" i="6"/>
  <c r="C580" i="6"/>
  <c r="B581" i="6"/>
  <c r="C581" i="6" s="1"/>
  <c r="B582" i="6"/>
  <c r="C582" i="6" s="1"/>
  <c r="B583" i="6"/>
  <c r="C583" i="6" s="1"/>
  <c r="B584" i="6"/>
  <c r="C584" i="6"/>
  <c r="B585" i="6"/>
  <c r="C585" i="6" s="1"/>
  <c r="B586" i="6"/>
  <c r="C586" i="6"/>
  <c r="B587" i="6"/>
  <c r="C587" i="6"/>
  <c r="B588" i="6"/>
  <c r="C588" i="6"/>
  <c r="B589" i="6"/>
  <c r="C589" i="6" s="1"/>
  <c r="B590" i="6"/>
  <c r="C590" i="6" s="1"/>
  <c r="B591" i="6"/>
  <c r="C591" i="6" s="1"/>
  <c r="B592" i="6"/>
  <c r="C592" i="6" s="1"/>
  <c r="B593" i="6"/>
  <c r="C593" i="6" s="1"/>
  <c r="B594" i="6"/>
  <c r="C594" i="6"/>
  <c r="B595" i="6"/>
  <c r="C595" i="6"/>
  <c r="B596" i="6"/>
  <c r="C596" i="6"/>
  <c r="B597" i="6"/>
  <c r="C597" i="6" s="1"/>
  <c r="B598" i="6"/>
  <c r="C598" i="6" s="1"/>
  <c r="B599" i="6"/>
  <c r="C599" i="6" s="1"/>
  <c r="B600" i="6"/>
  <c r="C600" i="6" s="1"/>
  <c r="B601" i="6"/>
  <c r="C601" i="6" s="1"/>
  <c r="B602" i="6"/>
  <c r="C602" i="6"/>
  <c r="B603" i="6"/>
  <c r="C603" i="6"/>
  <c r="B604" i="6"/>
  <c r="C604" i="6"/>
  <c r="B605" i="6"/>
  <c r="C605" i="6" s="1"/>
  <c r="B606" i="6"/>
  <c r="C606" i="6" s="1"/>
  <c r="B607" i="6"/>
  <c r="C607" i="6" s="1"/>
  <c r="B608" i="6"/>
  <c r="C608" i="6" s="1"/>
  <c r="B609" i="6"/>
  <c r="C609" i="6" s="1"/>
  <c r="B610" i="6"/>
  <c r="C610" i="6"/>
  <c r="B611" i="6"/>
  <c r="C611" i="6"/>
  <c r="B612" i="6"/>
  <c r="C612" i="6"/>
  <c r="B613" i="6"/>
  <c r="C613" i="6" s="1"/>
  <c r="B614" i="6"/>
  <c r="C614" i="6" s="1"/>
  <c r="B615" i="6"/>
  <c r="C615" i="6" s="1"/>
  <c r="B616" i="6"/>
  <c r="C616" i="6" s="1"/>
  <c r="B617" i="6"/>
  <c r="C617" i="6" s="1"/>
  <c r="B618" i="6"/>
  <c r="C618" i="6"/>
  <c r="B619" i="6"/>
  <c r="C619" i="6"/>
  <c r="B620" i="6"/>
  <c r="C620" i="6"/>
  <c r="B621" i="6"/>
  <c r="C621" i="6" s="1"/>
  <c r="B622" i="6"/>
  <c r="C622" i="6" s="1"/>
  <c r="B623" i="6"/>
  <c r="C623" i="6" s="1"/>
  <c r="B624" i="6"/>
  <c r="C624" i="6" s="1"/>
  <c r="B625" i="6"/>
  <c r="C625" i="6" s="1"/>
  <c r="B626" i="6"/>
  <c r="C626" i="6"/>
  <c r="B627" i="6"/>
  <c r="C627" i="6"/>
  <c r="B628" i="6"/>
  <c r="C628" i="6"/>
  <c r="B629" i="6"/>
  <c r="C629" i="6" s="1"/>
  <c r="B630" i="6"/>
  <c r="C630" i="6" s="1"/>
  <c r="B631" i="6"/>
  <c r="C631" i="6" s="1"/>
  <c r="B632" i="6"/>
  <c r="C632" i="6" s="1"/>
  <c r="B633" i="6"/>
  <c r="C633" i="6" s="1"/>
  <c r="B634" i="6"/>
  <c r="C634" i="6"/>
  <c r="B635" i="6"/>
  <c r="C635" i="6"/>
  <c r="B636" i="6"/>
  <c r="C636" i="6"/>
  <c r="B637" i="6"/>
  <c r="C637" i="6" s="1"/>
  <c r="B638" i="6"/>
  <c r="C638" i="6" s="1"/>
  <c r="B639" i="6"/>
  <c r="C639" i="6" s="1"/>
  <c r="B640" i="6"/>
  <c r="C640" i="6" s="1"/>
  <c r="B641" i="6"/>
  <c r="C641" i="6" s="1"/>
  <c r="B642" i="6"/>
  <c r="C642" i="6"/>
  <c r="B643" i="6"/>
  <c r="C643" i="6"/>
  <c r="B644" i="6"/>
  <c r="C644" i="6"/>
  <c r="B645" i="6"/>
  <c r="C645" i="6" s="1"/>
  <c r="B646" i="6"/>
  <c r="C646" i="6" s="1"/>
  <c r="B647" i="6"/>
  <c r="C647" i="6" s="1"/>
  <c r="B648" i="6"/>
  <c r="C648" i="6" s="1"/>
  <c r="B649" i="6"/>
  <c r="C649" i="6" s="1"/>
  <c r="B650" i="6"/>
  <c r="C650" i="6"/>
  <c r="B651" i="6"/>
  <c r="C651" i="6"/>
  <c r="B652" i="6"/>
  <c r="C652" i="6"/>
  <c r="B653" i="6"/>
  <c r="C653" i="6" s="1"/>
  <c r="B654" i="6"/>
  <c r="C654" i="6" s="1"/>
  <c r="B655" i="6"/>
  <c r="C655" i="6" s="1"/>
  <c r="B656" i="6"/>
  <c r="C656" i="6" s="1"/>
  <c r="B657" i="6"/>
  <c r="C657" i="6" s="1"/>
  <c r="B658" i="6"/>
  <c r="C658" i="6"/>
  <c r="B659" i="6"/>
  <c r="C659" i="6"/>
  <c r="B660" i="6"/>
  <c r="C660" i="6"/>
  <c r="B661" i="6"/>
  <c r="C661" i="6" s="1"/>
  <c r="B662" i="6"/>
  <c r="C662" i="6" s="1"/>
  <c r="B663" i="6"/>
  <c r="C663" i="6" s="1"/>
  <c r="B664" i="6"/>
  <c r="C664" i="6" s="1"/>
  <c r="B665" i="6"/>
  <c r="C665" i="6" s="1"/>
  <c r="B666" i="6"/>
  <c r="C666" i="6"/>
  <c r="B667" i="6"/>
  <c r="C667" i="6"/>
  <c r="B668" i="6"/>
  <c r="C668" i="6"/>
  <c r="B669" i="6"/>
  <c r="C669" i="6" s="1"/>
  <c r="B670" i="6"/>
  <c r="C670" i="6" s="1"/>
  <c r="B671" i="6"/>
  <c r="C671" i="6" s="1"/>
  <c r="B672" i="6"/>
  <c r="C672" i="6" s="1"/>
  <c r="B673" i="6"/>
  <c r="C673" i="6"/>
  <c r="B674" i="6"/>
  <c r="C674" i="6"/>
  <c r="B675" i="6"/>
  <c r="C675" i="6"/>
  <c r="B676" i="6"/>
  <c r="C676" i="6"/>
  <c r="B677" i="6"/>
  <c r="C677" i="6" s="1"/>
  <c r="B678" i="6"/>
  <c r="C678" i="6" s="1"/>
  <c r="B679" i="6"/>
  <c r="C679" i="6" s="1"/>
  <c r="B680" i="6"/>
  <c r="C680" i="6" s="1"/>
  <c r="B681" i="6"/>
  <c r="C681" i="6"/>
  <c r="B682" i="6"/>
  <c r="C682" i="6"/>
  <c r="B683" i="6"/>
  <c r="C683" i="6"/>
  <c r="B684" i="6"/>
  <c r="C684" i="6"/>
  <c r="B685" i="6"/>
  <c r="C685" i="6" s="1"/>
  <c r="B686" i="6"/>
  <c r="C686" i="6" s="1"/>
  <c r="B687" i="6"/>
  <c r="C687" i="6" s="1"/>
  <c r="B688" i="6"/>
  <c r="C688" i="6" s="1"/>
  <c r="B689" i="6"/>
  <c r="C689" i="6"/>
  <c r="B690" i="6"/>
  <c r="C690" i="6"/>
  <c r="B691" i="6"/>
  <c r="C691" i="6"/>
  <c r="B692" i="6"/>
  <c r="C692" i="6"/>
  <c r="B693" i="6"/>
  <c r="C693" i="6" s="1"/>
  <c r="B694" i="6"/>
  <c r="C694" i="6" s="1"/>
  <c r="B695" i="6"/>
  <c r="C695" i="6" s="1"/>
  <c r="B696" i="6"/>
  <c r="C696" i="6" s="1"/>
  <c r="B697" i="6"/>
  <c r="C697" i="6"/>
  <c r="B698" i="6"/>
  <c r="C698" i="6"/>
  <c r="B699" i="6"/>
  <c r="C699" i="6"/>
  <c r="B700" i="6"/>
  <c r="C700" i="6"/>
  <c r="B701" i="6"/>
  <c r="C701" i="6" s="1"/>
  <c r="B702" i="6"/>
  <c r="C702" i="6" s="1"/>
  <c r="B703" i="6"/>
  <c r="C703" i="6"/>
  <c r="B704" i="6"/>
  <c r="C704" i="6" s="1"/>
  <c r="B705" i="6"/>
  <c r="C705" i="6"/>
  <c r="B706" i="6"/>
  <c r="C706" i="6"/>
  <c r="B707" i="6"/>
  <c r="C707" i="6"/>
  <c r="B708" i="6"/>
  <c r="C708" i="6"/>
  <c r="B709" i="6"/>
  <c r="C709" i="6" s="1"/>
  <c r="B710" i="6"/>
  <c r="C710" i="6" s="1"/>
  <c r="B711" i="6"/>
  <c r="C711" i="6"/>
  <c r="B712" i="6"/>
  <c r="C712" i="6" s="1"/>
  <c r="B713" i="6"/>
  <c r="C713" i="6"/>
  <c r="B714" i="6"/>
  <c r="C714" i="6"/>
  <c r="B715" i="6"/>
  <c r="C715" i="6"/>
  <c r="B716" i="6"/>
  <c r="C716" i="6"/>
  <c r="B717" i="6"/>
  <c r="C717" i="6" s="1"/>
  <c r="B718" i="6"/>
  <c r="C718" i="6" s="1"/>
  <c r="B719" i="6"/>
  <c r="C719" i="6"/>
  <c r="B720" i="6"/>
  <c r="C720" i="6" s="1"/>
  <c r="B721" i="6"/>
  <c r="C721" i="6"/>
  <c r="B722" i="6"/>
  <c r="C722" i="6"/>
  <c r="B723" i="6"/>
  <c r="C723" i="6"/>
  <c r="B724" i="6"/>
  <c r="C724" i="6"/>
  <c r="B725" i="6"/>
  <c r="C725" i="6"/>
  <c r="B726" i="6"/>
  <c r="C726" i="6" s="1"/>
  <c r="B727" i="6"/>
  <c r="C727" i="6"/>
  <c r="B728" i="6"/>
  <c r="C728" i="6" s="1"/>
  <c r="B729" i="6"/>
  <c r="C729" i="6"/>
  <c r="B730" i="6"/>
  <c r="C730" i="6"/>
  <c r="B731" i="6"/>
  <c r="C731" i="6"/>
  <c r="B732" i="6"/>
  <c r="C732" i="6"/>
  <c r="A558" i="6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506" i="6"/>
  <c r="B506" i="6" s="1"/>
  <c r="A414" i="6"/>
  <c r="B414" i="6" s="1"/>
  <c r="A367" i="6"/>
  <c r="B367" i="6" s="1"/>
  <c r="A4" i="4"/>
  <c r="W5" i="4"/>
  <c r="X5" i="4"/>
  <c r="Y5" i="4"/>
  <c r="Z5" i="4"/>
  <c r="AA5" i="4"/>
  <c r="AB5" i="4"/>
  <c r="AC5" i="4"/>
  <c r="AD5" i="4"/>
  <c r="AE5" i="4"/>
  <c r="W6" i="4"/>
  <c r="X6" i="4"/>
  <c r="Y6" i="4"/>
  <c r="Z6" i="4"/>
  <c r="AA6" i="4"/>
  <c r="AB6" i="4"/>
  <c r="AC6" i="4"/>
  <c r="AD6" i="4"/>
  <c r="AE6" i="4"/>
  <c r="W7" i="4"/>
  <c r="X7" i="4"/>
  <c r="Y7" i="4"/>
  <c r="Z7" i="4"/>
  <c r="AA7" i="4"/>
  <c r="AB7" i="4"/>
  <c r="AC7" i="4"/>
  <c r="AD7" i="4"/>
  <c r="AE7" i="4"/>
  <c r="W8" i="4"/>
  <c r="X8" i="4"/>
  <c r="Y8" i="4"/>
  <c r="Z8" i="4"/>
  <c r="AA8" i="4"/>
  <c r="AB8" i="4"/>
  <c r="AC8" i="4"/>
  <c r="AD8" i="4"/>
  <c r="AE8" i="4"/>
  <c r="W9" i="4"/>
  <c r="X9" i="4"/>
  <c r="Y9" i="4"/>
  <c r="Z9" i="4"/>
  <c r="AA9" i="4"/>
  <c r="AB9" i="4"/>
  <c r="AC9" i="4"/>
  <c r="AD9" i="4"/>
  <c r="AE9" i="4"/>
  <c r="W10" i="4"/>
  <c r="X10" i="4"/>
  <c r="Y10" i="4"/>
  <c r="Z10" i="4"/>
  <c r="AA10" i="4"/>
  <c r="AB10" i="4"/>
  <c r="AC10" i="4"/>
  <c r="AD10" i="4"/>
  <c r="AE10" i="4"/>
  <c r="W11" i="4"/>
  <c r="X11" i="4"/>
  <c r="Y11" i="4"/>
  <c r="Z11" i="4"/>
  <c r="AA11" i="4"/>
  <c r="AB11" i="4"/>
  <c r="AC11" i="4"/>
  <c r="AD11" i="4"/>
  <c r="AE11" i="4"/>
  <c r="W12" i="4"/>
  <c r="X12" i="4"/>
  <c r="Y12" i="4"/>
  <c r="Z12" i="4"/>
  <c r="AA12" i="4"/>
  <c r="AB12" i="4"/>
  <c r="AC12" i="4"/>
  <c r="AD12" i="4"/>
  <c r="AE12" i="4"/>
  <c r="W13" i="4"/>
  <c r="X13" i="4"/>
  <c r="Y13" i="4"/>
  <c r="Z13" i="4"/>
  <c r="AA13" i="4"/>
  <c r="AB13" i="4"/>
  <c r="AC13" i="4"/>
  <c r="AD13" i="4"/>
  <c r="AE13" i="4"/>
  <c r="W14" i="4"/>
  <c r="X14" i="4"/>
  <c r="Y14" i="4"/>
  <c r="Z14" i="4"/>
  <c r="AA14" i="4"/>
  <c r="AB14" i="4"/>
  <c r="AC14" i="4"/>
  <c r="AD14" i="4"/>
  <c r="AE14" i="4"/>
  <c r="W15" i="4"/>
  <c r="X15" i="4"/>
  <c r="Y15" i="4"/>
  <c r="Z15" i="4"/>
  <c r="AA15" i="4"/>
  <c r="AB15" i="4"/>
  <c r="AC15" i="4"/>
  <c r="AD15" i="4"/>
  <c r="AE15" i="4"/>
  <c r="W16" i="4"/>
  <c r="X16" i="4"/>
  <c r="Y16" i="4"/>
  <c r="Z16" i="4"/>
  <c r="AA16" i="4"/>
  <c r="AB16" i="4"/>
  <c r="AC16" i="4"/>
  <c r="AD16" i="4"/>
  <c r="AE16" i="4"/>
  <c r="W17" i="4"/>
  <c r="X17" i="4"/>
  <c r="Y17" i="4"/>
  <c r="Z17" i="4"/>
  <c r="AA17" i="4"/>
  <c r="AB17" i="4"/>
  <c r="AC17" i="4"/>
  <c r="AD17" i="4"/>
  <c r="AE17" i="4"/>
  <c r="W18" i="4"/>
  <c r="X18" i="4"/>
  <c r="Y18" i="4"/>
  <c r="Z18" i="4"/>
  <c r="AA18" i="4"/>
  <c r="AB18" i="4"/>
  <c r="AC18" i="4"/>
  <c r="AD18" i="4"/>
  <c r="AE18" i="4"/>
  <c r="W19" i="4"/>
  <c r="X19" i="4"/>
  <c r="Y19" i="4"/>
  <c r="Z19" i="4"/>
  <c r="AA19" i="4"/>
  <c r="AB19" i="4"/>
  <c r="AC19" i="4"/>
  <c r="AD19" i="4"/>
  <c r="AE19" i="4"/>
  <c r="W20" i="4"/>
  <c r="X20" i="4"/>
  <c r="Y20" i="4"/>
  <c r="Z20" i="4"/>
  <c r="AA20" i="4"/>
  <c r="AB20" i="4"/>
  <c r="AC20" i="4"/>
  <c r="AD20" i="4"/>
  <c r="AE20" i="4"/>
  <c r="W21" i="4"/>
  <c r="X21" i="4"/>
  <c r="Y21" i="4"/>
  <c r="Z21" i="4"/>
  <c r="AA21" i="4"/>
  <c r="AB21" i="4"/>
  <c r="AC21" i="4"/>
  <c r="AD21" i="4"/>
  <c r="AE21" i="4"/>
  <c r="W22" i="4"/>
  <c r="X22" i="4"/>
  <c r="Y22" i="4"/>
  <c r="Z22" i="4"/>
  <c r="AA22" i="4"/>
  <c r="AB22" i="4"/>
  <c r="AC22" i="4"/>
  <c r="AD22" i="4"/>
  <c r="AE22" i="4"/>
  <c r="W23" i="4"/>
  <c r="X23" i="4"/>
  <c r="Y23" i="4"/>
  <c r="Z23" i="4"/>
  <c r="AA23" i="4"/>
  <c r="AB23" i="4"/>
  <c r="AC23" i="4"/>
  <c r="AD23" i="4"/>
  <c r="AE23" i="4"/>
  <c r="W24" i="4"/>
  <c r="X24" i="4"/>
  <c r="Y24" i="4"/>
  <c r="Z24" i="4"/>
  <c r="AA24" i="4"/>
  <c r="AB24" i="4"/>
  <c r="AC24" i="4"/>
  <c r="AD24" i="4"/>
  <c r="AE24" i="4"/>
  <c r="W25" i="4"/>
  <c r="X25" i="4"/>
  <c r="Y25" i="4"/>
  <c r="Z25" i="4"/>
  <c r="AA25" i="4"/>
  <c r="AB25" i="4"/>
  <c r="AC25" i="4"/>
  <c r="AD25" i="4"/>
  <c r="AE25" i="4"/>
  <c r="W26" i="4"/>
  <c r="X26" i="4"/>
  <c r="Y26" i="4"/>
  <c r="Z26" i="4"/>
  <c r="AA26" i="4"/>
  <c r="AB26" i="4"/>
  <c r="AC26" i="4"/>
  <c r="AD26" i="4"/>
  <c r="AE26" i="4"/>
  <c r="W27" i="4"/>
  <c r="X27" i="4"/>
  <c r="Y27" i="4"/>
  <c r="Z27" i="4"/>
  <c r="AA27" i="4"/>
  <c r="AB27" i="4"/>
  <c r="AC27" i="4"/>
  <c r="AD27" i="4"/>
  <c r="AE27" i="4"/>
  <c r="W28" i="4"/>
  <c r="X28" i="4"/>
  <c r="Y28" i="4"/>
  <c r="Z28" i="4"/>
  <c r="AA28" i="4"/>
  <c r="AB28" i="4"/>
  <c r="AC28" i="4"/>
  <c r="AD28" i="4"/>
  <c r="AE28" i="4"/>
  <c r="W29" i="4"/>
  <c r="X29" i="4"/>
  <c r="Y29" i="4"/>
  <c r="Z29" i="4"/>
  <c r="AA29" i="4"/>
  <c r="AB29" i="4"/>
  <c r="AC29" i="4"/>
  <c r="AD29" i="4"/>
  <c r="AE29" i="4"/>
  <c r="W30" i="4"/>
  <c r="X30" i="4"/>
  <c r="Y30" i="4"/>
  <c r="Z30" i="4"/>
  <c r="AA30" i="4"/>
  <c r="AB30" i="4"/>
  <c r="AC30" i="4"/>
  <c r="AD30" i="4"/>
  <c r="AE30" i="4"/>
  <c r="W31" i="4"/>
  <c r="X31" i="4"/>
  <c r="Y31" i="4"/>
  <c r="Z31" i="4"/>
  <c r="AA31" i="4"/>
  <c r="AB31" i="4"/>
  <c r="AC31" i="4"/>
  <c r="AD31" i="4"/>
  <c r="AE31" i="4"/>
  <c r="W32" i="4"/>
  <c r="X32" i="4"/>
  <c r="Y32" i="4"/>
  <c r="Z32" i="4"/>
  <c r="AA32" i="4"/>
  <c r="AB32" i="4"/>
  <c r="AC32" i="4"/>
  <c r="AD32" i="4"/>
  <c r="AE32" i="4"/>
  <c r="W33" i="4"/>
  <c r="X33" i="4"/>
  <c r="Y33" i="4"/>
  <c r="Z33" i="4"/>
  <c r="AA33" i="4"/>
  <c r="AB33" i="4"/>
  <c r="AC33" i="4"/>
  <c r="AD33" i="4"/>
  <c r="AE33" i="4"/>
  <c r="W34" i="4"/>
  <c r="X34" i="4"/>
  <c r="Y34" i="4"/>
  <c r="Z34" i="4"/>
  <c r="AA34" i="4"/>
  <c r="AB34" i="4"/>
  <c r="AC34" i="4"/>
  <c r="AD34" i="4"/>
  <c r="AE34" i="4"/>
  <c r="AE4" i="4"/>
  <c r="AD4" i="4"/>
  <c r="AC4" i="4"/>
  <c r="AB4" i="4"/>
  <c r="AA4" i="4"/>
  <c r="Z4" i="4"/>
  <c r="Y4" i="4"/>
  <c r="X4" i="4"/>
  <c r="W4" i="4"/>
  <c r="L5" i="13" l="1"/>
  <c r="L3" i="13" s="1"/>
  <c r="C506" i="6"/>
  <c r="A507" i="6"/>
  <c r="C414" i="6"/>
  <c r="A415" i="6"/>
  <c r="C367" i="6"/>
  <c r="A368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2" i="6"/>
  <c r="A3" i="6"/>
  <c r="A508" i="6" l="1"/>
  <c r="B507" i="6"/>
  <c r="A416" i="6"/>
  <c r="B415" i="6"/>
  <c r="A369" i="6"/>
  <c r="B368" i="6"/>
  <c r="A4" i="6"/>
  <c r="C3" i="6"/>
  <c r="C2" i="6"/>
  <c r="C507" i="6" l="1"/>
  <c r="B508" i="6"/>
  <c r="A509" i="6"/>
  <c r="C415" i="6"/>
  <c r="B416" i="6"/>
  <c r="A417" i="6"/>
  <c r="C368" i="6"/>
  <c r="B369" i="6"/>
  <c r="A370" i="6"/>
  <c r="A5" i="6"/>
  <c r="C4" i="6"/>
  <c r="A510" i="6" l="1"/>
  <c r="B509" i="6"/>
  <c r="C508" i="6"/>
  <c r="C416" i="6"/>
  <c r="A418" i="6"/>
  <c r="B417" i="6"/>
  <c r="C369" i="6"/>
  <c r="A371" i="6"/>
  <c r="B370" i="6"/>
  <c r="A6" i="6"/>
  <c r="C509" i="6" l="1"/>
  <c r="B510" i="6"/>
  <c r="A511" i="6"/>
  <c r="C417" i="6"/>
  <c r="B418" i="6"/>
  <c r="A419" i="6"/>
  <c r="C370" i="6"/>
  <c r="B371" i="6"/>
  <c r="A372" i="6"/>
  <c r="C5" i="6"/>
  <c r="A7" i="6"/>
  <c r="A512" i="6" l="1"/>
  <c r="B511" i="6"/>
  <c r="C510" i="6"/>
  <c r="C418" i="6"/>
  <c r="A420" i="6"/>
  <c r="B419" i="6"/>
  <c r="A373" i="6"/>
  <c r="B372" i="6"/>
  <c r="C371" i="6"/>
  <c r="C6" i="6"/>
  <c r="A8" i="6"/>
  <c r="C511" i="6" l="1"/>
  <c r="B512" i="6"/>
  <c r="A513" i="6"/>
  <c r="C419" i="6"/>
  <c r="B420" i="6"/>
  <c r="A421" i="6"/>
  <c r="C372" i="6"/>
  <c r="B373" i="6"/>
  <c r="A374" i="6"/>
  <c r="C7" i="6"/>
  <c r="A9" i="6"/>
  <c r="A514" i="6" l="1"/>
  <c r="B513" i="6"/>
  <c r="C512" i="6"/>
  <c r="C420" i="6"/>
  <c r="A422" i="6"/>
  <c r="B421" i="6"/>
  <c r="A375" i="6"/>
  <c r="B374" i="6"/>
  <c r="C373" i="6"/>
  <c r="A10" i="6"/>
  <c r="C8" i="6"/>
  <c r="C513" i="6" l="1"/>
  <c r="B514" i="6"/>
  <c r="A515" i="6"/>
  <c r="C421" i="6"/>
  <c r="B422" i="6"/>
  <c r="A423" i="6"/>
  <c r="B375" i="6"/>
  <c r="A376" i="6"/>
  <c r="C374" i="6"/>
  <c r="C9" i="6"/>
  <c r="A11" i="6"/>
  <c r="A516" i="6" l="1"/>
  <c r="B515" i="6"/>
  <c r="C514" i="6"/>
  <c r="A424" i="6"/>
  <c r="B423" i="6"/>
  <c r="C422" i="6"/>
  <c r="C375" i="6"/>
  <c r="A377" i="6"/>
  <c r="B376" i="6"/>
  <c r="A12" i="6"/>
  <c r="C10" i="6"/>
  <c r="C515" i="6" l="1"/>
  <c r="B516" i="6"/>
  <c r="A517" i="6"/>
  <c r="C423" i="6"/>
  <c r="B424" i="6"/>
  <c r="A425" i="6"/>
  <c r="C376" i="6"/>
  <c r="B377" i="6"/>
  <c r="A378" i="6"/>
  <c r="A13" i="6"/>
  <c r="C11" i="6"/>
  <c r="A518" i="6" l="1"/>
  <c r="B517" i="6"/>
  <c r="C516" i="6"/>
  <c r="A426" i="6"/>
  <c r="B425" i="6"/>
  <c r="C424" i="6"/>
  <c r="A379" i="6"/>
  <c r="B378" i="6"/>
  <c r="C377" i="6"/>
  <c r="A14" i="6"/>
  <c r="C12" i="6"/>
  <c r="C517" i="6" l="1"/>
  <c r="B518" i="6"/>
  <c r="A519" i="6"/>
  <c r="C425" i="6"/>
  <c r="B426" i="6"/>
  <c r="A427" i="6"/>
  <c r="C378" i="6"/>
  <c r="B379" i="6"/>
  <c r="A380" i="6"/>
  <c r="A15" i="6"/>
  <c r="C13" i="6"/>
  <c r="A520" i="6" l="1"/>
  <c r="B519" i="6"/>
  <c r="C518" i="6"/>
  <c r="A428" i="6"/>
  <c r="B427" i="6"/>
  <c r="C426" i="6"/>
  <c r="A381" i="6"/>
  <c r="B380" i="6"/>
  <c r="C379" i="6"/>
  <c r="A16" i="6"/>
  <c r="C14" i="6"/>
  <c r="C519" i="6" l="1"/>
  <c r="B520" i="6"/>
  <c r="A521" i="6"/>
  <c r="C427" i="6"/>
  <c r="B428" i="6"/>
  <c r="A429" i="6"/>
  <c r="B381" i="6"/>
  <c r="A382" i="6"/>
  <c r="C380" i="6"/>
  <c r="A17" i="6"/>
  <c r="C15" i="6"/>
  <c r="A522" i="6" l="1"/>
  <c r="B521" i="6"/>
  <c r="C520" i="6"/>
  <c r="A430" i="6"/>
  <c r="B429" i="6"/>
  <c r="C428" i="6"/>
  <c r="C381" i="6"/>
  <c r="A383" i="6"/>
  <c r="B382" i="6"/>
  <c r="A18" i="6"/>
  <c r="C16" i="6"/>
  <c r="C521" i="6" l="1"/>
  <c r="B522" i="6"/>
  <c r="A523" i="6"/>
  <c r="C429" i="6"/>
  <c r="B430" i="6"/>
  <c r="A431" i="6"/>
  <c r="C382" i="6"/>
  <c r="B383" i="6"/>
  <c r="A384" i="6"/>
  <c r="A19" i="6"/>
  <c r="C17" i="6"/>
  <c r="A524" i="6" l="1"/>
  <c r="B523" i="6"/>
  <c r="C522" i="6"/>
  <c r="A432" i="6"/>
  <c r="B431" i="6"/>
  <c r="C430" i="6"/>
  <c r="A385" i="6"/>
  <c r="B384" i="6"/>
  <c r="C383" i="6"/>
  <c r="A20" i="6"/>
  <c r="C18" i="6"/>
  <c r="C523" i="6" l="1"/>
  <c r="B524" i="6"/>
  <c r="A525" i="6"/>
  <c r="C431" i="6"/>
  <c r="B432" i="6"/>
  <c r="A433" i="6"/>
  <c r="B385" i="6"/>
  <c r="A386" i="6"/>
  <c r="C384" i="6"/>
  <c r="A21" i="6"/>
  <c r="C19" i="6"/>
  <c r="A526" i="6" l="1"/>
  <c r="B525" i="6"/>
  <c r="C524" i="6"/>
  <c r="A434" i="6"/>
  <c r="B433" i="6"/>
  <c r="C432" i="6"/>
  <c r="C385" i="6"/>
  <c r="A387" i="6"/>
  <c r="B386" i="6"/>
  <c r="C20" i="6"/>
  <c r="A22" i="6"/>
  <c r="C525" i="6" l="1"/>
  <c r="B526" i="6"/>
  <c r="A527" i="6"/>
  <c r="C433" i="6"/>
  <c r="B434" i="6"/>
  <c r="A435" i="6"/>
  <c r="C386" i="6"/>
  <c r="B387" i="6"/>
  <c r="A388" i="6"/>
  <c r="C21" i="6"/>
  <c r="A23" i="6"/>
  <c r="A528" i="6" l="1"/>
  <c r="B527" i="6"/>
  <c r="C526" i="6"/>
  <c r="A436" i="6"/>
  <c r="B435" i="6"/>
  <c r="C434" i="6"/>
  <c r="A389" i="6"/>
  <c r="B388" i="6"/>
  <c r="C387" i="6"/>
  <c r="C22" i="6"/>
  <c r="A24" i="6"/>
  <c r="C527" i="6" l="1"/>
  <c r="B528" i="6"/>
  <c r="A529" i="6"/>
  <c r="C435" i="6"/>
  <c r="B436" i="6"/>
  <c r="A437" i="6"/>
  <c r="C388" i="6"/>
  <c r="B389" i="6"/>
  <c r="A390" i="6"/>
  <c r="C23" i="6"/>
  <c r="A25" i="6"/>
  <c r="A530" i="6" l="1"/>
  <c r="B529" i="6"/>
  <c r="C528" i="6"/>
  <c r="C436" i="6"/>
  <c r="A438" i="6"/>
  <c r="B437" i="6"/>
  <c r="C389" i="6"/>
  <c r="A391" i="6"/>
  <c r="B390" i="6"/>
  <c r="A26" i="6"/>
  <c r="C24" i="6"/>
  <c r="C529" i="6" l="1"/>
  <c r="B530" i="6"/>
  <c r="A531" i="6"/>
  <c r="C437" i="6"/>
  <c r="B438" i="6"/>
  <c r="A439" i="6"/>
  <c r="B391" i="6"/>
  <c r="A392" i="6"/>
  <c r="C390" i="6"/>
  <c r="A27" i="6"/>
  <c r="C25" i="6"/>
  <c r="A532" i="6" l="1"/>
  <c r="B531" i="6"/>
  <c r="C530" i="6"/>
  <c r="A440" i="6"/>
  <c r="B439" i="6"/>
  <c r="C438" i="6"/>
  <c r="A393" i="6"/>
  <c r="B392" i="6"/>
  <c r="C391" i="6"/>
  <c r="A28" i="6"/>
  <c r="C26" i="6"/>
  <c r="C531" i="6" l="1"/>
  <c r="B532" i="6"/>
  <c r="A533" i="6"/>
  <c r="C439" i="6"/>
  <c r="B440" i="6"/>
  <c r="A441" i="6"/>
  <c r="C392" i="6"/>
  <c r="B393" i="6"/>
  <c r="A394" i="6"/>
  <c r="A29" i="6"/>
  <c r="C27" i="6"/>
  <c r="A534" i="6" l="1"/>
  <c r="B533" i="6"/>
  <c r="C532" i="6"/>
  <c r="A442" i="6"/>
  <c r="B441" i="6"/>
  <c r="C440" i="6"/>
  <c r="A395" i="6"/>
  <c r="B394" i="6"/>
  <c r="C393" i="6"/>
  <c r="A30" i="6"/>
  <c r="C28" i="6"/>
  <c r="C533" i="6" l="1"/>
  <c r="B534" i="6"/>
  <c r="A535" i="6"/>
  <c r="C441" i="6"/>
  <c r="B442" i="6"/>
  <c r="A443" i="6"/>
  <c r="C394" i="6"/>
  <c r="B395" i="6"/>
  <c r="A396" i="6"/>
  <c r="A31" i="6"/>
  <c r="C29" i="6"/>
  <c r="A536" i="6" l="1"/>
  <c r="B535" i="6"/>
  <c r="C534" i="6"/>
  <c r="C442" i="6"/>
  <c r="A444" i="6"/>
  <c r="B443" i="6"/>
  <c r="A397" i="6"/>
  <c r="B396" i="6"/>
  <c r="C395" i="6"/>
  <c r="A32" i="6"/>
  <c r="C30" i="6"/>
  <c r="C535" i="6" l="1"/>
  <c r="B536" i="6"/>
  <c r="A537" i="6"/>
  <c r="C443" i="6"/>
  <c r="B444" i="6"/>
  <c r="A445" i="6"/>
  <c r="B397" i="6"/>
  <c r="A398" i="6"/>
  <c r="C396" i="6"/>
  <c r="C31" i="6"/>
  <c r="A33" i="6"/>
  <c r="A538" i="6" l="1"/>
  <c r="B537" i="6"/>
  <c r="C536" i="6"/>
  <c r="C444" i="6"/>
  <c r="A446" i="6"/>
  <c r="B445" i="6"/>
  <c r="A399" i="6"/>
  <c r="B398" i="6"/>
  <c r="C397" i="6"/>
  <c r="C32" i="6"/>
  <c r="A34" i="6"/>
  <c r="C537" i="6" l="1"/>
  <c r="B538" i="6"/>
  <c r="A539" i="6"/>
  <c r="C445" i="6"/>
  <c r="B446" i="6"/>
  <c r="A447" i="6"/>
  <c r="B399" i="6"/>
  <c r="A400" i="6"/>
  <c r="C398" i="6"/>
  <c r="C33" i="6"/>
  <c r="A35" i="6"/>
  <c r="A540" i="6" l="1"/>
  <c r="B539" i="6"/>
  <c r="C538" i="6"/>
  <c r="A448" i="6"/>
  <c r="B447" i="6"/>
  <c r="C446" i="6"/>
  <c r="A401" i="6"/>
  <c r="B400" i="6"/>
  <c r="C399" i="6"/>
  <c r="C34" i="6"/>
  <c r="A36" i="6"/>
  <c r="C539" i="6" l="1"/>
  <c r="B540" i="6"/>
  <c r="A541" i="6"/>
  <c r="C447" i="6"/>
  <c r="B448" i="6"/>
  <c r="A449" i="6"/>
  <c r="C400" i="6"/>
  <c r="B401" i="6"/>
  <c r="A402" i="6"/>
  <c r="C35" i="6"/>
  <c r="A37" i="6"/>
  <c r="A542" i="6" l="1"/>
  <c r="B541" i="6"/>
  <c r="C540" i="6"/>
  <c r="A450" i="6"/>
  <c r="B449" i="6"/>
  <c r="C448" i="6"/>
  <c r="A403" i="6"/>
  <c r="B402" i="6"/>
  <c r="C401" i="6"/>
  <c r="A38" i="6"/>
  <c r="C36" i="6"/>
  <c r="C541" i="6" l="1"/>
  <c r="B542" i="6"/>
  <c r="A543" i="6"/>
  <c r="C449" i="6"/>
  <c r="B450" i="6"/>
  <c r="A451" i="6"/>
  <c r="C402" i="6"/>
  <c r="B403" i="6"/>
  <c r="A404" i="6"/>
  <c r="C37" i="6"/>
  <c r="A39" i="6"/>
  <c r="A544" i="6" l="1"/>
  <c r="B543" i="6"/>
  <c r="C542" i="6"/>
  <c r="A452" i="6"/>
  <c r="B451" i="6"/>
  <c r="C450" i="6"/>
  <c r="A405" i="6"/>
  <c r="B404" i="6"/>
  <c r="C403" i="6"/>
  <c r="A40" i="6"/>
  <c r="C38" i="6"/>
  <c r="C543" i="6" l="1"/>
  <c r="B544" i="6"/>
  <c r="A545" i="6"/>
  <c r="C451" i="6"/>
  <c r="B452" i="6"/>
  <c r="A453" i="6"/>
  <c r="B405" i="6"/>
  <c r="A406" i="6"/>
  <c r="C404" i="6"/>
  <c r="A41" i="6"/>
  <c r="C39" i="6"/>
  <c r="A546" i="6" l="1"/>
  <c r="B545" i="6"/>
  <c r="C544" i="6"/>
  <c r="A454" i="6"/>
  <c r="B453" i="6"/>
  <c r="C452" i="6"/>
  <c r="A407" i="6"/>
  <c r="B406" i="6"/>
  <c r="C405" i="6"/>
  <c r="A42" i="6"/>
  <c r="C40" i="6"/>
  <c r="C545" i="6" l="1"/>
  <c r="B546" i="6"/>
  <c r="A547" i="6"/>
  <c r="C453" i="6"/>
  <c r="B454" i="6"/>
  <c r="A455" i="6"/>
  <c r="B407" i="6"/>
  <c r="A408" i="6"/>
  <c r="C406" i="6"/>
  <c r="A43" i="6"/>
  <c r="C41" i="6"/>
  <c r="A548" i="6" l="1"/>
  <c r="B547" i="6"/>
  <c r="C546" i="6"/>
  <c r="A456" i="6"/>
  <c r="B455" i="6"/>
  <c r="C454" i="6"/>
  <c r="A409" i="6"/>
  <c r="B408" i="6"/>
  <c r="C407" i="6"/>
  <c r="A44" i="6"/>
  <c r="C42" i="6"/>
  <c r="C547" i="6" l="1"/>
  <c r="B548" i="6"/>
  <c r="A549" i="6"/>
  <c r="C455" i="6"/>
  <c r="B456" i="6"/>
  <c r="A457" i="6"/>
  <c r="C408" i="6"/>
  <c r="B409" i="6"/>
  <c r="A410" i="6"/>
  <c r="A45" i="6"/>
  <c r="C43" i="6"/>
  <c r="A550" i="6" l="1"/>
  <c r="B549" i="6"/>
  <c r="C548" i="6"/>
  <c r="A458" i="6"/>
  <c r="B457" i="6"/>
  <c r="C456" i="6"/>
  <c r="A411" i="6"/>
  <c r="B410" i="6"/>
  <c r="C409" i="6"/>
  <c r="A46" i="6"/>
  <c r="C44" i="6"/>
  <c r="C549" i="6" l="1"/>
  <c r="B550" i="6"/>
  <c r="A551" i="6"/>
  <c r="C457" i="6"/>
  <c r="B458" i="6"/>
  <c r="A459" i="6"/>
  <c r="C410" i="6"/>
  <c r="B411" i="6"/>
  <c r="A412" i="6"/>
  <c r="A47" i="6"/>
  <c r="C45" i="6"/>
  <c r="A552" i="6" l="1"/>
  <c r="B551" i="6"/>
  <c r="C550" i="6"/>
  <c r="A460" i="6"/>
  <c r="B459" i="6"/>
  <c r="C458" i="6"/>
  <c r="A413" i="6"/>
  <c r="B413" i="6" s="1"/>
  <c r="B412" i="6"/>
  <c r="C411" i="6"/>
  <c r="A48" i="6"/>
  <c r="C46" i="6"/>
  <c r="C551" i="6" l="1"/>
  <c r="B552" i="6"/>
  <c r="A553" i="6"/>
  <c r="C459" i="6"/>
  <c r="B460" i="6"/>
  <c r="A461" i="6"/>
  <c r="C413" i="6"/>
  <c r="C412" i="6"/>
  <c r="A49" i="6"/>
  <c r="C47" i="6"/>
  <c r="A554" i="6" l="1"/>
  <c r="B553" i="6"/>
  <c r="C552" i="6"/>
  <c r="A462" i="6"/>
  <c r="B461" i="6"/>
  <c r="C460" i="6"/>
  <c r="A50" i="6"/>
  <c r="C48" i="6"/>
  <c r="C553" i="6" l="1"/>
  <c r="B554" i="6"/>
  <c r="A555" i="6"/>
  <c r="C461" i="6"/>
  <c r="B462" i="6"/>
  <c r="A463" i="6"/>
  <c r="A51" i="6"/>
  <c r="C49" i="6"/>
  <c r="A556" i="6" l="1"/>
  <c r="B555" i="6"/>
  <c r="C554" i="6"/>
  <c r="A464" i="6"/>
  <c r="B463" i="6"/>
  <c r="C462" i="6"/>
  <c r="A52" i="6"/>
  <c r="C50" i="6"/>
  <c r="C555" i="6" l="1"/>
  <c r="B556" i="6"/>
  <c r="A557" i="6"/>
  <c r="B557" i="6" s="1"/>
  <c r="C463" i="6"/>
  <c r="B464" i="6"/>
  <c r="A465" i="6"/>
  <c r="A53" i="6"/>
  <c r="C51" i="6"/>
  <c r="C557" i="6" l="1"/>
  <c r="C556" i="6"/>
  <c r="A466" i="6"/>
  <c r="B465" i="6"/>
  <c r="C464" i="6"/>
  <c r="A54" i="6"/>
  <c r="C52" i="6"/>
  <c r="C465" i="6" l="1"/>
  <c r="B466" i="6"/>
  <c r="A467" i="6"/>
  <c r="A55" i="6"/>
  <c r="C53" i="6"/>
  <c r="A468" i="6" l="1"/>
  <c r="B467" i="6"/>
  <c r="C466" i="6"/>
  <c r="A56" i="6"/>
  <c r="C54" i="6"/>
  <c r="C467" i="6" l="1"/>
  <c r="B468" i="6"/>
  <c r="A469" i="6"/>
  <c r="A57" i="6"/>
  <c r="C55" i="6"/>
  <c r="C468" i="6" l="1"/>
  <c r="A470" i="6"/>
  <c r="B469" i="6"/>
  <c r="A58" i="6"/>
  <c r="C56" i="6"/>
  <c r="C469" i="6" l="1"/>
  <c r="B470" i="6"/>
  <c r="A471" i="6"/>
  <c r="A59" i="6"/>
  <c r="C57" i="6"/>
  <c r="A472" i="6" l="1"/>
  <c r="B471" i="6"/>
  <c r="C470" i="6"/>
  <c r="A60" i="6"/>
  <c r="C58" i="6"/>
  <c r="C471" i="6" l="1"/>
  <c r="B472" i="6"/>
  <c r="A473" i="6"/>
  <c r="A61" i="6"/>
  <c r="C59" i="6"/>
  <c r="A474" i="6" l="1"/>
  <c r="B473" i="6"/>
  <c r="C472" i="6"/>
  <c r="A62" i="6"/>
  <c r="C60" i="6"/>
  <c r="C473" i="6" l="1"/>
  <c r="B474" i="6"/>
  <c r="A475" i="6"/>
  <c r="A63" i="6"/>
  <c r="C61" i="6"/>
  <c r="C474" i="6" l="1"/>
  <c r="A476" i="6"/>
  <c r="B475" i="6"/>
  <c r="A64" i="6"/>
  <c r="C62" i="6"/>
  <c r="C475" i="6" l="1"/>
  <c r="B476" i="6"/>
  <c r="A477" i="6"/>
  <c r="A65" i="6"/>
  <c r="C63" i="6"/>
  <c r="A478" i="6" l="1"/>
  <c r="B477" i="6"/>
  <c r="C476" i="6"/>
  <c r="A66" i="6"/>
  <c r="C64" i="6"/>
  <c r="C477" i="6" l="1"/>
  <c r="B478" i="6"/>
  <c r="A479" i="6"/>
  <c r="A67" i="6"/>
  <c r="C65" i="6"/>
  <c r="A480" i="6" l="1"/>
  <c r="B479" i="6"/>
  <c r="C478" i="6"/>
  <c r="A68" i="6"/>
  <c r="C66" i="6"/>
  <c r="C479" i="6" l="1"/>
  <c r="B480" i="6"/>
  <c r="A481" i="6"/>
  <c r="A69" i="6"/>
  <c r="C67" i="6"/>
  <c r="A482" i="6" l="1"/>
  <c r="B481" i="6"/>
  <c r="C480" i="6"/>
  <c r="A70" i="6"/>
  <c r="C68" i="6"/>
  <c r="C481" i="6" l="1"/>
  <c r="B482" i="6"/>
  <c r="A483" i="6"/>
  <c r="A71" i="6"/>
  <c r="C69" i="6"/>
  <c r="A484" i="6" l="1"/>
  <c r="B483" i="6"/>
  <c r="C482" i="6"/>
  <c r="A72" i="6"/>
  <c r="C70" i="6"/>
  <c r="C483" i="6" l="1"/>
  <c r="B484" i="6"/>
  <c r="A485" i="6"/>
  <c r="A73" i="6"/>
  <c r="C71" i="6"/>
  <c r="A486" i="6" l="1"/>
  <c r="B485" i="6"/>
  <c r="C484" i="6"/>
  <c r="A74" i="6"/>
  <c r="C72" i="6"/>
  <c r="C485" i="6" l="1"/>
  <c r="B486" i="6"/>
  <c r="A487" i="6"/>
  <c r="A75" i="6"/>
  <c r="C73" i="6"/>
  <c r="C486" i="6" l="1"/>
  <c r="A488" i="6"/>
  <c r="B487" i="6"/>
  <c r="A76" i="6"/>
  <c r="C74" i="6"/>
  <c r="C487" i="6" l="1"/>
  <c r="B488" i="6"/>
  <c r="A489" i="6"/>
  <c r="A77" i="6"/>
  <c r="C75" i="6"/>
  <c r="C488" i="6" l="1"/>
  <c r="A490" i="6"/>
  <c r="B489" i="6"/>
  <c r="A78" i="6"/>
  <c r="C76" i="6"/>
  <c r="C489" i="6" l="1"/>
  <c r="B490" i="6"/>
  <c r="A491" i="6"/>
  <c r="A79" i="6"/>
  <c r="C77" i="6"/>
  <c r="C490" i="6" l="1"/>
  <c r="A492" i="6"/>
  <c r="B491" i="6"/>
  <c r="A80" i="6"/>
  <c r="C78" i="6"/>
  <c r="C491" i="6" l="1"/>
  <c r="B492" i="6"/>
  <c r="A493" i="6"/>
  <c r="A81" i="6"/>
  <c r="C79" i="6"/>
  <c r="C492" i="6" l="1"/>
  <c r="A494" i="6"/>
  <c r="B493" i="6"/>
  <c r="A82" i="6"/>
  <c r="C80" i="6"/>
  <c r="C493" i="6" l="1"/>
  <c r="B494" i="6"/>
  <c r="A495" i="6"/>
  <c r="A83" i="6"/>
  <c r="C81" i="6"/>
  <c r="C494" i="6" l="1"/>
  <c r="A496" i="6"/>
  <c r="B495" i="6"/>
  <c r="A84" i="6"/>
  <c r="C82" i="6"/>
  <c r="C495" i="6" l="1"/>
  <c r="B496" i="6"/>
  <c r="A497" i="6"/>
  <c r="A85" i="6"/>
  <c r="C83" i="6"/>
  <c r="C496" i="6" l="1"/>
  <c r="A498" i="6"/>
  <c r="B497" i="6"/>
  <c r="A86" i="6"/>
  <c r="C84" i="6"/>
  <c r="C497" i="6" l="1"/>
  <c r="B498" i="6"/>
  <c r="A499" i="6"/>
  <c r="A87" i="6"/>
  <c r="C85" i="6"/>
  <c r="C498" i="6" l="1"/>
  <c r="A500" i="6"/>
  <c r="B499" i="6"/>
  <c r="A88" i="6"/>
  <c r="C86" i="6"/>
  <c r="C499" i="6" l="1"/>
  <c r="B500" i="6"/>
  <c r="A501" i="6"/>
  <c r="A89" i="6"/>
  <c r="C87" i="6"/>
  <c r="A502" i="6" l="1"/>
  <c r="B501" i="6"/>
  <c r="C500" i="6"/>
  <c r="A90" i="6"/>
  <c r="C88" i="6"/>
  <c r="C501" i="6" l="1"/>
  <c r="B502" i="6"/>
  <c r="A503" i="6"/>
  <c r="A91" i="6"/>
  <c r="C89" i="6"/>
  <c r="A504" i="6" l="1"/>
  <c r="B503" i="6"/>
  <c r="C502" i="6"/>
  <c r="A92" i="6"/>
  <c r="C90" i="6"/>
  <c r="C503" i="6" l="1"/>
  <c r="B504" i="6"/>
  <c r="A505" i="6"/>
  <c r="B505" i="6" s="1"/>
  <c r="A93" i="6"/>
  <c r="C91" i="6"/>
  <c r="C504" i="6" l="1"/>
  <c r="C505" i="6"/>
  <c r="A94" i="6"/>
  <c r="C92" i="6"/>
  <c r="A95" i="6" l="1"/>
  <c r="C93" i="6"/>
  <c r="A96" i="6" l="1"/>
  <c r="C94" i="6"/>
  <c r="A97" i="6" l="1"/>
  <c r="C95" i="6"/>
  <c r="A98" i="6" l="1"/>
  <c r="C96" i="6"/>
  <c r="A99" i="6" l="1"/>
  <c r="C97" i="6"/>
  <c r="A100" i="6" l="1"/>
  <c r="C98" i="6"/>
  <c r="A101" i="6" l="1"/>
  <c r="C99" i="6"/>
  <c r="A102" i="6" l="1"/>
  <c r="C100" i="6"/>
  <c r="A103" i="6" l="1"/>
  <c r="C101" i="6"/>
  <c r="A104" i="6" l="1"/>
  <c r="C102" i="6"/>
  <c r="A105" i="6" l="1"/>
  <c r="C103" i="6"/>
  <c r="A106" i="6" l="1"/>
  <c r="C104" i="6"/>
  <c r="A107" i="6" l="1"/>
  <c r="C105" i="6"/>
  <c r="A108" i="6" l="1"/>
  <c r="C106" i="6"/>
  <c r="A109" i="6" l="1"/>
  <c r="C107" i="6"/>
  <c r="A110" i="6" l="1"/>
  <c r="C108" i="6"/>
  <c r="A111" i="6" l="1"/>
  <c r="C109" i="6"/>
  <c r="A112" i="6" l="1"/>
  <c r="C110" i="6"/>
  <c r="A113" i="6" l="1"/>
  <c r="C111" i="6"/>
  <c r="A114" i="6" l="1"/>
  <c r="C112" i="6"/>
  <c r="A115" i="6" l="1"/>
  <c r="C113" i="6"/>
  <c r="A116" i="6" l="1"/>
  <c r="C114" i="6"/>
  <c r="A117" i="6" l="1"/>
  <c r="C115" i="6"/>
  <c r="A118" i="6" l="1"/>
  <c r="C116" i="6"/>
  <c r="A119" i="6" l="1"/>
  <c r="C117" i="6"/>
  <c r="A120" i="6" l="1"/>
  <c r="C118" i="6"/>
  <c r="A121" i="6" l="1"/>
  <c r="C119" i="6"/>
  <c r="A122" i="6" l="1"/>
  <c r="C120" i="6"/>
  <c r="A123" i="6" l="1"/>
  <c r="C121" i="6"/>
  <c r="C122" i="6" l="1"/>
  <c r="A124" i="6"/>
  <c r="A125" i="6" l="1"/>
  <c r="C123" i="6"/>
  <c r="C124" i="6" l="1"/>
  <c r="A126" i="6"/>
  <c r="C125" i="6" l="1"/>
  <c r="A127" i="6"/>
  <c r="A128" i="6" l="1"/>
  <c r="C126" i="6"/>
  <c r="C127" i="6" l="1"/>
  <c r="A129" i="6"/>
  <c r="C128" i="6" l="1"/>
  <c r="A130" i="6"/>
  <c r="C129" i="6" l="1"/>
  <c r="A131" i="6"/>
  <c r="C130" i="6" l="1"/>
  <c r="A132" i="6"/>
  <c r="A133" i="6" l="1"/>
  <c r="C131" i="6"/>
  <c r="C132" i="6" l="1"/>
  <c r="A134" i="6"/>
  <c r="C133" i="6" l="1"/>
  <c r="A135" i="6"/>
  <c r="A136" i="6" l="1"/>
  <c r="C134" i="6"/>
  <c r="A137" i="6" l="1"/>
  <c r="C135" i="6"/>
  <c r="A138" i="6" l="1"/>
  <c r="C136" i="6"/>
  <c r="A139" i="6" l="1"/>
  <c r="C137" i="6"/>
  <c r="A140" i="6" l="1"/>
  <c r="C138" i="6"/>
  <c r="C139" i="6" l="1"/>
  <c r="A141" i="6"/>
  <c r="C140" i="6" l="1"/>
  <c r="A142" i="6"/>
  <c r="A143" i="6" l="1"/>
  <c r="C141" i="6"/>
  <c r="A144" i="6" l="1"/>
  <c r="C142" i="6"/>
  <c r="A145" i="6" l="1"/>
  <c r="C143" i="6"/>
  <c r="A146" i="6" l="1"/>
  <c r="C144" i="6"/>
  <c r="C145" i="6" l="1"/>
  <c r="A147" i="6"/>
  <c r="A148" i="6" l="1"/>
  <c r="C146" i="6"/>
  <c r="A149" i="6" l="1"/>
  <c r="C147" i="6"/>
  <c r="C148" i="6" l="1"/>
  <c r="A150" i="6"/>
  <c r="A151" i="6" l="1"/>
  <c r="C149" i="6"/>
  <c r="C150" i="6" l="1"/>
  <c r="A152" i="6"/>
  <c r="C151" i="6" l="1"/>
  <c r="A153" i="6"/>
  <c r="C152" i="6" l="1"/>
  <c r="A154" i="6"/>
  <c r="C153" i="6" l="1"/>
  <c r="A155" i="6"/>
  <c r="C154" i="6" l="1"/>
  <c r="A156" i="6"/>
  <c r="C155" i="6" l="1"/>
  <c r="A157" i="6"/>
  <c r="A158" i="6" l="1"/>
  <c r="C156" i="6"/>
  <c r="C157" i="6" l="1"/>
  <c r="A159" i="6"/>
  <c r="C158" i="6" l="1"/>
  <c r="A160" i="6"/>
  <c r="A161" i="6" l="1"/>
  <c r="C159" i="6"/>
  <c r="A162" i="6" l="1"/>
  <c r="C160" i="6"/>
  <c r="C161" i="6" l="1"/>
  <c r="A163" i="6"/>
  <c r="A164" i="6" l="1"/>
  <c r="C162" i="6"/>
  <c r="C163" i="6" l="1"/>
  <c r="A165" i="6"/>
  <c r="C164" i="6" l="1"/>
  <c r="A166" i="6"/>
  <c r="A167" i="6" l="1"/>
  <c r="C165" i="6"/>
  <c r="C166" i="6" l="1"/>
  <c r="A168" i="6"/>
  <c r="C167" i="6" l="1"/>
  <c r="A169" i="6"/>
  <c r="A170" i="6" l="1"/>
  <c r="C168" i="6"/>
  <c r="C169" i="6" l="1"/>
  <c r="A171" i="6"/>
  <c r="A172" i="6" l="1"/>
  <c r="C170" i="6"/>
  <c r="C171" i="6" l="1"/>
  <c r="A173" i="6"/>
  <c r="C172" i="6" l="1"/>
  <c r="A174" i="6"/>
  <c r="C173" i="6" l="1"/>
  <c r="A175" i="6"/>
  <c r="C174" i="6" l="1"/>
  <c r="A176" i="6"/>
  <c r="C175" i="6" l="1"/>
  <c r="A177" i="6"/>
  <c r="A178" i="6" l="1"/>
  <c r="C176" i="6"/>
  <c r="A179" i="6" l="1"/>
  <c r="C177" i="6"/>
  <c r="C178" i="6" l="1"/>
  <c r="A180" i="6"/>
  <c r="C179" i="6" l="1"/>
  <c r="A181" i="6"/>
  <c r="C180" i="6" l="1"/>
  <c r="A182" i="6"/>
  <c r="A183" i="6" l="1"/>
  <c r="C181" i="6"/>
  <c r="C182" i="6" l="1"/>
  <c r="A184" i="6"/>
  <c r="C183" i="6" l="1"/>
  <c r="A185" i="6"/>
  <c r="A186" i="6" l="1"/>
  <c r="C184" i="6"/>
  <c r="A187" i="6" l="1"/>
  <c r="C185" i="6"/>
  <c r="C186" i="6" l="1"/>
  <c r="A188" i="6"/>
  <c r="C187" i="6" l="1"/>
  <c r="A189" i="6"/>
  <c r="C188" i="6" l="1"/>
  <c r="A190" i="6"/>
  <c r="A191" i="6" l="1"/>
  <c r="C189" i="6"/>
  <c r="C190" i="6" l="1"/>
  <c r="A192" i="6"/>
  <c r="C191" i="6" l="1"/>
  <c r="A193" i="6"/>
  <c r="A194" i="6" l="1"/>
  <c r="C192" i="6"/>
  <c r="A195" i="6" l="1"/>
  <c r="C193" i="6"/>
  <c r="C194" i="6" l="1"/>
  <c r="A196" i="6"/>
  <c r="C195" i="6" l="1"/>
  <c r="A197" i="6"/>
  <c r="C196" i="6" l="1"/>
  <c r="A198" i="6"/>
  <c r="A199" i="6" l="1"/>
  <c r="C197" i="6"/>
  <c r="C198" i="6" l="1"/>
  <c r="A200" i="6"/>
  <c r="A201" i="6" l="1"/>
  <c r="C199" i="6"/>
  <c r="C200" i="6" l="1"/>
  <c r="A202" i="6"/>
  <c r="C201" i="6" l="1"/>
  <c r="A203" i="6"/>
  <c r="C202" i="6" l="1"/>
  <c r="A204" i="6"/>
  <c r="A205" i="6" l="1"/>
  <c r="C203" i="6"/>
  <c r="C204" i="6" l="1"/>
  <c r="A206" i="6"/>
  <c r="C205" i="6" l="1"/>
  <c r="A207" i="6"/>
  <c r="C206" i="6" l="1"/>
  <c r="A208" i="6"/>
  <c r="C207" i="6" l="1"/>
  <c r="A209" i="6"/>
  <c r="C208" i="6" l="1"/>
  <c r="A210" i="6"/>
  <c r="C209" i="6" l="1"/>
  <c r="A211" i="6"/>
  <c r="C210" i="6" l="1"/>
  <c r="A212" i="6"/>
  <c r="A213" i="6" l="1"/>
  <c r="C211" i="6"/>
  <c r="C212" i="6" l="1"/>
  <c r="A214" i="6"/>
  <c r="C213" i="6" l="1"/>
  <c r="A215" i="6"/>
  <c r="C214" i="6" l="1"/>
  <c r="A216" i="6"/>
  <c r="A217" i="6" l="1"/>
  <c r="C215" i="6"/>
  <c r="C216" i="6" l="1"/>
  <c r="A218" i="6"/>
  <c r="C217" i="6" l="1"/>
  <c r="A219" i="6"/>
  <c r="C218" i="6" l="1"/>
  <c r="A220" i="6"/>
  <c r="C219" i="6" l="1"/>
  <c r="A221" i="6"/>
  <c r="C220" i="6" l="1"/>
  <c r="A222" i="6"/>
  <c r="C221" i="6" l="1"/>
  <c r="A223" i="6"/>
  <c r="A224" i="6" l="1"/>
  <c r="C222" i="6"/>
  <c r="A225" i="6" l="1"/>
  <c r="C223" i="6"/>
  <c r="A226" i="6" l="1"/>
  <c r="C224" i="6"/>
  <c r="C225" i="6" l="1"/>
  <c r="A227" i="6"/>
  <c r="A228" i="6" l="1"/>
  <c r="C226" i="6"/>
  <c r="C227" i="6" l="1"/>
  <c r="A229" i="6"/>
  <c r="C228" i="6" l="1"/>
  <c r="A230" i="6"/>
  <c r="C229" i="6" l="1"/>
  <c r="A231" i="6"/>
  <c r="A232" i="6" l="1"/>
  <c r="C230" i="6"/>
  <c r="A233" i="6" l="1"/>
  <c r="C231" i="6"/>
  <c r="C232" i="6" l="1"/>
  <c r="A234" i="6"/>
  <c r="A235" i="6" l="1"/>
  <c r="C233" i="6"/>
  <c r="A236" i="6" l="1"/>
  <c r="C234" i="6"/>
  <c r="A237" i="6" l="1"/>
  <c r="C235" i="6"/>
  <c r="C236" i="6" l="1"/>
  <c r="A238" i="6"/>
  <c r="A239" i="6" l="1"/>
  <c r="C237" i="6"/>
  <c r="A240" i="6" l="1"/>
  <c r="C238" i="6"/>
  <c r="A241" i="6" l="1"/>
  <c r="C239" i="6"/>
  <c r="C240" i="6" l="1"/>
  <c r="A242" i="6"/>
  <c r="A243" i="6" l="1"/>
  <c r="C241" i="6"/>
  <c r="C242" i="6" l="1"/>
  <c r="A244" i="6"/>
  <c r="C243" i="6" l="1"/>
  <c r="A245" i="6"/>
  <c r="C244" i="6" l="1"/>
  <c r="A246" i="6"/>
  <c r="C245" i="6" l="1"/>
  <c r="A247" i="6"/>
  <c r="C246" i="6" l="1"/>
  <c r="A248" i="6"/>
  <c r="C247" i="6" l="1"/>
  <c r="A249" i="6"/>
  <c r="A250" i="6" l="1"/>
  <c r="C248" i="6"/>
  <c r="C249" i="6" l="1"/>
  <c r="A251" i="6"/>
  <c r="A252" i="6" l="1"/>
  <c r="C250" i="6"/>
  <c r="C251" i="6" l="1"/>
  <c r="A253" i="6"/>
  <c r="C252" i="6" l="1"/>
  <c r="A254" i="6"/>
  <c r="C253" i="6" l="1"/>
  <c r="A255" i="6"/>
  <c r="C254" i="6" l="1"/>
  <c r="A256" i="6"/>
  <c r="A257" i="6" l="1"/>
  <c r="C255" i="6"/>
  <c r="A258" i="6" l="1"/>
  <c r="C256" i="6"/>
  <c r="A259" i="6" l="1"/>
  <c r="C257" i="6"/>
  <c r="A260" i="6" l="1"/>
  <c r="C258" i="6"/>
  <c r="A261" i="6" l="1"/>
  <c r="C259" i="6"/>
  <c r="C260" i="6" l="1"/>
  <c r="A262" i="6"/>
  <c r="C261" i="6" l="1"/>
  <c r="A263" i="6"/>
  <c r="C262" i="6" l="1"/>
  <c r="A264" i="6"/>
  <c r="C263" i="6" l="1"/>
  <c r="A265" i="6"/>
  <c r="A266" i="6" l="1"/>
  <c r="C264" i="6"/>
  <c r="C265" i="6" l="1"/>
  <c r="A267" i="6"/>
  <c r="C266" i="6" l="1"/>
  <c r="A268" i="6"/>
  <c r="C267" i="6" l="1"/>
  <c r="A269" i="6"/>
  <c r="C268" i="6" l="1"/>
  <c r="A270" i="6"/>
  <c r="A271" i="6" l="1"/>
  <c r="C269" i="6"/>
  <c r="A272" i="6" l="1"/>
  <c r="C270" i="6"/>
  <c r="A273" i="6" l="1"/>
  <c r="C271" i="6"/>
  <c r="A274" i="6" l="1"/>
  <c r="C272" i="6"/>
  <c r="A275" i="6" l="1"/>
  <c r="C273" i="6"/>
  <c r="A276" i="6" l="1"/>
  <c r="C274" i="6"/>
  <c r="C275" i="6" l="1"/>
  <c r="A277" i="6"/>
  <c r="A278" i="6" l="1"/>
  <c r="C276" i="6"/>
  <c r="C277" i="6" l="1"/>
  <c r="A279" i="6"/>
  <c r="C278" i="6" l="1"/>
  <c r="A280" i="6"/>
  <c r="A281" i="6" l="1"/>
  <c r="C279" i="6"/>
  <c r="C280" i="6" l="1"/>
  <c r="A282" i="6"/>
  <c r="A283" i="6" l="1"/>
  <c r="C281" i="6"/>
  <c r="A284" i="6" l="1"/>
  <c r="C282" i="6"/>
  <c r="C283" i="6" l="1"/>
  <c r="A285" i="6"/>
  <c r="C284" i="6" l="1"/>
  <c r="A286" i="6"/>
  <c r="C285" i="6" l="1"/>
  <c r="A287" i="6"/>
  <c r="C286" i="6" l="1"/>
  <c r="A288" i="6"/>
  <c r="A289" i="6" l="1"/>
  <c r="C287" i="6"/>
  <c r="A290" i="6" l="1"/>
  <c r="C288" i="6"/>
  <c r="A291" i="6" l="1"/>
  <c r="C289" i="6"/>
  <c r="C290" i="6" l="1"/>
  <c r="A292" i="6"/>
  <c r="C291" i="6" l="1"/>
  <c r="A293" i="6"/>
  <c r="A294" i="6" l="1"/>
  <c r="C292" i="6"/>
  <c r="C293" i="6" l="1"/>
  <c r="A295" i="6"/>
  <c r="C294" i="6" l="1"/>
  <c r="A296" i="6"/>
  <c r="A297" i="6" l="1"/>
  <c r="C295" i="6"/>
  <c r="C296" i="6" l="1"/>
  <c r="A298" i="6"/>
  <c r="A299" i="6" l="1"/>
  <c r="C297" i="6"/>
  <c r="C298" i="6" l="1"/>
  <c r="A300" i="6"/>
  <c r="C299" i="6" l="1"/>
  <c r="A301" i="6"/>
  <c r="A302" i="6" l="1"/>
  <c r="C300" i="6"/>
  <c r="A303" i="6" l="1"/>
  <c r="C301" i="6"/>
  <c r="C302" i="6" l="1"/>
  <c r="A304" i="6"/>
  <c r="C303" i="6" l="1"/>
  <c r="A305" i="6"/>
  <c r="C304" i="6" l="1"/>
  <c r="A306" i="6"/>
  <c r="C305" i="6" l="1"/>
  <c r="A307" i="6"/>
  <c r="A308" i="6" l="1"/>
  <c r="C306" i="6"/>
  <c r="C307" i="6" l="1"/>
  <c r="A309" i="6"/>
  <c r="A310" i="6" l="1"/>
  <c r="C308" i="6"/>
  <c r="C309" i="6" l="1"/>
  <c r="A311" i="6"/>
  <c r="A312" i="6" l="1"/>
  <c r="C310" i="6"/>
  <c r="C311" i="6" l="1"/>
  <c r="A313" i="6"/>
  <c r="C312" i="6" l="1"/>
  <c r="A314" i="6"/>
  <c r="C313" i="6" l="1"/>
  <c r="A315" i="6"/>
  <c r="C314" i="6" l="1"/>
  <c r="A316" i="6"/>
  <c r="C315" i="6" l="1"/>
  <c r="A317" i="6"/>
  <c r="C316" i="6" l="1"/>
  <c r="A318" i="6"/>
  <c r="A319" i="6" l="1"/>
  <c r="C317" i="6"/>
  <c r="C318" i="6" l="1"/>
  <c r="A320" i="6"/>
  <c r="C319" i="6" l="1"/>
  <c r="A321" i="6"/>
  <c r="C320" i="6" l="1"/>
  <c r="A322" i="6"/>
  <c r="C321" i="6" l="1"/>
  <c r="A323" i="6"/>
  <c r="C322" i="6" l="1"/>
  <c r="A324" i="6"/>
  <c r="C323" i="6" l="1"/>
  <c r="A325" i="6"/>
  <c r="C324" i="6" l="1"/>
  <c r="A326" i="6"/>
  <c r="A327" i="6" l="1"/>
  <c r="C325" i="6"/>
  <c r="C326" i="6" l="1"/>
  <c r="A328" i="6"/>
  <c r="A329" i="6" l="1"/>
  <c r="C327" i="6"/>
  <c r="A330" i="6" l="1"/>
  <c r="C328" i="6"/>
  <c r="C329" i="6" l="1"/>
  <c r="A331" i="6"/>
  <c r="A332" i="6" l="1"/>
  <c r="C330" i="6"/>
  <c r="C331" i="6" l="1"/>
  <c r="A333" i="6"/>
  <c r="C332" i="6" l="1"/>
  <c r="A334" i="6"/>
  <c r="A335" i="6" l="1"/>
  <c r="C333" i="6"/>
  <c r="C334" i="6" l="1"/>
  <c r="A336" i="6"/>
  <c r="C335" i="6" l="1"/>
  <c r="A337" i="6"/>
  <c r="A338" i="6" l="1"/>
  <c r="C336" i="6"/>
  <c r="C337" i="6" l="1"/>
  <c r="A339" i="6"/>
  <c r="A340" i="6" l="1"/>
  <c r="C338" i="6"/>
  <c r="C339" i="6" l="1"/>
  <c r="A341" i="6"/>
  <c r="C340" i="6" l="1"/>
  <c r="A342" i="6"/>
  <c r="C341" i="6" l="1"/>
  <c r="A343" i="6"/>
  <c r="C342" i="6" l="1"/>
  <c r="A344" i="6"/>
  <c r="C343" i="6" l="1"/>
  <c r="A345" i="6"/>
  <c r="C344" i="6" l="1"/>
  <c r="A346" i="6"/>
  <c r="C345" i="6" l="1"/>
  <c r="A347" i="6"/>
  <c r="C346" i="6" l="1"/>
  <c r="A348" i="6"/>
  <c r="C347" i="6" l="1"/>
  <c r="A349" i="6"/>
  <c r="A350" i="6" l="1"/>
  <c r="C348" i="6"/>
  <c r="C349" i="6" l="1"/>
  <c r="A351" i="6"/>
  <c r="C350" i="6" l="1"/>
  <c r="A352" i="6"/>
  <c r="C351" i="6" l="1"/>
  <c r="A353" i="6"/>
  <c r="C352" i="6" l="1"/>
  <c r="A354" i="6"/>
  <c r="C353" i="6" l="1"/>
  <c r="A355" i="6"/>
  <c r="C354" i="6" l="1"/>
  <c r="A356" i="6"/>
  <c r="C355" i="6" l="1"/>
  <c r="A357" i="6"/>
  <c r="A358" i="6" l="1"/>
  <c r="C356" i="6"/>
  <c r="C357" i="6" l="1"/>
  <c r="A359" i="6"/>
  <c r="C358" i="6" l="1"/>
  <c r="A360" i="6"/>
  <c r="C359" i="6" l="1"/>
  <c r="A361" i="6"/>
  <c r="C360" i="6" l="1"/>
  <c r="A362" i="6"/>
  <c r="C361" i="6" l="1"/>
  <c r="A363" i="6"/>
  <c r="C362" i="6" l="1"/>
  <c r="A364" i="6"/>
  <c r="C363" i="6" l="1"/>
  <c r="A365" i="6"/>
  <c r="C364" i="6" l="1"/>
  <c r="A366" i="6"/>
  <c r="C365" i="6" l="1"/>
  <c r="C366" i="6"/>
  <c r="M4" i="4"/>
  <c r="AR4" i="4" s="1"/>
  <c r="N4" i="4"/>
  <c r="AS4" i="4" s="1"/>
  <c r="O4" i="4"/>
  <c r="AT4" i="4" s="1"/>
  <c r="P4" i="4"/>
  <c r="AU4" i="4" s="1"/>
  <c r="Q4" i="4"/>
  <c r="R4" i="4"/>
  <c r="AW4" i="4" s="1"/>
  <c r="M5" i="4"/>
  <c r="N5" i="4"/>
  <c r="O5" i="4"/>
  <c r="AT5" i="4" s="1"/>
  <c r="P5" i="4"/>
  <c r="AU5" i="4" s="1"/>
  <c r="Q5" i="4"/>
  <c r="AV5" i="4" s="1"/>
  <c r="R5" i="4"/>
  <c r="AW5" i="4" s="1"/>
  <c r="M6" i="4"/>
  <c r="AR6" i="4" s="1"/>
  <c r="N6" i="4"/>
  <c r="AS6" i="4" s="1"/>
  <c r="O6" i="4"/>
  <c r="AT6" i="4" s="1"/>
  <c r="P6" i="4"/>
  <c r="AU6" i="4" s="1"/>
  <c r="Q6" i="4"/>
  <c r="AV6" i="4" s="1"/>
  <c r="R6" i="4"/>
  <c r="AW6" i="4" s="1"/>
  <c r="M7" i="4"/>
  <c r="AR7" i="4" s="1"/>
  <c r="N7" i="4"/>
  <c r="AS7" i="4" s="1"/>
  <c r="O7" i="4"/>
  <c r="AT7" i="4" s="1"/>
  <c r="P7" i="4"/>
  <c r="AU7" i="4" s="1"/>
  <c r="Q7" i="4"/>
  <c r="AV7" i="4" s="1"/>
  <c r="R7" i="4"/>
  <c r="AW7" i="4" s="1"/>
  <c r="M8" i="4"/>
  <c r="AR8" i="4" s="1"/>
  <c r="N8" i="4"/>
  <c r="AS8" i="4" s="1"/>
  <c r="O8" i="4"/>
  <c r="AT8" i="4" s="1"/>
  <c r="P8" i="4"/>
  <c r="AU8" i="4" s="1"/>
  <c r="Q8" i="4"/>
  <c r="AV8" i="4" s="1"/>
  <c r="R8" i="4"/>
  <c r="AW8" i="4" s="1"/>
  <c r="M9" i="4"/>
  <c r="AR9" i="4" s="1"/>
  <c r="N9" i="4"/>
  <c r="AS9" i="4" s="1"/>
  <c r="O9" i="4"/>
  <c r="AT9" i="4" s="1"/>
  <c r="P9" i="4"/>
  <c r="AU9" i="4" s="1"/>
  <c r="Q9" i="4"/>
  <c r="AV9" i="4" s="1"/>
  <c r="R9" i="4"/>
  <c r="AW9" i="4" s="1"/>
  <c r="M10" i="4"/>
  <c r="AR10" i="4" s="1"/>
  <c r="N10" i="4"/>
  <c r="AS10" i="4" s="1"/>
  <c r="O10" i="4"/>
  <c r="AT10" i="4" s="1"/>
  <c r="P10" i="4"/>
  <c r="AU10" i="4" s="1"/>
  <c r="Q10" i="4"/>
  <c r="AV10" i="4" s="1"/>
  <c r="R10" i="4"/>
  <c r="AW10" i="4" s="1"/>
  <c r="M11" i="4"/>
  <c r="AR11" i="4" s="1"/>
  <c r="N11" i="4"/>
  <c r="O11" i="4"/>
  <c r="AT11" i="4" s="1"/>
  <c r="P11" i="4"/>
  <c r="AU11" i="4" s="1"/>
  <c r="Q11" i="4"/>
  <c r="AV11" i="4" s="1"/>
  <c r="R11" i="4"/>
  <c r="AW11" i="4" s="1"/>
  <c r="M12" i="4"/>
  <c r="AR12" i="4" s="1"/>
  <c r="N12" i="4"/>
  <c r="AS12" i="4" s="1"/>
  <c r="O12" i="4"/>
  <c r="AT12" i="4" s="1"/>
  <c r="P12" i="4"/>
  <c r="AU12" i="4" s="1"/>
  <c r="Q12" i="4"/>
  <c r="AV12" i="4" s="1"/>
  <c r="R12" i="4"/>
  <c r="AW12" i="4" s="1"/>
  <c r="M13" i="4"/>
  <c r="AR13" i="4" s="1"/>
  <c r="N13" i="4"/>
  <c r="AS13" i="4" s="1"/>
  <c r="O13" i="4"/>
  <c r="AT13" i="4" s="1"/>
  <c r="P13" i="4"/>
  <c r="AU13" i="4" s="1"/>
  <c r="Q13" i="4"/>
  <c r="AV13" i="4" s="1"/>
  <c r="R13" i="4"/>
  <c r="AW13" i="4" s="1"/>
  <c r="M14" i="4"/>
  <c r="AR14" i="4" s="1"/>
  <c r="N14" i="4"/>
  <c r="O14" i="4"/>
  <c r="AT14" i="4" s="1"/>
  <c r="P14" i="4"/>
  <c r="Q14" i="4"/>
  <c r="AV14" i="4" s="1"/>
  <c r="R14" i="4"/>
  <c r="AW14" i="4" s="1"/>
  <c r="M15" i="4"/>
  <c r="AR15" i="4" s="1"/>
  <c r="N15" i="4"/>
  <c r="O15" i="4"/>
  <c r="AT15" i="4" s="1"/>
  <c r="P15" i="4"/>
  <c r="AU15" i="4" s="1"/>
  <c r="Q15" i="4"/>
  <c r="AV15" i="4" s="1"/>
  <c r="R15" i="4"/>
  <c r="M16" i="4"/>
  <c r="AR16" i="4" s="1"/>
  <c r="N16" i="4"/>
  <c r="O16" i="4"/>
  <c r="AT16" i="4" s="1"/>
  <c r="P16" i="4"/>
  <c r="AU16" i="4" s="1"/>
  <c r="Q16" i="4"/>
  <c r="AV16" i="4" s="1"/>
  <c r="R16" i="4"/>
  <c r="AW16" i="4" s="1"/>
  <c r="M17" i="4"/>
  <c r="AR17" i="4" s="1"/>
  <c r="N17" i="4"/>
  <c r="AS17" i="4" s="1"/>
  <c r="O17" i="4"/>
  <c r="AT17" i="4" s="1"/>
  <c r="P17" i="4"/>
  <c r="AU17" i="4" s="1"/>
  <c r="Q17" i="4"/>
  <c r="AV17" i="4" s="1"/>
  <c r="R17" i="4"/>
  <c r="AW17" i="4" s="1"/>
  <c r="M18" i="4"/>
  <c r="AR18" i="4" s="1"/>
  <c r="N18" i="4"/>
  <c r="O18" i="4"/>
  <c r="AT18" i="4" s="1"/>
  <c r="P18" i="4"/>
  <c r="Q18" i="4"/>
  <c r="AV18" i="4" s="1"/>
  <c r="R18" i="4"/>
  <c r="AW18" i="4" s="1"/>
  <c r="M19" i="4"/>
  <c r="N19" i="4"/>
  <c r="O19" i="4"/>
  <c r="AT19" i="4" s="1"/>
  <c r="P19" i="4"/>
  <c r="AU19" i="4" s="1"/>
  <c r="Q19" i="4"/>
  <c r="R19" i="4"/>
  <c r="AW19" i="4" s="1"/>
  <c r="M20" i="4"/>
  <c r="AR20" i="4" s="1"/>
  <c r="N20" i="4"/>
  <c r="AS20" i="4" s="1"/>
  <c r="O20" i="4"/>
  <c r="AT20" i="4" s="1"/>
  <c r="P20" i="4"/>
  <c r="AU20" i="4" s="1"/>
  <c r="Q20" i="4"/>
  <c r="AV20" i="4" s="1"/>
  <c r="R20" i="4"/>
  <c r="AW20" i="4" s="1"/>
  <c r="M21" i="4"/>
  <c r="AR21" i="4" s="1"/>
  <c r="N21" i="4"/>
  <c r="O21" i="4"/>
  <c r="AT21" i="4" s="1"/>
  <c r="P21" i="4"/>
  <c r="AU21" i="4" s="1"/>
  <c r="Q21" i="4"/>
  <c r="R21" i="4"/>
  <c r="AW21" i="4" s="1"/>
  <c r="M22" i="4"/>
  <c r="AR22" i="4" s="1"/>
  <c r="N22" i="4"/>
  <c r="O22" i="4"/>
  <c r="P22" i="4"/>
  <c r="Q22" i="4"/>
  <c r="AV22" i="4" s="1"/>
  <c r="R22" i="4"/>
  <c r="AW22" i="4" s="1"/>
  <c r="M23" i="4"/>
  <c r="AR23" i="4" s="1"/>
  <c r="N23" i="4"/>
  <c r="AS23" i="4" s="1"/>
  <c r="O23" i="4"/>
  <c r="AT23" i="4" s="1"/>
  <c r="P23" i="4"/>
  <c r="AU23" i="4" s="1"/>
  <c r="Q23" i="4"/>
  <c r="AV23" i="4" s="1"/>
  <c r="R23" i="4"/>
  <c r="M24" i="4"/>
  <c r="AR24" i="4" s="1"/>
  <c r="N24" i="4"/>
  <c r="AS24" i="4" s="1"/>
  <c r="O24" i="4"/>
  <c r="AT24" i="4" s="1"/>
  <c r="P24" i="4"/>
  <c r="AU24" i="4" s="1"/>
  <c r="Q24" i="4"/>
  <c r="AV24" i="4" s="1"/>
  <c r="R24" i="4"/>
  <c r="AW24" i="4" s="1"/>
  <c r="M25" i="4"/>
  <c r="N25" i="4"/>
  <c r="O25" i="4"/>
  <c r="AT25" i="4" s="1"/>
  <c r="P25" i="4"/>
  <c r="AU25" i="4" s="1"/>
  <c r="Q25" i="4"/>
  <c r="R25" i="4"/>
  <c r="AW25" i="4" s="1"/>
  <c r="M26" i="4"/>
  <c r="AR26" i="4" s="1"/>
  <c r="N26" i="4"/>
  <c r="AS26" i="4" s="1"/>
  <c r="O26" i="4"/>
  <c r="P26" i="4"/>
  <c r="Q26" i="4"/>
  <c r="AV26" i="4" s="1"/>
  <c r="R26" i="4"/>
  <c r="AW26" i="4" s="1"/>
  <c r="M27" i="4"/>
  <c r="N27" i="4"/>
  <c r="AS27" i="4" s="1"/>
  <c r="O27" i="4"/>
  <c r="AT27" i="4" s="1"/>
  <c r="P27" i="4"/>
  <c r="AU27" i="4" s="1"/>
  <c r="Q27" i="4"/>
  <c r="R27" i="4"/>
  <c r="M28" i="4"/>
  <c r="AR28" i="4" s="1"/>
  <c r="N28" i="4"/>
  <c r="O28" i="4"/>
  <c r="P28" i="4"/>
  <c r="Q28" i="4"/>
  <c r="AV28" i="4" s="1"/>
  <c r="R28" i="4"/>
  <c r="M29" i="4"/>
  <c r="N29" i="4"/>
  <c r="O29" i="4"/>
  <c r="AT29" i="4" s="1"/>
  <c r="P29" i="4"/>
  <c r="Q29" i="4"/>
  <c r="R29" i="4"/>
  <c r="M30" i="4"/>
  <c r="AR30" i="4" s="1"/>
  <c r="N30" i="4"/>
  <c r="O30" i="4"/>
  <c r="P30" i="4"/>
  <c r="Q30" i="4"/>
  <c r="AV30" i="4" s="1"/>
  <c r="R30" i="4"/>
  <c r="M31" i="4"/>
  <c r="N31" i="4"/>
  <c r="O31" i="4"/>
  <c r="AT31" i="4" s="1"/>
  <c r="P31" i="4"/>
  <c r="Q31" i="4"/>
  <c r="R31" i="4"/>
  <c r="M32" i="4"/>
  <c r="AR32" i="4" s="1"/>
  <c r="N32" i="4"/>
  <c r="O32" i="4"/>
  <c r="P32" i="4"/>
  <c r="Q32" i="4"/>
  <c r="AV32" i="4" s="1"/>
  <c r="R32" i="4"/>
  <c r="M33" i="4"/>
  <c r="N33" i="4"/>
  <c r="O33" i="4"/>
  <c r="P33" i="4"/>
  <c r="Q33" i="4"/>
  <c r="R33" i="4"/>
  <c r="M34" i="4"/>
  <c r="AR34" i="4" s="1"/>
  <c r="N34" i="4"/>
  <c r="O34" i="4"/>
  <c r="P34" i="4"/>
  <c r="Q34" i="4"/>
  <c r="R34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V4" i="4" l="1"/>
  <c r="K5" i="13"/>
  <c r="K3" i="13" s="1"/>
  <c r="AM4" i="4"/>
  <c r="AH18" i="4"/>
  <c r="AH13" i="4"/>
  <c r="AI9" i="4"/>
  <c r="AK27" i="4"/>
  <c r="AJ13" i="4"/>
  <c r="AJ14" i="4"/>
  <c r="AL11" i="4"/>
  <c r="AJ15" i="4"/>
  <c r="AL16" i="4"/>
  <c r="AJ27" i="4"/>
  <c r="AH14" i="4"/>
  <c r="AH26" i="4"/>
  <c r="AJ23" i="4"/>
  <c r="AL20" i="4"/>
  <c r="AL12" i="4"/>
  <c r="AL13" i="4"/>
  <c r="AK20" i="4"/>
  <c r="AL17" i="4"/>
  <c r="AM11" i="4"/>
  <c r="AJ16" i="4"/>
  <c r="AJ12" i="4"/>
  <c r="AH23" i="4"/>
  <c r="AH11" i="4"/>
  <c r="AI27" i="4"/>
  <c r="AK24" i="4"/>
  <c r="AH28" i="4"/>
  <c r="AM21" i="4"/>
  <c r="AK19" i="4"/>
  <c r="AM12" i="4"/>
  <c r="AM6" i="4"/>
  <c r="AK23" i="4"/>
  <c r="AM18" i="4"/>
  <c r="AM14" i="4"/>
  <c r="AI12" i="4"/>
  <c r="AM16" i="4"/>
  <c r="AI26" i="4"/>
  <c r="AK13" i="4"/>
  <c r="AM24" i="4"/>
  <c r="AI20" i="4"/>
  <c r="AK15" i="4"/>
  <c r="AH17" i="4"/>
  <c r="AL30" i="4"/>
  <c r="AJ29" i="4"/>
  <c r="AM22" i="4"/>
  <c r="AK17" i="4"/>
  <c r="AJ21" i="4"/>
  <c r="AL4" i="4"/>
  <c r="AL14" i="4"/>
  <c r="AL6" i="4"/>
  <c r="AH24" i="4"/>
  <c r="AJ11" i="4"/>
  <c r="AH20" i="4"/>
  <c r="AH32" i="4"/>
  <c r="AJ31" i="4"/>
  <c r="AM33" i="4"/>
  <c r="AW33" i="4"/>
  <c r="AK32" i="4"/>
  <c r="AU32" i="4"/>
  <c r="AI31" i="4"/>
  <c r="AS31" i="4"/>
  <c r="AM29" i="4"/>
  <c r="AW29" i="4"/>
  <c r="AK28" i="4"/>
  <c r="AU28" i="4"/>
  <c r="AM27" i="4"/>
  <c r="AW27" i="4"/>
  <c r="AK26" i="4"/>
  <c r="AU26" i="4"/>
  <c r="AI25" i="4"/>
  <c r="AS25" i="4"/>
  <c r="AM23" i="4"/>
  <c r="AW23" i="4"/>
  <c r="AK22" i="4"/>
  <c r="AU22" i="4"/>
  <c r="AI21" i="4"/>
  <c r="AS21" i="4"/>
  <c r="AK18" i="4"/>
  <c r="AU18" i="4"/>
  <c r="AM15" i="4"/>
  <c r="AW15" i="4"/>
  <c r="AK14" i="4"/>
  <c r="AU14" i="4"/>
  <c r="AI11" i="4"/>
  <c r="AS11" i="4"/>
  <c r="AJ32" i="4"/>
  <c r="AT32" i="4"/>
  <c r="AH31" i="4"/>
  <c r="AR31" i="4"/>
  <c r="AL29" i="4"/>
  <c r="AV29" i="4"/>
  <c r="AJ28" i="4"/>
  <c r="AT28" i="4"/>
  <c r="AL27" i="4"/>
  <c r="AV27" i="4"/>
  <c r="AJ26" i="4"/>
  <c r="AT26" i="4"/>
  <c r="AH25" i="4"/>
  <c r="AR25" i="4"/>
  <c r="AJ22" i="4"/>
  <c r="AT22" i="4"/>
  <c r="AL19" i="4"/>
  <c r="AV19" i="4"/>
  <c r="AM34" i="4"/>
  <c r="AW34" i="4"/>
  <c r="AK33" i="4"/>
  <c r="AU33" i="4"/>
  <c r="AI32" i="4"/>
  <c r="AS32" i="4"/>
  <c r="AM30" i="4"/>
  <c r="AW30" i="4"/>
  <c r="AK29" i="4"/>
  <c r="AU29" i="4"/>
  <c r="AI28" i="4"/>
  <c r="AS28" i="4"/>
  <c r="AI22" i="4"/>
  <c r="AS22" i="4"/>
  <c r="AI18" i="4"/>
  <c r="AS18" i="4"/>
  <c r="AI14" i="4"/>
  <c r="AS14" i="4"/>
  <c r="AL34" i="4"/>
  <c r="AV34" i="4"/>
  <c r="AJ33" i="4"/>
  <c r="AT33" i="4"/>
  <c r="AL33" i="4"/>
  <c r="AV33" i="4"/>
  <c r="AH30" i="4"/>
  <c r="AL28" i="4"/>
  <c r="AK34" i="4"/>
  <c r="AU34" i="4"/>
  <c r="AI33" i="4"/>
  <c r="AS33" i="4"/>
  <c r="AM31" i="4"/>
  <c r="AW31" i="4"/>
  <c r="AK30" i="4"/>
  <c r="AU30" i="4"/>
  <c r="AI29" i="4"/>
  <c r="AS29" i="4"/>
  <c r="AI19" i="4"/>
  <c r="AS19" i="4"/>
  <c r="AI15" i="4"/>
  <c r="AS15" i="4"/>
  <c r="AH34" i="4"/>
  <c r="AJ34" i="4"/>
  <c r="AT34" i="4"/>
  <c r="AH33" i="4"/>
  <c r="AR33" i="4"/>
  <c r="AL31" i="4"/>
  <c r="AV31" i="4"/>
  <c r="AJ30" i="4"/>
  <c r="AT30" i="4"/>
  <c r="AH29" i="4"/>
  <c r="AR29" i="4"/>
  <c r="AH27" i="4"/>
  <c r="AR27" i="4"/>
  <c r="AL25" i="4"/>
  <c r="AV25" i="4"/>
  <c r="AL21" i="4"/>
  <c r="AV21" i="4"/>
  <c r="AH19" i="4"/>
  <c r="AR19" i="4"/>
  <c r="AL32" i="4"/>
  <c r="AL26" i="4"/>
  <c r="AI34" i="4"/>
  <c r="AS34" i="4"/>
  <c r="AM32" i="4"/>
  <c r="AW32" i="4"/>
  <c r="AK31" i="4"/>
  <c r="AU31" i="4"/>
  <c r="AI30" i="4"/>
  <c r="AS30" i="4"/>
  <c r="AM28" i="4"/>
  <c r="AW28" i="4"/>
  <c r="AI16" i="4"/>
  <c r="AS16" i="4"/>
  <c r="AH10" i="4"/>
  <c r="AI5" i="4"/>
  <c r="AS5" i="4"/>
  <c r="AH5" i="4"/>
  <c r="AR5" i="4"/>
  <c r="AL9" i="4"/>
  <c r="AJ8" i="4"/>
  <c r="AJ5" i="4"/>
  <c r="AH4" i="4"/>
  <c r="AK9" i="4"/>
  <c r="AJ9" i="4"/>
  <c r="AI8" i="4"/>
  <c r="AH8" i="4"/>
  <c r="AM10" i="4"/>
  <c r="T26" i="4"/>
  <c r="AY26" i="4" s="1"/>
  <c r="T14" i="4"/>
  <c r="AY14" i="4" s="1"/>
  <c r="T19" i="4"/>
  <c r="T10" i="4"/>
  <c r="AY10" i="4" s="1"/>
  <c r="T23" i="4"/>
  <c r="AY23" i="4" s="1"/>
  <c r="T6" i="4"/>
  <c r="AY6" i="4" s="1"/>
  <c r="S29" i="4"/>
  <c r="S27" i="4"/>
  <c r="S23" i="4"/>
  <c r="AX23" i="4" s="1"/>
  <c r="S19" i="4"/>
  <c r="S15" i="4"/>
  <c r="AX15" i="4" s="1"/>
  <c r="S10" i="4"/>
  <c r="AX10" i="4" s="1"/>
  <c r="S4" i="4"/>
  <c r="AX4" i="4" s="1"/>
  <c r="S24" i="4"/>
  <c r="AX24" i="4" s="1"/>
  <c r="U21" i="4"/>
  <c r="AZ21" i="4" s="1"/>
  <c r="S20" i="4"/>
  <c r="AX20" i="4" s="1"/>
  <c r="U17" i="4"/>
  <c r="AZ17" i="4" s="1"/>
  <c r="S16" i="4"/>
  <c r="AX16" i="4" s="1"/>
  <c r="S12" i="4"/>
  <c r="AX12" i="4" s="1"/>
  <c r="U11" i="4"/>
  <c r="S8" i="4"/>
  <c r="AX8" i="4" s="1"/>
  <c r="S7" i="4"/>
  <c r="AX7" i="4" s="1"/>
  <c r="S5" i="4"/>
  <c r="AX5" i="4" s="1"/>
  <c r="T22" i="4"/>
  <c r="T18" i="4"/>
  <c r="U22" i="4"/>
  <c r="AK7" i="4"/>
  <c r="AI4" i="4"/>
  <c r="AI6" i="4"/>
  <c r="AK10" i="4"/>
  <c r="AK6" i="4"/>
  <c r="AK4" i="4"/>
  <c r="AM8" i="4"/>
  <c r="AM7" i="4"/>
  <c r="AM5" i="4"/>
  <c r="AL7" i="4"/>
  <c r="AJ6" i="4"/>
  <c r="AI10" i="4"/>
  <c r="S30" i="4"/>
  <c r="AX30" i="4" s="1"/>
  <c r="U32" i="4"/>
  <c r="AZ32" i="4" s="1"/>
  <c r="AK8" i="4"/>
  <c r="AM26" i="4"/>
  <c r="AL18" i="4"/>
  <c r="T33" i="4"/>
  <c r="AM19" i="4"/>
  <c r="S34" i="4"/>
  <c r="AX34" i="4" s="1"/>
  <c r="S33" i="4"/>
  <c r="AX33" i="4" s="1"/>
  <c r="T32" i="4"/>
  <c r="AY32" i="4" s="1"/>
  <c r="AJ24" i="4"/>
  <c r="AK12" i="4"/>
  <c r="AM20" i="4"/>
  <c r="AK25" i="4"/>
  <c r="AJ17" i="4"/>
  <c r="AJ7" i="4"/>
  <c r="AL5" i="4"/>
  <c r="AL10" i="4"/>
  <c r="AH15" i="4"/>
  <c r="U28" i="4"/>
  <c r="AZ28" i="4" s="1"/>
  <c r="AH22" i="4"/>
  <c r="AH21" i="4"/>
  <c r="U30" i="4"/>
  <c r="AZ30" i="4" s="1"/>
  <c r="U29" i="4"/>
  <c r="AZ29" i="4" s="1"/>
  <c r="AI13" i="4"/>
  <c r="U34" i="4"/>
  <c r="AZ34" i="4" s="1"/>
  <c r="U33" i="4"/>
  <c r="AZ33" i="4" s="1"/>
  <c r="T31" i="4"/>
  <c r="AY31" i="4" s="1"/>
  <c r="S28" i="4"/>
  <c r="AX28" i="4" s="1"/>
  <c r="AM17" i="4"/>
  <c r="AH12" i="4"/>
  <c r="AH9" i="4"/>
  <c r="T34" i="4"/>
  <c r="AY34" i="4" s="1"/>
  <c r="S31" i="4"/>
  <c r="AX31" i="4" s="1"/>
  <c r="T29" i="4"/>
  <c r="AY29" i="4" s="1"/>
  <c r="AJ25" i="4"/>
  <c r="AI7" i="4"/>
  <c r="AK5" i="4"/>
  <c r="S32" i="4"/>
  <c r="AX32" i="4" s="1"/>
  <c r="T28" i="4"/>
  <c r="AY28" i="4" s="1"/>
  <c r="AI24" i="4"/>
  <c r="AK16" i="4"/>
  <c r="AL15" i="4"/>
  <c r="U31" i="4"/>
  <c r="AZ31" i="4" s="1"/>
  <c r="T30" i="4"/>
  <c r="AY30" i="4" s="1"/>
  <c r="AI23" i="4"/>
  <c r="AJ4" i="4"/>
  <c r="T17" i="4"/>
  <c r="AY17" i="4" s="1"/>
  <c r="AJ20" i="4"/>
  <c r="AH7" i="4"/>
  <c r="T20" i="4"/>
  <c r="AY20" i="4" s="1"/>
  <c r="S17" i="4"/>
  <c r="AX17" i="4" s="1"/>
  <c r="AJ19" i="4"/>
  <c r="AH6" i="4"/>
  <c r="U24" i="4"/>
  <c r="AZ24" i="4" s="1"/>
  <c r="U23" i="4"/>
  <c r="AZ23" i="4" s="1"/>
  <c r="T21" i="4"/>
  <c r="S18" i="4"/>
  <c r="AX18" i="4" s="1"/>
  <c r="U12" i="4"/>
  <c r="AZ12" i="4" s="1"/>
  <c r="T11" i="4"/>
  <c r="AY11" i="4" s="1"/>
  <c r="U8" i="4"/>
  <c r="AZ8" i="4" s="1"/>
  <c r="S6" i="4"/>
  <c r="AX6" i="4" s="1"/>
  <c r="AM25" i="4"/>
  <c r="AJ18" i="4"/>
  <c r="AK11" i="4"/>
  <c r="T24" i="4"/>
  <c r="AY24" i="4" s="1"/>
  <c r="S21" i="4"/>
  <c r="AX21" i="4" s="1"/>
  <c r="U18" i="4"/>
  <c r="AZ18" i="4" s="1"/>
  <c r="T12" i="4"/>
  <c r="AY12" i="4" s="1"/>
  <c r="S11" i="4"/>
  <c r="AX11" i="4" s="1"/>
  <c r="T8" i="4"/>
  <c r="AY8" i="4" s="1"/>
  <c r="AL24" i="4"/>
  <c r="U27" i="4"/>
  <c r="AZ27" i="4" s="1"/>
  <c r="T25" i="4"/>
  <c r="AY25" i="4" s="1"/>
  <c r="S22" i="4"/>
  <c r="AX22" i="4" s="1"/>
  <c r="U15" i="4"/>
  <c r="AZ15" i="4" s="1"/>
  <c r="T13" i="4"/>
  <c r="AY13" i="4" s="1"/>
  <c r="T9" i="4"/>
  <c r="AY9" i="4" s="1"/>
  <c r="U5" i="4"/>
  <c r="AZ5" i="4" s="1"/>
  <c r="U4" i="4"/>
  <c r="AZ4" i="4" s="1"/>
  <c r="U19" i="4"/>
  <c r="AZ19" i="4" s="1"/>
  <c r="U10" i="4"/>
  <c r="AZ10" i="4" s="1"/>
  <c r="AL23" i="4"/>
  <c r="AI17" i="4"/>
  <c r="AM9" i="4"/>
  <c r="S25" i="4"/>
  <c r="AX25" i="4" s="1"/>
  <c r="S13" i="4"/>
  <c r="AX13" i="4" s="1"/>
  <c r="S9" i="4"/>
  <c r="AX9" i="4" s="1"/>
  <c r="T5" i="4"/>
  <c r="AY5" i="4" s="1"/>
  <c r="U20" i="4"/>
  <c r="AZ20" i="4" s="1"/>
  <c r="AL22" i="4"/>
  <c r="AJ10" i="4"/>
  <c r="AL8" i="4"/>
  <c r="S26" i="4"/>
  <c r="AX26" i="4" s="1"/>
  <c r="U16" i="4"/>
  <c r="AZ16" i="4" s="1"/>
  <c r="S14" i="4"/>
  <c r="AX14" i="4" s="1"/>
  <c r="U7" i="4"/>
  <c r="AZ7" i="4" s="1"/>
  <c r="U6" i="4"/>
  <c r="AZ6" i="4" s="1"/>
  <c r="AK21" i="4"/>
  <c r="AH16" i="4"/>
  <c r="AM13" i="4"/>
  <c r="T27" i="4"/>
  <c r="AY27" i="4" s="1"/>
  <c r="U26" i="4"/>
  <c r="AZ26" i="4" s="1"/>
  <c r="U25" i="4"/>
  <c r="AZ25" i="4" s="1"/>
  <c r="T16" i="4"/>
  <c r="AY16" i="4" s="1"/>
  <c r="T15" i="4"/>
  <c r="AY15" i="4" s="1"/>
  <c r="U14" i="4"/>
  <c r="AZ14" i="4" s="1"/>
  <c r="U13" i="4"/>
  <c r="AZ13" i="4" s="1"/>
  <c r="U9" i="4"/>
  <c r="AZ9" i="4" s="1"/>
  <c r="T7" i="4"/>
  <c r="AY7" i="4" s="1"/>
  <c r="T4" i="4"/>
  <c r="AY4" i="4" s="1"/>
  <c r="N5" i="13" l="1"/>
  <c r="N3" i="13" s="1"/>
  <c r="M5" i="13"/>
  <c r="M3" i="13" s="1"/>
  <c r="H6" i="5"/>
  <c r="I6" i="5"/>
  <c r="K5" i="5"/>
  <c r="F6" i="5"/>
  <c r="K6" i="5"/>
  <c r="J5" i="5"/>
  <c r="H5" i="5"/>
  <c r="G6" i="5"/>
  <c r="J6" i="5"/>
  <c r="I5" i="5"/>
  <c r="F5" i="5"/>
  <c r="G5" i="5"/>
  <c r="AO10" i="4"/>
  <c r="AO11" i="4"/>
  <c r="AP17" i="4"/>
  <c r="AO14" i="4"/>
  <c r="AN23" i="4"/>
  <c r="AN20" i="4"/>
  <c r="AO26" i="4"/>
  <c r="AN15" i="4"/>
  <c r="AN8" i="4"/>
  <c r="AO23" i="4"/>
  <c r="AP21" i="4"/>
  <c r="AN16" i="4"/>
  <c r="AN12" i="4"/>
  <c r="AN24" i="4"/>
  <c r="AO21" i="4"/>
  <c r="AY21" i="4"/>
  <c r="AP22" i="4"/>
  <c r="AZ22" i="4"/>
  <c r="AP11" i="4"/>
  <c r="AZ11" i="4"/>
  <c r="N6" i="5" s="1"/>
  <c r="AN19" i="4"/>
  <c r="AX19" i="4"/>
  <c r="AO18" i="4"/>
  <c r="AY18" i="4"/>
  <c r="AO33" i="4"/>
  <c r="AY33" i="4"/>
  <c r="AO22" i="4"/>
  <c r="AY22" i="4"/>
  <c r="AN27" i="4"/>
  <c r="AX27" i="4"/>
  <c r="AO19" i="4"/>
  <c r="AY19" i="4"/>
  <c r="AN29" i="4"/>
  <c r="AX29" i="4"/>
  <c r="AO6" i="4"/>
  <c r="AN7" i="4"/>
  <c r="AP9" i="4"/>
  <c r="AO27" i="4"/>
  <c r="AP19" i="4"/>
  <c r="AP32" i="4"/>
  <c r="AO9" i="4"/>
  <c r="AP23" i="4"/>
  <c r="AN31" i="4"/>
  <c r="AP33" i="4"/>
  <c r="AN33" i="4"/>
  <c r="AN30" i="4"/>
  <c r="AN22" i="4"/>
  <c r="AN4" i="4"/>
  <c r="AO25" i="4"/>
  <c r="AP24" i="4"/>
  <c r="AN17" i="4"/>
  <c r="AN32" i="4"/>
  <c r="AO34" i="4"/>
  <c r="AP34" i="4"/>
  <c r="AN34" i="4"/>
  <c r="AN11" i="4"/>
  <c r="AO24" i="4"/>
  <c r="AO31" i="4"/>
  <c r="AO4" i="4"/>
  <c r="AP16" i="4"/>
  <c r="AO5" i="4"/>
  <c r="AP27" i="4"/>
  <c r="AO12" i="4"/>
  <c r="AP8" i="4"/>
  <c r="AP12" i="4"/>
  <c r="AO30" i="4"/>
  <c r="AP28" i="4"/>
  <c r="AN5" i="4"/>
  <c r="AO16" i="4"/>
  <c r="AN26" i="4"/>
  <c r="AN25" i="4"/>
  <c r="AN6" i="4"/>
  <c r="AN18" i="4"/>
  <c r="AP29" i="4"/>
  <c r="AO15" i="4"/>
  <c r="AN13" i="4"/>
  <c r="AP6" i="4"/>
  <c r="AP20" i="4"/>
  <c r="AN9" i="4"/>
  <c r="AP4" i="4"/>
  <c r="AN21" i="4"/>
  <c r="AO20" i="4"/>
  <c r="AP30" i="4"/>
  <c r="AO7" i="4"/>
  <c r="AP13" i="4"/>
  <c r="AP25" i="4"/>
  <c r="AP7" i="4"/>
  <c r="AN14" i="4"/>
  <c r="AP5" i="4"/>
  <c r="AO13" i="4"/>
  <c r="AO8" i="4"/>
  <c r="AN10" i="4"/>
  <c r="AP14" i="4"/>
  <c r="AP26" i="4"/>
  <c r="AP10" i="4"/>
  <c r="AP15" i="4"/>
  <c r="AN28" i="4"/>
  <c r="AO29" i="4"/>
  <c r="AP31" i="4"/>
  <c r="AO28" i="4"/>
  <c r="AO32" i="4"/>
  <c r="AP18" i="4"/>
  <c r="AO17" i="4"/>
  <c r="BB21" i="4" l="1"/>
  <c r="BB34" i="4"/>
  <c r="BB13" i="4"/>
  <c r="BB5" i="4"/>
  <c r="BB10" i="4"/>
  <c r="BB17" i="4"/>
  <c r="BB6" i="4"/>
  <c r="BB11" i="4"/>
  <c r="BB32" i="4"/>
  <c r="BB18" i="4"/>
  <c r="BB29" i="4"/>
  <c r="BB7" i="4"/>
  <c r="BB9" i="4"/>
  <c r="BB25" i="4"/>
  <c r="BB22" i="4"/>
  <c r="BB26" i="4"/>
  <c r="BB30" i="4"/>
  <c r="BB24" i="4"/>
  <c r="BB14" i="4"/>
  <c r="BB4" i="4"/>
  <c r="BB15" i="4"/>
  <c r="BB33" i="4"/>
  <c r="BB27" i="4"/>
  <c r="BB19" i="4"/>
  <c r="BB12" i="4"/>
  <c r="BB23" i="4"/>
  <c r="BB16" i="4"/>
  <c r="BB31" i="4"/>
  <c r="BB28" i="4"/>
  <c r="BB8" i="4"/>
  <c r="N5" i="5"/>
  <c r="L5" i="5"/>
  <c r="M5" i="5"/>
  <c r="L6" i="5"/>
  <c r="M6" i="5"/>
  <c r="F2" i="5"/>
  <c r="J2" i="5"/>
  <c r="K2" i="5"/>
  <c r="G2" i="5"/>
  <c r="I2" i="5"/>
  <c r="H2" i="5"/>
  <c r="O5" i="13" l="1"/>
  <c r="O3" i="13" s="1"/>
  <c r="J2" i="13" s="1"/>
  <c r="M2" i="5"/>
  <c r="N2" i="5"/>
  <c r="L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Jestoni T. Penaso</author>
  </authors>
  <commentList>
    <comment ref="A3" authorId="0" shapeId="0" xr:uid="{F03847BF-A8BC-45C8-A624-15742CBE4819}">
      <text>
        <r>
          <rPr>
            <b/>
            <sz val="9"/>
            <color indexed="81"/>
            <rFont val="Tahoma"/>
            <charset val="1"/>
          </rPr>
          <t>Jestoni T. Penaso:</t>
        </r>
        <r>
          <rPr>
            <sz val="9"/>
            <color indexed="81"/>
            <rFont val="Tahoma"/>
            <charset val="1"/>
          </rPr>
          <t xml:space="preserve">
Do not Delete</t>
        </r>
      </text>
    </comment>
    <comment ref="B3" authorId="0" shapeId="0" xr:uid="{CE1F64BF-B34F-4AFA-AE8C-A1E220E9B2AA}">
      <text>
        <r>
          <rPr>
            <b/>
            <sz val="9"/>
            <color indexed="81"/>
            <rFont val="Tahoma"/>
            <charset val="1"/>
          </rPr>
          <t>Jestoni T. Penaso:</t>
        </r>
        <r>
          <rPr>
            <sz val="9"/>
            <color indexed="81"/>
            <rFont val="Tahoma"/>
            <charset val="1"/>
          </rPr>
          <t xml:space="preserve">
download from 
ZSERIAL_ISSUES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Jestoni T. Penaso</author>
  </authors>
  <commentList>
    <comment ref="X111" authorId="0" shapeId="0" xr:uid="{B98F8DD7-5D14-4106-87BA-778393AB7648}">
      <text>
        <r>
          <rPr>
            <b/>
            <sz val="9"/>
            <color indexed="81"/>
            <rFont val="Tahoma"/>
            <family val="2"/>
          </rPr>
          <t>Jestoni T. Penaso:</t>
        </r>
        <r>
          <rPr>
            <sz val="9"/>
            <color indexed="81"/>
            <rFont val="Tahoma"/>
            <family val="2"/>
          </rPr>
          <t xml:space="preserve">
base on SAR
</t>
        </r>
      </text>
    </comment>
    <comment ref="X112" authorId="0" shapeId="0" xr:uid="{BFDC1036-3A60-4449-BD45-094D77199A09}">
      <text>
        <r>
          <rPr>
            <b/>
            <sz val="9"/>
            <color indexed="81"/>
            <rFont val="Tahoma"/>
            <family val="2"/>
          </rPr>
          <t>Jestoni T. Penaso:</t>
        </r>
        <r>
          <rPr>
            <sz val="9"/>
            <color indexed="81"/>
            <rFont val="Tahoma"/>
            <family val="2"/>
          </rPr>
          <t xml:space="preserve">
base on SAR</t>
        </r>
      </text>
    </comment>
    <comment ref="X121" authorId="0" shapeId="0" xr:uid="{6A6537DE-4CE0-4743-82F9-23497D815806}">
      <text>
        <r>
          <rPr>
            <b/>
            <sz val="9"/>
            <color indexed="81"/>
            <rFont val="Tahoma"/>
            <family val="2"/>
          </rPr>
          <t>Jestoni T. Penaso:</t>
        </r>
        <r>
          <rPr>
            <sz val="9"/>
            <color indexed="81"/>
            <rFont val="Tahoma"/>
            <family val="2"/>
          </rPr>
          <t xml:space="preserve">
base on sar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Jestoni T. Penaso</author>
  </authors>
  <commentList>
    <comment ref="A2" authorId="0" shapeId="0" xr:uid="{8B682308-5AD2-40C8-9C7E-DD927A7F2A0A}">
      <text>
        <r>
          <rPr>
            <b/>
            <sz val="9"/>
            <color indexed="81"/>
            <rFont val="Tahoma"/>
            <family val="2"/>
          </rPr>
          <t>Jestoni T. Penaso:</t>
        </r>
        <r>
          <rPr>
            <sz val="9"/>
            <color indexed="81"/>
            <rFont val="Tahoma"/>
            <family val="2"/>
          </rPr>
          <t xml:space="preserve">
If incorrect the total lines of ZSERIALS is not match from the total lines per user below</t>
        </r>
      </text>
    </comment>
    <comment ref="F2" authorId="0" shapeId="0" xr:uid="{40E4EAE2-8B14-4371-91B9-431FBB8DF38C}">
      <text>
        <r>
          <rPr>
            <b/>
            <sz val="9"/>
            <color indexed="81"/>
            <rFont val="Tahoma"/>
            <family val="2"/>
          </rPr>
          <t>Jestoni T. Penaso:</t>
        </r>
        <r>
          <rPr>
            <sz val="9"/>
            <color indexed="81"/>
            <rFont val="Tahoma"/>
            <family val="2"/>
          </rPr>
          <t xml:space="preserve">
if incorrect formula being shuffle. This must be always PASSED</t>
        </r>
      </text>
    </comment>
    <comment ref="J2" authorId="0" shapeId="0" xr:uid="{A3EEC967-21DF-4973-BF5C-E388CF718102}">
      <text>
        <r>
          <rPr>
            <b/>
            <sz val="9"/>
            <color indexed="81"/>
            <rFont val="Tahoma"/>
            <charset val="1"/>
          </rPr>
          <t>Jestoni T. Penaso:</t>
        </r>
        <r>
          <rPr>
            <sz val="9"/>
            <color indexed="81"/>
            <rFont val="Tahoma"/>
            <charset val="1"/>
          </rPr>
          <t xml:space="preserve">
If incorrect the Zserial data lines and the formulated cells from column M to BB are mismatch. This must be always PASSED</t>
        </r>
      </text>
    </comment>
    <comment ref="Q2" authorId="0" shapeId="0" xr:uid="{8B4DDE21-7333-40AD-8D6F-C531DD9EA7EA}">
      <text>
        <r>
          <rPr>
            <b/>
            <sz val="9"/>
            <color indexed="81"/>
            <rFont val="Tahoma"/>
            <family val="2"/>
          </rPr>
          <t>Jestoni T. Penaso:</t>
        </r>
        <r>
          <rPr>
            <sz val="9"/>
            <color indexed="81"/>
            <rFont val="Tahoma"/>
            <family val="2"/>
          </rPr>
          <t xml:space="preserve">
the serial account # is mismatch between Zseial acct# vs MLR acct# </t>
        </r>
      </text>
    </comment>
    <comment ref="S2" authorId="0" shapeId="0" xr:uid="{96CF7A38-E572-4D89-B5CF-50D3D38FBEB3}">
      <text>
        <r>
          <rPr>
            <b/>
            <sz val="9"/>
            <color indexed="81"/>
            <rFont val="Tahoma"/>
            <family val="2"/>
          </rPr>
          <t>Jestoni T. Penaso:</t>
        </r>
        <r>
          <rPr>
            <sz val="9"/>
            <color indexed="81"/>
            <rFont val="Tahoma"/>
            <family val="2"/>
          </rPr>
          <t xml:space="preserve">
if incorrect the serial on MLR is not found on Zserial </t>
        </r>
      </text>
    </comment>
  </commentList>
</comments>
</file>

<file path=xl/sharedStrings.xml><?xml version="1.0" encoding="utf-8"?>
<sst xmlns="http://schemas.openxmlformats.org/spreadsheetml/2006/main" count="4173" uniqueCount="593">
  <si>
    <t>DATE INSTALLED</t>
  </si>
  <si>
    <t>JO NUMBER</t>
  </si>
  <si>
    <t xml:space="preserve">ACCOUNT NUMBER </t>
  </si>
  <si>
    <t>SUBSCRIBER NAME</t>
  </si>
  <si>
    <t>MODEM</t>
  </si>
  <si>
    <t>MODEM SERIAL #</t>
  </si>
  <si>
    <t>From ( Start Mtrs)</t>
  </si>
  <si>
    <t xml:space="preserve">To ( End Mtrs) </t>
  </si>
  <si>
    <t>Total Meters</t>
  </si>
  <si>
    <t xml:space="preserve">Reel NO. </t>
  </si>
  <si>
    <t>FOC; DROP CABLE; 2 CORE; FIG8; ORANGE ST</t>
  </si>
  <si>
    <t>CONNECTOR, MECHANICAL; FAST SC; SC/APC</t>
  </si>
  <si>
    <t>CLAMP, ANCHOR; S-SHAPE; F17</t>
  </si>
  <si>
    <t>PATCHCORD; OJC; SM SX SC/APC-SC/APC 1.5M</t>
  </si>
  <si>
    <t>HOUSE BRACKET; F19 C TYPE HOOK</t>
  </si>
  <si>
    <t>CLAMP, MID-SPAN; F20 TWO SLOTS HOOK</t>
  </si>
  <si>
    <t>CLIP, CABLE; 5MM</t>
  </si>
  <si>
    <t>TERMINAL BOX; FTTH</t>
  </si>
  <si>
    <t>JUMPER; ILU; AC/APC; 10.0M</t>
  </si>
  <si>
    <t>JUMPER; ILU; SC/APC; 20.0M</t>
  </si>
  <si>
    <t>JUMPER; ILU; SC/APC; 30.0M</t>
  </si>
  <si>
    <t>JUMPER; ILU; SC/APC; 40.0M</t>
  </si>
  <si>
    <t>CLIP A; W/ ADHESIVE</t>
  </si>
  <si>
    <t>CLIP B; W/ ADHESIVE</t>
  </si>
  <si>
    <t>TAPE, ELECTRICAL</t>
  </si>
  <si>
    <t>EPOXY; W/ NOZZLE &amp; CAP</t>
  </si>
  <si>
    <t>TAPE, DOUBLE SIDED; FOAM TYPE 1" X 5 MET</t>
  </si>
  <si>
    <t>TIE, CABLE; WRAP; 100MM X 2.5MM (4')</t>
  </si>
  <si>
    <t>TIE, CABLE; WRAP; 150MM X 2.5MM (6')</t>
  </si>
  <si>
    <t>TIE, CABLE; WRAP; 200MM X 4.6MM (8')</t>
  </si>
  <si>
    <t>INV ISSUE #</t>
  </si>
  <si>
    <t>IMBOS REMARKS</t>
  </si>
  <si>
    <t>DROP CABLE       (Meters)</t>
  </si>
  <si>
    <t>MECH CONNECTOR       (pc.)</t>
  </si>
  <si>
    <t>S-CLAMP 
(pc.)</t>
  </si>
  <si>
    <t xml:space="preserve">PATCH CORD
(pc.)                     </t>
  </si>
  <si>
    <t>HOUSE BRACKET/ F19 C TYPE HOOK (pc.)</t>
  </si>
  <si>
    <t>MID SPAN/ F20 TWO SLOTS HOOK (pc.)</t>
  </si>
  <si>
    <t>CABLE CLIP 
(pc.)</t>
  </si>
  <si>
    <t>NIU BOX 
(pc.)</t>
  </si>
  <si>
    <t>10m
(pc.)</t>
  </si>
  <si>
    <t>20m
(pc.)</t>
  </si>
  <si>
    <t>30m
(pc.)</t>
  </si>
  <si>
    <t>40m
(pc.)</t>
  </si>
  <si>
    <t>CLIP A 
(pc.)</t>
  </si>
  <si>
    <t>CLIP B 
(pc.)</t>
  </si>
  <si>
    <t>ARMAK TAPE
1 : 5
1 tape = 5 clients</t>
  </si>
  <si>
    <t>EPOXY TUBE</t>
  </si>
  <si>
    <t>DOUBLE ADHES
1 : 5
1 adhesive = 5 clients</t>
  </si>
  <si>
    <t>CABLE TIE
(pc.)</t>
  </si>
  <si>
    <t>Material</t>
  </si>
  <si>
    <t>Serial Number</t>
  </si>
  <si>
    <t>Plant</t>
  </si>
  <si>
    <t/>
  </si>
  <si>
    <t>INTEG_USER</t>
  </si>
  <si>
    <t>Entry Date</t>
  </si>
  <si>
    <t>Material Document</t>
  </si>
  <si>
    <t>Vendor Code</t>
  </si>
  <si>
    <t>Vendor Name</t>
  </si>
  <si>
    <t>Material Description</t>
  </si>
  <si>
    <t>Document Header Text</t>
  </si>
  <si>
    <t>User Name</t>
  </si>
  <si>
    <t>Material Slip</t>
  </si>
  <si>
    <t>Z03</t>
  </si>
  <si>
    <t>Supplier</t>
  </si>
  <si>
    <t>Storage location</t>
  </si>
  <si>
    <t>Movement type</t>
  </si>
  <si>
    <t>Posting Date</t>
  </si>
  <si>
    <t>Unit of Entry</t>
  </si>
  <si>
    <t>Qty in unit of entry</t>
  </si>
  <si>
    <t>Time of Entry</t>
  </si>
  <si>
    <t>Reference</t>
  </si>
  <si>
    <t>PC</t>
  </si>
  <si>
    <t>Z01</t>
  </si>
  <si>
    <t>M</t>
  </si>
  <si>
    <t>X</t>
  </si>
  <si>
    <t>Remarks</t>
  </si>
  <si>
    <t>MANUAL LIQUIDATION</t>
  </si>
  <si>
    <t>SYSTEM ADJUSTMENT</t>
  </si>
  <si>
    <t>Mvt</t>
  </si>
  <si>
    <t>CHECKING</t>
  </si>
  <si>
    <t>Checking</t>
  </si>
  <si>
    <t>x</t>
  </si>
  <si>
    <t>Date</t>
  </si>
  <si>
    <t>From</t>
  </si>
  <si>
    <t>TO</t>
  </si>
  <si>
    <t>Cutoff</t>
  </si>
  <si>
    <t>Positive</t>
  </si>
  <si>
    <t>Negative</t>
  </si>
  <si>
    <t>MODEM; ONT; GPON; G-1425G-B; NOKIA</t>
  </si>
  <si>
    <t>MODEM; ONT; GPON; CG-24D; SERCOM</t>
  </si>
  <si>
    <t>CHRISTBELLA CONSTRUCTION MANAGEMENT</t>
  </si>
  <si>
    <t>Modem Qty</t>
  </si>
  <si>
    <t>Type Diff</t>
  </si>
  <si>
    <t>Variance</t>
  </si>
  <si>
    <t>Status</t>
  </si>
  <si>
    <t>Set of Installation</t>
  </si>
  <si>
    <t>CG211111-06163</t>
  </si>
  <si>
    <t>CG211111-06209</t>
  </si>
  <si>
    <t>CG211111-06224</t>
  </si>
  <si>
    <t>Mismatch Acc# &amp; Serial from SAP</t>
  </si>
  <si>
    <t>P.JPENASO</t>
  </si>
  <si>
    <t>CPE USAGE</t>
  </si>
  <si>
    <t>Nov 26 - Dec 25 2023</t>
  </si>
  <si>
    <t>NMS POSTPAID</t>
  </si>
  <si>
    <t>4900003796</t>
  </si>
  <si>
    <t>SCOM36504F52</t>
  </si>
  <si>
    <t>OO4971016-GPON-4</t>
  </si>
  <si>
    <t>4900004105</t>
  </si>
  <si>
    <t>SCOM365087EC</t>
  </si>
  <si>
    <t>OO4956018-GPON-0</t>
  </si>
  <si>
    <t>4900008762</t>
  </si>
  <si>
    <t>ALCLFCC56C5C</t>
  </si>
  <si>
    <t>OO4913429-GPON-2</t>
  </si>
  <si>
    <t>4900010286</t>
  </si>
  <si>
    <t>SCOM365070B3</t>
  </si>
  <si>
    <t>OO4982064-GPON-5</t>
  </si>
  <si>
    <t>4900010390</t>
  </si>
  <si>
    <t>SCOM365040AB</t>
  </si>
  <si>
    <t>OO4988936-GPON-3</t>
  </si>
  <si>
    <t>4900010419</t>
  </si>
  <si>
    <t>SCOM365058A5</t>
  </si>
  <si>
    <t>OO4999293-GPON-3</t>
  </si>
  <si>
    <t>4900012851</t>
  </si>
  <si>
    <t>SCOM365070E8</t>
  </si>
  <si>
    <t>OO4995709-GPON-2</t>
  </si>
  <si>
    <t>4900013012</t>
  </si>
  <si>
    <t>ALCLFCC576E6</t>
  </si>
  <si>
    <t>OO4989420-GPON-3</t>
  </si>
  <si>
    <t>4900013195</t>
  </si>
  <si>
    <t>SCOM3650552D</t>
  </si>
  <si>
    <t>OO5006416-GPON-2</t>
  </si>
  <si>
    <t>4900013229</t>
  </si>
  <si>
    <t>SCOM36504F90</t>
  </si>
  <si>
    <t>OO4945347-GPON-1</t>
  </si>
  <si>
    <t>4900014044</t>
  </si>
  <si>
    <t>SCOM36506F23</t>
  </si>
  <si>
    <t>OO5014294-GPON-6</t>
  </si>
  <si>
    <t>4900014545</t>
  </si>
  <si>
    <t>SCOM365057E2</t>
  </si>
  <si>
    <t>OO5007609-GPON-5</t>
  </si>
  <si>
    <t>4900015073</t>
  </si>
  <si>
    <t>SCOM3650351A</t>
  </si>
  <si>
    <t>OO5014319-GPON-9</t>
  </si>
  <si>
    <t>4900015407</t>
  </si>
  <si>
    <t>SCOM3650428D</t>
  </si>
  <si>
    <t>OO5016156-GPON-8</t>
  </si>
  <si>
    <t>4900017964</t>
  </si>
  <si>
    <t>SCOM36505781</t>
  </si>
  <si>
    <t>OO5018833-GPON-8</t>
  </si>
  <si>
    <t>4900018054</t>
  </si>
  <si>
    <t>SCOM365031EE</t>
  </si>
  <si>
    <t>OO4943721-GPON-7</t>
  </si>
  <si>
    <t>4900019094</t>
  </si>
  <si>
    <t>SCOM36503550</t>
  </si>
  <si>
    <t>OO4930277-GPON-6</t>
  </si>
  <si>
    <t>4900020253</t>
  </si>
  <si>
    <t>SCOM365032FB</t>
  </si>
  <si>
    <t>OO5017818-GPON-6</t>
  </si>
  <si>
    <t>4900022007</t>
  </si>
  <si>
    <t>SCOM36504341</t>
  </si>
  <si>
    <t>OO5019635-GPON-9</t>
  </si>
  <si>
    <t>4900022282</t>
  </si>
  <si>
    <t>SCOM3650375B</t>
  </si>
  <si>
    <t>OO5031420-GPON-4</t>
  </si>
  <si>
    <t>4900022661</t>
  </si>
  <si>
    <t>SCOM36504626</t>
  </si>
  <si>
    <t>OO5031618-GPON-1</t>
  </si>
  <si>
    <t>4900022701</t>
  </si>
  <si>
    <t>SCOM36505046</t>
  </si>
  <si>
    <t>OO5016958-GPON-2</t>
  </si>
  <si>
    <t>4900023394</t>
  </si>
  <si>
    <t>SCOM36504654</t>
  </si>
  <si>
    <t>OO5037203-GPON-9</t>
  </si>
  <si>
    <t>4900023882</t>
  </si>
  <si>
    <t>SCOM365045DF</t>
  </si>
  <si>
    <t>OO5043562-GPON-8</t>
  </si>
  <si>
    <t>4900025250</t>
  </si>
  <si>
    <t>SCOM36503527</t>
  </si>
  <si>
    <t>OO4989895-GPON-4</t>
  </si>
  <si>
    <t>4900025960</t>
  </si>
  <si>
    <t>SCOM36505881</t>
  </si>
  <si>
    <t>OO5033580-GPON-8</t>
  </si>
  <si>
    <t>4900026205</t>
  </si>
  <si>
    <t>SCOM365058B6</t>
  </si>
  <si>
    <t>OO5035943-GPON-6</t>
  </si>
  <si>
    <t>4900026399</t>
  </si>
  <si>
    <t>SCOM36503520</t>
  </si>
  <si>
    <t>OO5008948-GPON-2</t>
  </si>
  <si>
    <t>4900027549</t>
  </si>
  <si>
    <t>SCOM36505938</t>
  </si>
  <si>
    <t>OO4925387-GPON-3</t>
  </si>
  <si>
    <t>4900029931</t>
  </si>
  <si>
    <t>ALCLFCC56E46</t>
  </si>
  <si>
    <t>OO5043533-GPON-8</t>
  </si>
  <si>
    <t>4900030286</t>
  </si>
  <si>
    <t>SCOM365058BE</t>
  </si>
  <si>
    <t>OO5047885-GPON-7</t>
  </si>
  <si>
    <t>4900030570</t>
  </si>
  <si>
    <t>SCOM36504091</t>
  </si>
  <si>
    <t>OO5059551-GPON-4</t>
  </si>
  <si>
    <t>4900031298</t>
  </si>
  <si>
    <t>SCOM36503523</t>
  </si>
  <si>
    <t>OO5065740-GPON-0</t>
  </si>
  <si>
    <t>4900031609</t>
  </si>
  <si>
    <t>SCOM365031EB</t>
  </si>
  <si>
    <t>OO5056011-GPON-5</t>
  </si>
  <si>
    <t>4900035644</t>
  </si>
  <si>
    <t>SCOM365058C5</t>
  </si>
  <si>
    <t>OO5068137-GPON-0</t>
  </si>
  <si>
    <t>4900035702</t>
  </si>
  <si>
    <t>SCOM36505970</t>
  </si>
  <si>
    <t>OO5066916-GPON-4</t>
  </si>
  <si>
    <t>4900036098</t>
  </si>
  <si>
    <t>SCOM36504E32</t>
  </si>
  <si>
    <t>OO5065670-GPON-4</t>
  </si>
  <si>
    <t>4900036202</t>
  </si>
  <si>
    <t>SCOM365053C4</t>
  </si>
  <si>
    <t>OO5065910-GPON-5</t>
  </si>
  <si>
    <t>4900037564</t>
  </si>
  <si>
    <t>SCOM36505B36</t>
  </si>
  <si>
    <t>OO5071826-GPON-3</t>
  </si>
  <si>
    <t>4900037868</t>
  </si>
  <si>
    <t>SCOM365059AE</t>
  </si>
  <si>
    <t>OO5066430-GPON-0</t>
  </si>
  <si>
    <t>4900037929</t>
  </si>
  <si>
    <t>SCOM3650445D</t>
  </si>
  <si>
    <t>OO5026891-GPON-2</t>
  </si>
  <si>
    <t>4900037992</t>
  </si>
  <si>
    <t>SCOM36504DD3</t>
  </si>
  <si>
    <t>OO5022279-GPON-3</t>
  </si>
  <si>
    <t>4900038112</t>
  </si>
  <si>
    <t>SCOM3650594F</t>
  </si>
  <si>
    <t>OO4958054-GPON-7</t>
  </si>
  <si>
    <t>4900038445</t>
  </si>
  <si>
    <t>SCOM36505B16</t>
  </si>
  <si>
    <t>OO5071898-GPON-9</t>
  </si>
  <si>
    <t>4900039979</t>
  </si>
  <si>
    <t>SCOM36505227</t>
  </si>
  <si>
    <t>OO5090657-GPON-0</t>
  </si>
  <si>
    <t>4900040029</t>
  </si>
  <si>
    <t>SCOM3650597A</t>
  </si>
  <si>
    <t>OO5086155-GPON-8</t>
  </si>
  <si>
    <t>4900040435</t>
  </si>
  <si>
    <t>SCOM36504431</t>
  </si>
  <si>
    <t>OO5066915-GPON-0</t>
  </si>
  <si>
    <t>4900040448</t>
  </si>
  <si>
    <t>SCOM3650590C</t>
  </si>
  <si>
    <t>OO5089016-GPON-9</t>
  </si>
  <si>
    <t>4900040733</t>
  </si>
  <si>
    <t>SCOM36505B83</t>
  </si>
  <si>
    <t>OO5082903-GPON-9</t>
  </si>
  <si>
    <t>4900041914</t>
  </si>
  <si>
    <t>SCOM3650513C</t>
  </si>
  <si>
    <t>OO5101207-GPON-7</t>
  </si>
  <si>
    <t>4900042492</t>
  </si>
  <si>
    <t>SCOM36503927</t>
  </si>
  <si>
    <t>OO5066283-GPON-2</t>
  </si>
  <si>
    <t>4900042947</t>
  </si>
  <si>
    <t>SCOM365083F7</t>
  </si>
  <si>
    <t>OO5072694-GPON-4</t>
  </si>
  <si>
    <t>4900043305</t>
  </si>
  <si>
    <t>SCOM365030CD</t>
  </si>
  <si>
    <t>OO5094389-GPON-8</t>
  </si>
  <si>
    <t>4900043347</t>
  </si>
  <si>
    <t>SCOM365083DB</t>
  </si>
  <si>
    <t>OO5050158-GPON-2</t>
  </si>
  <si>
    <t>4900043499</t>
  </si>
  <si>
    <t>SCOM36505B1D</t>
  </si>
  <si>
    <t>OO5090961-GPON-7</t>
  </si>
  <si>
    <t>4900045353</t>
  </si>
  <si>
    <t>SCOM36504DD1</t>
  </si>
  <si>
    <t>OO5032658-GPON-2</t>
  </si>
  <si>
    <t>4900045906</t>
  </si>
  <si>
    <t>SCOM36505B27</t>
  </si>
  <si>
    <t>OO5111865-GPON-9</t>
  </si>
  <si>
    <t>4900047382</t>
  </si>
  <si>
    <t>SCOM365084CE</t>
  </si>
  <si>
    <t>OO5115390-GPON-4</t>
  </si>
  <si>
    <t>4900048170</t>
  </si>
  <si>
    <t>SCOM36504E69</t>
  </si>
  <si>
    <t>OO5117152-GPON-5</t>
  </si>
  <si>
    <t>4900048388</t>
  </si>
  <si>
    <t>SCOM36505223</t>
  </si>
  <si>
    <t>OO5121134-GPON-2</t>
  </si>
  <si>
    <t>4900051045</t>
  </si>
  <si>
    <t>SCOM36503672</t>
  </si>
  <si>
    <t>OO5065637-GPON-4</t>
  </si>
  <si>
    <t>4900051506</t>
  </si>
  <si>
    <t>SCOM36502883</t>
  </si>
  <si>
    <t>OO5121447-GPON-5</t>
  </si>
  <si>
    <t>4900055690</t>
  </si>
  <si>
    <t>SCOM36502B1C</t>
  </si>
  <si>
    <t>OO5133550-GPON-4</t>
  </si>
  <si>
    <t>4900055723</t>
  </si>
  <si>
    <t>SCOM36508524</t>
  </si>
  <si>
    <t>OO5117707-GPON-8</t>
  </si>
  <si>
    <t>4900056185</t>
  </si>
  <si>
    <t>SCOM365083FA</t>
  </si>
  <si>
    <t>OO5119717-GPON-5</t>
  </si>
  <si>
    <t>4900056475</t>
  </si>
  <si>
    <t>SCOM36502A8F</t>
  </si>
  <si>
    <t>OO5128016-GPON-8</t>
  </si>
  <si>
    <t>4900057687</t>
  </si>
  <si>
    <t>SCOM3650522E</t>
  </si>
  <si>
    <t>OO5101615-GPON-9</t>
  </si>
  <si>
    <t>4900060841</t>
  </si>
  <si>
    <t>SCOM36507956</t>
  </si>
  <si>
    <t>OO5140596-GPON-3</t>
  </si>
  <si>
    <t>4900061189</t>
  </si>
  <si>
    <t>SCOM36507A85</t>
  </si>
  <si>
    <t>OO5132748-GPON-6</t>
  </si>
  <si>
    <t>4900061361</t>
  </si>
  <si>
    <t>SCOM365047C4</t>
  </si>
  <si>
    <t>OO5133487-GPON-5</t>
  </si>
  <si>
    <t>4900061599</t>
  </si>
  <si>
    <t>SCOM36504973</t>
  </si>
  <si>
    <t>OO5148414-GPON-0</t>
  </si>
  <si>
    <t>4900061868</t>
  </si>
  <si>
    <t>SCOM365021F3</t>
  </si>
  <si>
    <t>OO5100500-GPON-8</t>
  </si>
  <si>
    <t>4900062311</t>
  </si>
  <si>
    <t>SCOM365084E6</t>
  </si>
  <si>
    <t>OO5149082-GPON-0</t>
  </si>
  <si>
    <t>4900065057</t>
  </si>
  <si>
    <t>SCOM36508666</t>
  </si>
  <si>
    <t>OO5152340-GPON-2</t>
  </si>
  <si>
    <t>4900065491</t>
  </si>
  <si>
    <t>SCOM365084CD</t>
  </si>
  <si>
    <t>OO5156233-GPON-3</t>
  </si>
  <si>
    <t>4900120406</t>
  </si>
  <si>
    <t>SCOM36504398</t>
  </si>
  <si>
    <t>OO4910636-GPON-1</t>
  </si>
  <si>
    <t>4900123874</t>
  </si>
  <si>
    <t>SCOM365047C5</t>
  </si>
  <si>
    <t>OO4919781-GPON-1</t>
  </si>
  <si>
    <t>4900124783</t>
  </si>
  <si>
    <t>SCOM365057A4</t>
  </si>
  <si>
    <t>4900125232</t>
  </si>
  <si>
    <t>SCOM365051A7</t>
  </si>
  <si>
    <t>OO4913101-GPON-1</t>
  </si>
  <si>
    <t>4900126967</t>
  </si>
  <si>
    <t>ALCLFCC44BF7</t>
  </si>
  <si>
    <t>OO4927161-GPON-5</t>
  </si>
  <si>
    <t>4900127846</t>
  </si>
  <si>
    <t>SCOM365062A4</t>
  </si>
  <si>
    <t>OO4932367-GPON-6</t>
  </si>
  <si>
    <t>4900128935</t>
  </si>
  <si>
    <t>SCOM36506EF2</t>
  </si>
  <si>
    <t>OO4932604-GPON-9</t>
  </si>
  <si>
    <t>4900129136</t>
  </si>
  <si>
    <t>ALCLFCC5754E</t>
  </si>
  <si>
    <t>4900129225</t>
  </si>
  <si>
    <t>ALCLFCC5727E</t>
  </si>
  <si>
    <t>OO4915493-GPON-7</t>
  </si>
  <si>
    <t>4900129297</t>
  </si>
  <si>
    <t>ALCLFCC56947</t>
  </si>
  <si>
    <t>OO4932672-GPON-8</t>
  </si>
  <si>
    <t>4900132653</t>
  </si>
  <si>
    <t>SCOM365082A7</t>
  </si>
  <si>
    <t>OO4941950-GPON-8</t>
  </si>
  <si>
    <t>4900133939</t>
  </si>
  <si>
    <t>SCOM36508812</t>
  </si>
  <si>
    <t>OO4945006-GPON-1</t>
  </si>
  <si>
    <t>4900134100</t>
  </si>
  <si>
    <t>SCOM365058FB</t>
  </si>
  <si>
    <t>OO4944147-GPON-0</t>
  </si>
  <si>
    <t>4900134266</t>
  </si>
  <si>
    <t>SCOM365057A9</t>
  </si>
  <si>
    <t>OO4942976-GPON-8</t>
  </si>
  <si>
    <t>4900134872</t>
  </si>
  <si>
    <t>ALCLFCC4563B</t>
  </si>
  <si>
    <t>4900134949</t>
  </si>
  <si>
    <t>ALCLFCC56ECC</t>
  </si>
  <si>
    <t>OO4933951-GPON-5</t>
  </si>
  <si>
    <t>4900136769</t>
  </si>
  <si>
    <t>ALCLFCC572E6</t>
  </si>
  <si>
    <t>OO4915531-GPON-1</t>
  </si>
  <si>
    <t>4900137895</t>
  </si>
  <si>
    <t>ALCLFCC568F5</t>
  </si>
  <si>
    <t>OO4938801-GPON-1</t>
  </si>
  <si>
    <t>4900138145</t>
  </si>
  <si>
    <t>ALCLFCC572AF</t>
  </si>
  <si>
    <t>OO4933287-GPON-9</t>
  </si>
  <si>
    <t>4900139036</t>
  </si>
  <si>
    <t>ALCLFCC5723B</t>
  </si>
  <si>
    <t>OO4946479-GPON-1</t>
  </si>
  <si>
    <t>4900140011</t>
  </si>
  <si>
    <t>ALCLFCC5751C</t>
  </si>
  <si>
    <t>OO4949792-GPON-1</t>
  </si>
  <si>
    <t>4900140568</t>
  </si>
  <si>
    <t>SCOM36506EAC</t>
  </si>
  <si>
    <t>OO4951226-GPON-3</t>
  </si>
  <si>
    <t>4900140957</t>
  </si>
  <si>
    <t>ALCLFCC56F3A</t>
  </si>
  <si>
    <t>OO4954324-GPON-6</t>
  </si>
  <si>
    <t>4900141173</t>
  </si>
  <si>
    <t>ALCLFCC56E32</t>
  </si>
  <si>
    <t>OO4959003-GPON-5</t>
  </si>
  <si>
    <t>4900141376</t>
  </si>
  <si>
    <t>ALCLFCC56B1F</t>
  </si>
  <si>
    <t>OO4958535-GPON-5</t>
  </si>
  <si>
    <t>4900141415</t>
  </si>
  <si>
    <t>ALCLFCC5779E</t>
  </si>
  <si>
    <t>OO4962168-GPON-0</t>
  </si>
  <si>
    <t>4900141475</t>
  </si>
  <si>
    <t>SCOM365055F8</t>
  </si>
  <si>
    <t>OO4913998-GPON-1</t>
  </si>
  <si>
    <t>4900141594</t>
  </si>
  <si>
    <t>SCOM36506CAF</t>
  </si>
  <si>
    <t>OO4938483-GPON-9</t>
  </si>
  <si>
    <t>12/26/2023</t>
  </si>
  <si>
    <t>OO4910636-GPON-1102</t>
  </si>
  <si>
    <t>MAE FRANCES QUIRANTE</t>
  </si>
  <si>
    <t>12/27/2023</t>
  </si>
  <si>
    <t>OO4919781-GPON-1433</t>
  </si>
  <si>
    <t>SHEM RAH PAGONZAGA</t>
  </si>
  <si>
    <t>OO4913101-GPON-1555</t>
  </si>
  <si>
    <t>RYAN CHRISTIAN DACILLO</t>
  </si>
  <si>
    <t>12/28/2023</t>
  </si>
  <si>
    <t>OO4932672-GPON-8797</t>
  </si>
  <si>
    <t>ALIALINDA TUMAMAC</t>
  </si>
  <si>
    <t>CG211111-06218</t>
  </si>
  <si>
    <t>OO4932604-GPON-9307</t>
  </si>
  <si>
    <t>JOAN ROSE OPERIO</t>
  </si>
  <si>
    <t>OO4932367-GPON-6068</t>
  </si>
  <si>
    <t>FRECHKEVIN CAÑEDO</t>
  </si>
  <si>
    <t>OO4915493-GPON-7548</t>
  </si>
  <si>
    <t>ERWIN AMORA</t>
  </si>
  <si>
    <t>OO4927161-GPON-5799</t>
  </si>
  <si>
    <t>ELENA ORDINAN</t>
  </si>
  <si>
    <t>12/29/2023</t>
  </si>
  <si>
    <t>OO4941950-GPON-8069</t>
  </si>
  <si>
    <t>MICHAEL BENJIE CANSANA</t>
  </si>
  <si>
    <t>OO4945006-GPON-1422</t>
  </si>
  <si>
    <t>SANDRE STAR PLAN</t>
  </si>
  <si>
    <t>OO4944147-GPON-0854</t>
  </si>
  <si>
    <t>DANILO MAGBANUA</t>
  </si>
  <si>
    <t>OO4942976-GPON-8723</t>
  </si>
  <si>
    <t>DANILO JR MAGBANUA</t>
  </si>
  <si>
    <t>OO4933951-GPON-5460</t>
  </si>
  <si>
    <t>MONNA MAE SERVANO</t>
  </si>
  <si>
    <t>12/30/2023</t>
  </si>
  <si>
    <t>OO4915531-GPON-1395</t>
  </si>
  <si>
    <t>JANICE TINOY</t>
  </si>
  <si>
    <t>OO4933287-GPON-9717</t>
  </si>
  <si>
    <t>JUMAR LUMPAYAO</t>
  </si>
  <si>
    <t>OO4949792-GPON-1677</t>
  </si>
  <si>
    <t>BAUSI MACAPANTON</t>
  </si>
  <si>
    <t>OO4938801-GPON-1906</t>
  </si>
  <si>
    <t>LILIBETH GONZAGA</t>
  </si>
  <si>
    <t>OO4946479-GPON-1933</t>
  </si>
  <si>
    <t>MARICHU BUTIN</t>
  </si>
  <si>
    <t>12/31/2023</t>
  </si>
  <si>
    <t>OO4951226-GPON-3928</t>
  </si>
  <si>
    <t>JOURVEN OKIT</t>
  </si>
  <si>
    <t>OO4954324-GPON-6628</t>
  </si>
  <si>
    <t>LALYN SABIDO</t>
  </si>
  <si>
    <t>OO4959003-GPON-5543</t>
  </si>
  <si>
    <t>JUVY CLAIRE ROSALES</t>
  </si>
  <si>
    <t>OO4962168-GPON-0446</t>
  </si>
  <si>
    <t>CARLA DESIREE MACASO</t>
  </si>
  <si>
    <t>OO4958535-GPON-5290</t>
  </si>
  <si>
    <t>CRISANTA MAQUISO</t>
  </si>
  <si>
    <t>OO4938483-GPON-9719</t>
  </si>
  <si>
    <t>MARISSA SETOSTA</t>
  </si>
  <si>
    <t>OO4913998-GPON-1641</t>
  </si>
  <si>
    <t>JAYA DIVAH TIMOGAN</t>
  </si>
  <si>
    <t>OO4971016-GPON-4277</t>
  </si>
  <si>
    <t>FELIX OGABANG</t>
  </si>
  <si>
    <t>OO4956018-GPON-0182</t>
  </si>
  <si>
    <t>MARLON BALO</t>
  </si>
  <si>
    <t>OO4913429-GPON-2902</t>
  </si>
  <si>
    <t>IRISH JOY WOOD</t>
  </si>
  <si>
    <t>OO4982064-GPON-5491</t>
  </si>
  <si>
    <t>KIRT JEEFAN SUMAGAYSAY</t>
  </si>
  <si>
    <t>CG211111-09616</t>
  </si>
  <si>
    <t>OO4988936-GPON-3053</t>
  </si>
  <si>
    <t>DARWISH JALANI</t>
  </si>
  <si>
    <t>CG211111-06222</t>
  </si>
  <si>
    <t>OO4999293-GPON-3218</t>
  </si>
  <si>
    <t>ROSALIE DELA CRUZ</t>
  </si>
  <si>
    <t>OO4989420-GPON-3639</t>
  </si>
  <si>
    <t>PARLUCHA JASON</t>
  </si>
  <si>
    <t>OO5007609-GPON-5228</t>
  </si>
  <si>
    <t>MEGAN DELA CRUZ</t>
  </si>
  <si>
    <t>OO5014319-GPON-9133</t>
  </si>
  <si>
    <t>GLADY ROSE SUMAGANG</t>
  </si>
  <si>
    <t>OO4995709-GPON-2518</t>
  </si>
  <si>
    <t>ALLEN JOHN COLOMA</t>
  </si>
  <si>
    <t>OO4945347-GPON-1148</t>
  </si>
  <si>
    <t>TITA MALVENDA</t>
  </si>
  <si>
    <t>OO5006416-GPON-2881</t>
  </si>
  <si>
    <t>BRIAN ANDREW BELITA</t>
  </si>
  <si>
    <t>OO5014294-GPON-6785</t>
  </si>
  <si>
    <t>MARY JOY ALBACITE</t>
  </si>
  <si>
    <t>OO5016156-GPON-8802</t>
  </si>
  <si>
    <t>GINA ALIGADO</t>
  </si>
  <si>
    <t>OO5018833-GPON-8833</t>
  </si>
  <si>
    <t>RANILO ALVEZ</t>
  </si>
  <si>
    <t>OO4943721-GPON-7849</t>
  </si>
  <si>
    <t>ANALIZA ALFADHUL</t>
  </si>
  <si>
    <t>OO4930277-GPON-6856</t>
  </si>
  <si>
    <t>ROWELL ZAFRA</t>
  </si>
  <si>
    <t>OO5017818-GPON-6645</t>
  </si>
  <si>
    <t>FLORAME ARIMAS</t>
  </si>
  <si>
    <t>OO5016958-GPON-2262</t>
  </si>
  <si>
    <t>GEMMA LAYNO</t>
  </si>
  <si>
    <t>OO5019635-GPON-9305</t>
  </si>
  <si>
    <t>GLEACEL CABILING</t>
  </si>
  <si>
    <t>OO5031420-GPON-4542</t>
  </si>
  <si>
    <t>JULIBETH SINCO</t>
  </si>
  <si>
    <t>OO5031618-GPON-1087</t>
  </si>
  <si>
    <t>MANILYN ORO</t>
  </si>
  <si>
    <t>OO5043562-GPON-8610</t>
  </si>
  <si>
    <t>MARC ANGELO TUMLOS</t>
  </si>
  <si>
    <t>OO5037203-GPON-9180</t>
  </si>
  <si>
    <t>ROLDAN ALEJAN</t>
  </si>
  <si>
    <t>OO4989895-GPON-4797</t>
  </si>
  <si>
    <t>KEN REY NISNISAN</t>
  </si>
  <si>
    <t>OO5033580-GPON-8298</t>
  </si>
  <si>
    <t>EMELLIE ZAFRA</t>
  </si>
  <si>
    <t>OO5008948-GPON-2952</t>
  </si>
  <si>
    <t>ANGELO KARL VINCENT LOYLOY</t>
  </si>
  <si>
    <t>CG211111-06210</t>
  </si>
  <si>
    <t>OO4925387-GPON-3662</t>
  </si>
  <si>
    <t>ELISA SORIANO</t>
  </si>
  <si>
    <t>OO5035943-GPON-6465</t>
  </si>
  <si>
    <t>JOAN ESTRELLA</t>
  </si>
  <si>
    <t>OO5056011-GPON-5124</t>
  </si>
  <si>
    <t>NORMA BAHIAN</t>
  </si>
  <si>
    <t>OO5043533-GPON-8134</t>
  </si>
  <si>
    <t>REYMAR GABO</t>
  </si>
  <si>
    <t>OO5047885-GPON-7747</t>
  </si>
  <si>
    <t>REYJEN LINAS</t>
  </si>
  <si>
    <t>OO5059551-GPON-4323</t>
  </si>
  <si>
    <t>NORMA GONZAGA</t>
  </si>
  <si>
    <t>OO5065740-GPON-0670</t>
  </si>
  <si>
    <t>RONALD BONGOCAN</t>
  </si>
  <si>
    <t>OO5068137-GPON-0031</t>
  </si>
  <si>
    <t>RHEA LOU LINAS</t>
  </si>
  <si>
    <t>OO5065670-GPON-4677</t>
  </si>
  <si>
    <t>RENANTE DAVIS</t>
  </si>
  <si>
    <t>OO5065910-GPON-5783</t>
  </si>
  <si>
    <t>EMMANUEL GONZAGA</t>
  </si>
  <si>
    <t>CG211111-06248</t>
  </si>
  <si>
    <t>OO4988779-GPON-8046</t>
  </si>
  <si>
    <t>MARLON SASTINE</t>
  </si>
  <si>
    <t>OO5066430-GPON-0675</t>
  </si>
  <si>
    <t>MARIBETH CABUNOC</t>
  </si>
  <si>
    <t>CG211111-06215</t>
  </si>
  <si>
    <t>OO5071826-GPON-3790</t>
  </si>
  <si>
    <t>PAUL JOHN SAMBAS</t>
  </si>
  <si>
    <t>OO5071898-GPON-9724</t>
  </si>
  <si>
    <t>MAURICE CLAIRE NAGUITA</t>
  </si>
  <si>
    <t>OO5026891-GPON-2812</t>
  </si>
  <si>
    <t>BRIAN QUIMBO</t>
  </si>
  <si>
    <t>OO5066916-GPON-4408</t>
  </si>
  <si>
    <t>STEPHEN JADE LAZAR</t>
  </si>
  <si>
    <t>CG211111-00153</t>
  </si>
  <si>
    <t>OO4958054-GPON-7666</t>
  </si>
  <si>
    <t>RUTCHIE JOY MAG-ASO</t>
  </si>
  <si>
    <t>Allowed User</t>
  </si>
  <si>
    <t>Cell</t>
  </si>
  <si>
    <t>Expected Formula</t>
  </si>
  <si>
    <t>M4</t>
  </si>
  <si>
    <t>AA31</t>
  </si>
  <si>
    <t>AV10</t>
  </si>
  <si>
    <t>BB16</t>
  </si>
  <si>
    <t>AL23</t>
  </si>
  <si>
    <t>BB12</t>
  </si>
  <si>
    <t>Z10</t>
  </si>
  <si>
    <t>R8</t>
  </si>
  <si>
    <t>IF(G4="","",ABS(SUMIFS('System(MB51)'!$K:$K,'System(MB51)'!$L:$L,'Checking(ZSERIALS)'!$J4,'System(MB51)'!$O:$O,'Checking(ZSERIALS)'!$L4,'System(MB51)'!$A:$A,'Checking(ZSERIALS)'!M$3)))</t>
  </si>
  <si>
    <t>IF($G31="","",INDEX(MLR!$1:$1048576,MATCH($G31,MLR!$J:$J,0),MATCH(AA$3,MLR!$1:$1,0)))</t>
  </si>
  <si>
    <t>AO21</t>
  </si>
  <si>
    <t>IF(N21="","",IF(AD21=T21,"Correct",IF(AD21&gt;T21,"Short",IF(AD21&lt;T21,"Over","Err."))))</t>
  </si>
  <si>
    <t>Q10-AA10</t>
  </si>
  <si>
    <t>IF(G16="","",IF(AF16="Not Found","No MLR",IF(COUNTIF(AH16:AP16,"Correct")=9,"No Variance","With Variance")))</t>
  </si>
  <si>
    <t>IF(K23="","",IF(AA23=Q23,"Correct",IF(AA23&gt;Q23,"Short",IF(AA23&lt;Q23,"Over","Err."))))</t>
  </si>
  <si>
    <t>IF(G12="","",IF(AF12="Not Found","No MLR",IF(COUNTIF(AH12:AP12,"Correct")=9,"No Variance","With Variance")))</t>
  </si>
  <si>
    <t>IF($G10="","",INDEX(MLR!$1:$1048576,MATCH($G10,MLR!$J:$J,0),MATCH(Z$3,MLR!$1:$1,0)))</t>
  </si>
  <si>
    <t>IF(L8="","",ABS(SUMIFS('System(MB51)'!$K:$K,'System(MB51)'!$L:$L,'Checking(ZSERIALS)'!$J8,'System(MB51)'!$O:$O,'Checking(ZSERIALS)'!$L8,'System(MB51)'!$A:$A,'Checking(ZSERIALS)'!R$3)))</t>
  </si>
  <si>
    <t>Count</t>
  </si>
  <si>
    <t>Total Lines</t>
  </si>
  <si>
    <t>Mismatch MLR  Acc# &amp; SAP Acc#</t>
  </si>
  <si>
    <t>MLR Serial = SAP Serial Z01</t>
  </si>
  <si>
    <t>2023 Dec 2nd</t>
  </si>
  <si>
    <t>Zserial</t>
  </si>
  <si>
    <t>NMS</t>
  </si>
  <si>
    <t>MLR</t>
  </si>
  <si>
    <t xml:space="preserve">Checking </t>
  </si>
  <si>
    <t>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</si>
</sst>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400]h:mm:ss\ AM/PM"/>
    <numFmt numFmtId="165" formatCode="mm/dd/yy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name val="Calibri Light"/>
      <family val="2"/>
      <scheme val="major"/>
    </font>
    <font>
      <b/>
      <i/>
      <sz val="11"/>
      <name val="Calibri Light"/>
      <family val="2"/>
      <scheme val="major"/>
    </font>
    <font>
      <sz val="9"/>
      <name val="Calibri Light"/>
      <family val="2"/>
      <scheme val="major"/>
    </font>
    <font>
      <i/>
      <sz val="14"/>
      <name val="Calibri Light"/>
      <family val="2"/>
      <scheme val="major"/>
    </font>
    <font>
      <sz val="9"/>
      <color rgb="FF000000"/>
      <name val="Calibri Light"/>
      <family val="2"/>
      <scheme val="major"/>
    </font>
    <font>
      <sz val="9"/>
      <color theme="1"/>
      <name val="Calibri Light"/>
      <family val="2"/>
      <scheme val="major"/>
    </font>
    <font>
      <b/>
      <sz val="9"/>
      <name val="Calibri Light"/>
      <family val="2"/>
      <scheme val="maj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9"/>
      <name val="Arial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rgb="FF000000"/>
      <name val="Calibri Light"/>
      <family val="2"/>
      <scheme val="major"/>
    </font>
    <font>
      <sz val="10"/>
      <color theme="1"/>
      <name val="Calibri"/>
      <family val="2"/>
      <scheme val="minor"/>
    </font>
    <font>
      <sz val="9"/>
      <color rgb="FF000000"/>
      <name val="Calibri"/>
      <family val="2"/>
    </font>
    <font>
      <sz val="10"/>
      <color rgb="FF000000"/>
      <name val="Calibri"/>
      <family val="2"/>
      <scheme val="minor"/>
    </font>
    <font>
      <sz val="9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000000"/>
      <name val="Segoe UI"/>
      <family val="2"/>
    </font>
    <font>
      <sz val="9"/>
      <color rgb="FF00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8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5" fillId="0" borderId="0"/>
  </cellStyleXfs>
  <cellXfs count="218">
    <xf numFmtId="0" fontId="0" fillId="0" borderId="0" xfId="0"/>
    <xf numFmtId="1" fontId="2" fillId="0" borderId="1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left" vertical="center"/>
    </xf>
    <xf numFmtId="1" fontId="9" fillId="3" borderId="12" xfId="0" applyNumberFormat="1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left" vertical="center"/>
    </xf>
    <xf numFmtId="1" fontId="9" fillId="3" borderId="13" xfId="0" applyNumberFormat="1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14" fontId="9" fillId="3" borderId="12" xfId="0" applyNumberFormat="1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/>
    </xf>
    <xf numFmtId="14" fontId="9" fillId="3" borderId="14" xfId="0" applyNumberFormat="1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left" vertical="center"/>
    </xf>
    <xf numFmtId="1" fontId="9" fillId="3" borderId="14" xfId="0" applyNumberFormat="1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horizontal="left"/>
    </xf>
    <xf numFmtId="1" fontId="11" fillId="3" borderId="15" xfId="0" applyNumberFormat="1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left"/>
    </xf>
    <xf numFmtId="1" fontId="11" fillId="3" borderId="12" xfId="0" applyNumberFormat="1" applyFont="1" applyFill="1" applyBorder="1" applyAlignment="1">
      <alignment horizontal="center" vertical="center"/>
    </xf>
    <xf numFmtId="14" fontId="9" fillId="3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3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" fontId="0" fillId="0" borderId="0" xfId="0" applyNumberForma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0" fontId="0" fillId="5" borderId="0" xfId="0" applyFill="1"/>
    <xf numFmtId="0" fontId="0" fillId="0" borderId="0" xfId="0" applyAlignment="1">
      <alignment horizontal="center"/>
    </xf>
    <xf numFmtId="0" fontId="13" fillId="0" borderId="0" xfId="0" applyFont="1" applyProtection="1">
      <protection locked="0"/>
    </xf>
    <xf numFmtId="14" fontId="0" fillId="0" borderId="0" xfId="0" applyNumberFormat="1"/>
    <xf numFmtId="0" fontId="0" fillId="0" borderId="12" xfId="0" applyBorder="1" applyAlignment="1">
      <alignment horizontal="center"/>
    </xf>
    <xf numFmtId="0" fontId="0" fillId="9" borderId="0" xfId="0" applyFill="1" applyAlignment="1">
      <alignment horizontal="center" vertical="center"/>
    </xf>
    <xf numFmtId="14" fontId="0" fillId="9" borderId="0" xfId="0" applyNumberFormat="1" applyFill="1" applyAlignment="1">
      <alignment horizontal="center"/>
    </xf>
    <xf numFmtId="0" fontId="0" fillId="9" borderId="0" xfId="0" applyFill="1"/>
    <xf numFmtId="0" fontId="0" fillId="4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1" fontId="0" fillId="4" borderId="12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9" borderId="1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10" xfId="0" applyFont="1" applyBorder="1" applyAlignment="1">
      <alignment vertical="center" wrapText="1"/>
    </xf>
    <xf numFmtId="0" fontId="5" fillId="0" borderId="11" xfId="0" applyFont="1" applyBorder="1" applyAlignment="1">
      <alignment vertical="center" wrapText="1"/>
    </xf>
    <xf numFmtId="14" fontId="2" fillId="0" borderId="1" xfId="0" applyNumberFormat="1" applyFont="1" applyBorder="1" applyAlignment="1">
      <alignment vertical="center" wrapText="1"/>
    </xf>
    <xf numFmtId="14" fontId="2" fillId="0" borderId="2" xfId="0" applyNumberFormat="1" applyFont="1" applyBorder="1" applyAlignment="1">
      <alignment vertical="center" wrapText="1"/>
    </xf>
    <xf numFmtId="165" fontId="9" fillId="2" borderId="12" xfId="0" applyNumberFormat="1" applyFont="1" applyFill="1" applyBorder="1" applyAlignment="1">
      <alignment horizontal="center" vertical="center"/>
    </xf>
    <xf numFmtId="165" fontId="9" fillId="2" borderId="13" xfId="0" applyNumberFormat="1" applyFont="1" applyFill="1" applyBorder="1" applyAlignment="1">
      <alignment horizontal="center" vertical="center"/>
    </xf>
    <xf numFmtId="14" fontId="11" fillId="3" borderId="15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0" fontId="18" fillId="3" borderId="12" xfId="0" applyFont="1" applyFill="1" applyBorder="1" applyAlignment="1">
      <alignment horizontal="center"/>
    </xf>
    <xf numFmtId="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13" fillId="9" borderId="12" xfId="0" applyFont="1" applyFill="1" applyBorder="1" applyAlignment="1">
      <alignment horizontal="center"/>
    </xf>
    <xf numFmtId="4" fontId="0" fillId="0" borderId="12" xfId="1" applyNumberFormat="1" applyFont="1" applyBorder="1" applyAlignment="1">
      <alignment horizontal="center"/>
    </xf>
    <xf numFmtId="0" fontId="19" fillId="0" borderId="15" xfId="0" applyFont="1" applyBorder="1" applyAlignment="1">
      <alignment horizontal="center" vertical="center"/>
    </xf>
    <xf numFmtId="14" fontId="9" fillId="3" borderId="12" xfId="0" applyNumberFormat="1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vertical="center"/>
    </xf>
    <xf numFmtId="0" fontId="20" fillId="3" borderId="12" xfId="0" applyFont="1" applyFill="1" applyBorder="1" applyAlignment="1">
      <alignment vertical="center"/>
    </xf>
    <xf numFmtId="0" fontId="9" fillId="0" borderId="1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0" fillId="12" borderId="31" xfId="0" applyFill="1" applyBorder="1" applyAlignment="1" applyProtection="1">
      <alignment vertical="center"/>
      <protection locked="0"/>
    </xf>
    <xf numFmtId="0" fontId="21" fillId="0" borderId="0" xfId="0" applyFont="1" applyAlignment="1" applyProtection="1">
      <alignment horizontal="center"/>
      <protection locked="0"/>
    </xf>
    <xf numFmtId="2" fontId="21" fillId="0" borderId="0" xfId="0" applyNumberFormat="1" applyFont="1" applyAlignment="1" applyProtection="1">
      <alignment horizontal="center"/>
      <protection locked="0"/>
    </xf>
    <xf numFmtId="1" fontId="21" fillId="0" borderId="0" xfId="1" applyNumberFormat="1" applyFont="1" applyAlignment="1" applyProtection="1">
      <alignment horizontal="center"/>
      <protection locked="0"/>
    </xf>
    <xf numFmtId="0" fontId="21" fillId="8" borderId="25" xfId="0" applyFont="1" applyFill="1" applyBorder="1" applyAlignment="1" applyProtection="1">
      <alignment horizontal="center"/>
      <protection locked="0"/>
    </xf>
    <xf numFmtId="2" fontId="21" fillId="8" borderId="25" xfId="0" applyNumberFormat="1" applyFont="1" applyFill="1" applyBorder="1" applyAlignment="1" applyProtection="1">
      <alignment horizontal="center"/>
      <protection locked="0"/>
    </xf>
    <xf numFmtId="1" fontId="21" fillId="8" borderId="25" xfId="1" applyNumberFormat="1" applyFont="1" applyFill="1" applyBorder="1" applyAlignment="1" applyProtection="1">
      <alignment horizontal="center"/>
      <protection locked="0"/>
    </xf>
    <xf numFmtId="0" fontId="21" fillId="8" borderId="26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wrapText="1"/>
    </xf>
    <xf numFmtId="1" fontId="3" fillId="0" borderId="2" xfId="0" applyNumberFormat="1" applyFont="1" applyBorder="1" applyAlignment="1">
      <alignment horizontal="center" vertical="center" wrapText="1"/>
    </xf>
    <xf numFmtId="0" fontId="18" fillId="3" borderId="12" xfId="0" applyFont="1" applyFill="1" applyBorder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/>
    </xf>
    <xf numFmtId="0" fontId="19" fillId="0" borderId="12" xfId="0" applyFont="1" applyBorder="1" applyAlignment="1">
      <alignment horizontal="center" vertical="center"/>
    </xf>
    <xf numFmtId="0" fontId="18" fillId="11" borderId="12" xfId="0" applyFont="1" applyFill="1" applyBorder="1" applyAlignment="1">
      <alignment horizontal="center"/>
    </xf>
    <xf numFmtId="0" fontId="18" fillId="3" borderId="13" xfId="0" applyFont="1" applyFill="1" applyBorder="1" applyAlignment="1">
      <alignment horizontal="center"/>
    </xf>
    <xf numFmtId="14" fontId="19" fillId="0" borderId="12" xfId="0" applyNumberFormat="1" applyFont="1" applyBorder="1" applyAlignment="1">
      <alignment horizontal="center" vertical="center"/>
    </xf>
    <xf numFmtId="0" fontId="9" fillId="3" borderId="13" xfId="0" applyFont="1" applyFill="1" applyBorder="1" applyAlignment="1">
      <alignment horizontal="center"/>
    </xf>
    <xf numFmtId="0" fontId="9" fillId="3" borderId="15" xfId="0" applyFont="1" applyFill="1" applyBorder="1"/>
    <xf numFmtId="0" fontId="9" fillId="3" borderId="12" xfId="0" applyFont="1" applyFill="1" applyBorder="1"/>
    <xf numFmtId="0" fontId="17" fillId="3" borderId="12" xfId="0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14" fontId="11" fillId="9" borderId="12" xfId="0" applyNumberFormat="1" applyFont="1" applyFill="1" applyBorder="1" applyAlignment="1">
      <alignment horizontal="center" vertical="center"/>
    </xf>
    <xf numFmtId="14" fontId="18" fillId="9" borderId="12" xfId="0" applyNumberFormat="1" applyFont="1" applyFill="1" applyBorder="1" applyAlignment="1">
      <alignment horizontal="center"/>
    </xf>
    <xf numFmtId="14" fontId="22" fillId="13" borderId="6" xfId="0" applyNumberFormat="1" applyFont="1" applyFill="1" applyBorder="1" applyAlignment="1">
      <alignment horizontal="center"/>
    </xf>
    <xf numFmtId="1" fontId="22" fillId="13" borderId="6" xfId="0" applyNumberFormat="1" applyFont="1" applyFill="1" applyBorder="1" applyAlignment="1">
      <alignment horizontal="center"/>
    </xf>
    <xf numFmtId="0" fontId="22" fillId="13" borderId="6" xfId="0" applyFont="1" applyFill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4" fontId="24" fillId="0" borderId="6" xfId="0" applyNumberFormat="1" applyFont="1" applyBorder="1" applyAlignment="1">
      <alignment horizontal="center"/>
    </xf>
    <xf numFmtId="1" fontId="24" fillId="0" borderId="6" xfId="0" applyNumberFormat="1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14" fontId="15" fillId="3" borderId="12" xfId="0" applyNumberFormat="1" applyFont="1" applyFill="1" applyBorder="1" applyAlignment="1">
      <alignment horizontal="center" wrapText="1" readingOrder="1"/>
    </xf>
    <xf numFmtId="0" fontId="25" fillId="3" borderId="12" xfId="0" applyFont="1" applyFill="1" applyBorder="1" applyAlignment="1">
      <alignment horizontal="center" wrapText="1" readingOrder="1"/>
    </xf>
    <xf numFmtId="0" fontId="25" fillId="3" borderId="12" xfId="0" applyFont="1" applyFill="1" applyBorder="1" applyAlignment="1">
      <alignment wrapText="1" readingOrder="1"/>
    </xf>
    <xf numFmtId="0" fontId="16" fillId="3" borderId="12" xfId="0" applyFont="1" applyFill="1" applyBorder="1" applyAlignment="1">
      <alignment horizontal="center" vertical="center" wrapText="1"/>
    </xf>
    <xf numFmtId="0" fontId="25" fillId="3" borderId="12" xfId="0" applyFont="1" applyFill="1" applyBorder="1" applyAlignment="1">
      <alignment horizontal="center" wrapText="1"/>
    </xf>
    <xf numFmtId="0" fontId="26" fillId="3" borderId="12" xfId="0" applyFont="1" applyFill="1" applyBorder="1" applyAlignment="1">
      <alignment horizontal="center" wrapText="1" readingOrder="1"/>
    </xf>
    <xf numFmtId="1" fontId="19" fillId="0" borderId="12" xfId="1" applyNumberFormat="1" applyFont="1" applyBorder="1" applyAlignment="1">
      <alignment horizontal="center" vertical="center"/>
    </xf>
    <xf numFmtId="1" fontId="18" fillId="3" borderId="12" xfId="0" applyNumberFormat="1" applyFont="1" applyFill="1" applyBorder="1" applyAlignment="1">
      <alignment horizontal="center"/>
    </xf>
    <xf numFmtId="1" fontId="0" fillId="0" borderId="0" xfId="1" applyNumberFormat="1" applyFont="1"/>
    <xf numFmtId="1" fontId="25" fillId="3" borderId="12" xfId="0" applyNumberFormat="1" applyFont="1" applyFill="1" applyBorder="1" applyAlignment="1">
      <alignment horizontal="center" wrapText="1" readingOrder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14" fontId="21" fillId="0" borderId="0" xfId="0" applyNumberFormat="1" applyFont="1" applyAlignment="1" applyProtection="1">
      <alignment horizontal="center"/>
      <protection locked="0"/>
    </xf>
    <xf numFmtId="1" fontId="21" fillId="0" borderId="0" xfId="0" applyNumberFormat="1" applyFont="1" applyAlignment="1" applyProtection="1">
      <alignment horizontal="center"/>
      <protection locked="0"/>
    </xf>
    <xf numFmtId="14" fontId="21" fillId="8" borderId="25" xfId="0" applyNumberFormat="1" applyFont="1" applyFill="1" applyBorder="1" applyAlignment="1" applyProtection="1">
      <alignment horizontal="center"/>
      <protection locked="0"/>
    </xf>
    <xf numFmtId="1" fontId="21" fillId="8" borderId="25" xfId="0" applyNumberFormat="1" applyFont="1" applyFill="1" applyBorder="1" applyAlignment="1" applyProtection="1">
      <alignment horizontal="center"/>
      <protection locked="0"/>
    </xf>
    <xf numFmtId="14" fontId="21" fillId="0" borderId="0" xfId="0" applyNumberFormat="1" applyFont="1" applyAlignment="1">
      <alignment horizontal="center" vertical="top"/>
    </xf>
    <xf numFmtId="1" fontId="21" fillId="0" borderId="0" xfId="0" applyNumberFormat="1" applyFont="1" applyAlignment="1">
      <alignment horizontal="center" vertical="top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vertical="top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10" fillId="15" borderId="12" xfId="0" applyFont="1" applyFill="1" applyBorder="1" applyAlignment="1">
      <alignment horizontal="left" wrapText="1"/>
    </xf>
    <xf numFmtId="0" fontId="29" fillId="15" borderId="12" xfId="0" applyFont="1" applyFill="1" applyBorder="1" applyAlignment="1">
      <alignment wrapText="1"/>
    </xf>
    <xf numFmtId="1" fontId="29" fillId="15" borderId="12" xfId="0" applyNumberFormat="1" applyFont="1" applyFill="1" applyBorder="1" applyAlignment="1">
      <alignment horizontal="left" wrapText="1"/>
    </xf>
    <xf numFmtId="0" fontId="10" fillId="15" borderId="12" xfId="0" applyFont="1" applyFill="1" applyBorder="1" applyAlignment="1">
      <alignment wrapText="1"/>
    </xf>
    <xf numFmtId="0" fontId="30" fillId="15" borderId="12" xfId="0" applyFont="1" applyFill="1" applyBorder="1" applyAlignment="1">
      <alignment vertical="center" wrapText="1"/>
    </xf>
    <xf numFmtId="0" fontId="30" fillId="0" borderId="12" xfId="0" applyFont="1" applyBorder="1" applyAlignment="1">
      <alignment vertical="center" wrapText="1"/>
    </xf>
    <xf numFmtId="0" fontId="30" fillId="0" borderId="12" xfId="0" applyFont="1" applyBorder="1" applyAlignment="1">
      <alignment horizontal="center" vertical="center" wrapText="1"/>
    </xf>
    <xf numFmtId="1" fontId="10" fillId="15" borderId="12" xfId="0" applyNumberFormat="1" applyFont="1" applyFill="1" applyBorder="1" applyAlignment="1">
      <alignment horizontal="left" wrapText="1"/>
    </xf>
    <xf numFmtId="14" fontId="10" fillId="15" borderId="12" xfId="0" applyNumberFormat="1" applyFont="1" applyFill="1" applyBorder="1" applyAlignment="1">
      <alignment horizontal="left" wrapText="1"/>
    </xf>
    <xf numFmtId="0" fontId="30" fillId="15" borderId="12" xfId="0" applyFont="1" applyFill="1" applyBorder="1" applyAlignment="1">
      <alignment horizontal="center" vertical="center" wrapText="1"/>
    </xf>
    <xf numFmtId="0" fontId="21" fillId="16" borderId="24" xfId="0" applyFont="1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12" fillId="6" borderId="16" xfId="0" applyFont="1" applyFill="1" applyBorder="1" applyAlignment="1">
      <alignment horizontal="center" vertical="center" wrapText="1"/>
    </xf>
    <xf numFmtId="0" fontId="12" fillId="6" borderId="17" xfId="0" applyFont="1" applyFill="1" applyBorder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0" fontId="12" fillId="9" borderId="16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 wrapText="1"/>
    </xf>
    <xf numFmtId="0" fontId="12" fillId="7" borderId="17" xfId="0" applyFont="1" applyFill="1" applyBorder="1" applyAlignment="1">
      <alignment horizontal="center" vertical="center" wrapText="1"/>
    </xf>
    <xf numFmtId="0" fontId="12" fillId="7" borderId="18" xfId="0" applyFont="1" applyFill="1" applyBorder="1" applyAlignment="1">
      <alignment horizontal="center" vertical="center" wrapText="1"/>
    </xf>
    <xf numFmtId="0" fontId="0" fillId="12" borderId="30" xfId="0" applyFill="1" applyBorder="1" applyAlignment="1">
      <alignment horizontal="center" vertical="center"/>
    </xf>
    <xf numFmtId="0" fontId="13" fillId="6" borderId="23" xfId="0" applyFont="1" applyFill="1" applyBorder="1"/>
    <xf numFmtId="0" fontId="13" fillId="6" borderId="20" xfId="0" applyFont="1" applyFill="1" applyBorder="1"/>
    <xf numFmtId="0" fontId="13" fillId="6" borderId="21" xfId="0" applyFont="1" applyFill="1" applyBorder="1"/>
    <xf numFmtId="0" fontId="13" fillId="5" borderId="0" xfId="0" applyFont="1" applyFill="1"/>
    <xf numFmtId="0" fontId="13" fillId="9" borderId="19" xfId="0" applyFont="1" applyFill="1" applyBorder="1"/>
    <xf numFmtId="0" fontId="13" fillId="9" borderId="20" xfId="0" applyFont="1" applyFill="1" applyBorder="1"/>
    <xf numFmtId="0" fontId="13" fillId="9" borderId="21" xfId="0" applyFont="1" applyFill="1" applyBorder="1" applyAlignment="1">
      <alignment vertical="center" wrapText="1"/>
    </xf>
    <xf numFmtId="0" fontId="13" fillId="7" borderId="19" xfId="0" applyFont="1" applyFill="1" applyBorder="1"/>
    <xf numFmtId="0" fontId="13" fillId="7" borderId="20" xfId="0" applyFont="1" applyFill="1" applyBorder="1"/>
    <xf numFmtId="0" fontId="13" fillId="7" borderId="21" xfId="0" applyFont="1" applyFill="1" applyBorder="1"/>
    <xf numFmtId="0" fontId="0" fillId="12" borderId="31" xfId="0" applyFill="1" applyBorder="1" applyAlignment="1">
      <alignment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2" fontId="33" fillId="0" borderId="22" xfId="0" applyNumberFormat="1" applyFont="1" applyBorder="1" applyAlignment="1" applyProtection="1">
      <alignment vertical="center"/>
      <protection locked="0"/>
    </xf>
    <xf numFmtId="0" fontId="0" fillId="17" borderId="27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14" fontId="16" fillId="17" borderId="12" xfId="0" applyNumberFormat="1" applyFont="1" applyFill="1" applyBorder="1" applyAlignment="1">
      <alignment horizontal="center" vertical="center" wrapText="1"/>
    </xf>
    <xf numFmtId="0" fontId="16" fillId="17" borderId="12" xfId="0" applyFont="1" applyFill="1" applyBorder="1" applyAlignment="1">
      <alignment horizontal="center" vertical="center" wrapText="1"/>
    </xf>
    <xf numFmtId="1" fontId="16" fillId="17" borderId="12" xfId="1" applyNumberFormat="1" applyFont="1" applyFill="1" applyBorder="1" applyAlignment="1">
      <alignment horizontal="center" vertical="center" wrapText="1"/>
    </xf>
    <xf numFmtId="0" fontId="17" fillId="17" borderId="12" xfId="0" applyFont="1" applyFill="1" applyBorder="1" applyAlignment="1">
      <alignment horizontal="center" vertical="center" wrapText="1"/>
    </xf>
    <xf numFmtId="0" fontId="14" fillId="17" borderId="12" xfId="0" applyFont="1" applyFill="1" applyBorder="1" applyAlignment="1">
      <alignment horizontal="center" vertical="center" wrapText="1"/>
    </xf>
    <xf numFmtId="0" fontId="14" fillId="17" borderId="28" xfId="0" applyFont="1" applyFill="1" applyBorder="1" applyAlignment="1">
      <alignment horizontal="center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0" fillId="17" borderId="0" xfId="0" applyFill="1" applyAlignment="1">
      <alignment wrapText="1"/>
    </xf>
    <xf numFmtId="0" fontId="0" fillId="6" borderId="0" xfId="0" applyFill="1" applyAlignment="1">
      <alignment horizontal="center" vertical="center"/>
    </xf>
    <xf numFmtId="0" fontId="0" fillId="18" borderId="33" xfId="0" applyFill="1" applyBorder="1"/>
    <xf numFmtId="0" fontId="0" fillId="18" borderId="34" xfId="0" applyFill="1" applyBorder="1"/>
    <xf numFmtId="0" fontId="0" fillId="0" borderId="36" xfId="0" applyBorder="1"/>
    <xf numFmtId="0" fontId="0" fillId="0" borderId="22" xfId="0" applyBorder="1"/>
    <xf numFmtId="0" fontId="0" fillId="0" borderId="38" xfId="0" applyBorder="1"/>
    <xf numFmtId="0" fontId="0" fillId="18" borderId="32" xfId="0" applyFill="1" applyBorder="1"/>
    <xf numFmtId="0" fontId="0" fillId="0" borderId="35" xfId="0" applyBorder="1"/>
    <xf numFmtId="0" fontId="0" fillId="0" borderId="37" xfId="0" applyBorder="1"/>
    <xf numFmtId="0" fontId="0" fillId="18" borderId="29" xfId="0" applyFill="1" applyBorder="1"/>
    <xf numFmtId="0" fontId="0" fillId="0" borderId="30" xfId="0" applyBorder="1"/>
    <xf numFmtId="0" fontId="0" fillId="0" borderId="31" xfId="0" applyBorder="1"/>
    <xf numFmtId="0" fontId="0" fillId="18" borderId="16" xfId="0" applyFill="1" applyBorder="1"/>
    <xf numFmtId="0" fontId="0" fillId="18" borderId="17" xfId="0" applyFill="1" applyBorder="1"/>
    <xf numFmtId="0" fontId="0" fillId="18" borderId="18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6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7" borderId="22" xfId="0" applyFill="1" applyBorder="1" applyAlignment="1">
      <alignment horizontal="center"/>
    </xf>
    <xf numFmtId="0" fontId="0" fillId="12" borderId="30" xfId="0" applyFill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5" xfId="0" applyBorder="1" applyAlignment="1">
      <alignment horizontal="center"/>
    </xf>
    <xf numFmtId="0" fontId="0" fillId="0" borderId="0" xfId="0" applyAlignment="1">
      <alignment horizontal="center"/>
    </xf>
    <xf numFmtId="0" fontId="0" fillId="18" borderId="32" xfId="0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3">
    <cellStyle name="Comma" xfId="1" builtinId="3"/>
    <cellStyle name="Normal" xfId="0" builtinId="0"/>
    <cellStyle name="Normal 2" xfId="2" xr:uid="{AE24700B-EB93-4FA5-A1B9-19BB8074818B}"/>
  </cellStyles>
  <dxfs count="13"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9FA2-98BD-49CE-8B6C-26338E0C3199}">
  <sheetPr codeName="Sheet5">
    <tabColor theme="8" tint="0.39997558519241921"/>
  </sheetPr>
  <dimension ref="B1:O6"/>
  <sheetViews>
    <sheetView topLeftCell="B3" zoomScale="110" zoomScaleNormal="110" workbookViewId="0">
      <selection activeCell="C3" sqref="C3"/>
    </sheetView>
  </sheetViews>
  <sheetFormatPr defaultRowHeight="14.4" x14ac:dyDescent="0.3"/>
  <cols>
    <col min="2" max="2" width="11.5546875" bestFit="1" customWidth="1"/>
    <col min="3" max="3" width="39.44140625" style="63" bestFit="1" customWidth="1"/>
    <col min="4" max="4" width="12.21875" bestFit="1" customWidth="1"/>
    <col min="5" max="5" width="12.21875" customWidth="1"/>
    <col min="6" max="6" width="11.109375" bestFit="1" customWidth="1"/>
    <col min="7" max="7" width="9.109375" bestFit="1" customWidth="1"/>
    <col min="8" max="8" width="9.21875" bestFit="1" customWidth="1"/>
    <col min="9" max="11" width="9.109375" bestFit="1" customWidth="1"/>
    <col min="12" max="12" width="9.21875" bestFit="1" customWidth="1"/>
    <col min="13" max="13" width="9.109375" bestFit="1" customWidth="1"/>
    <col min="14" max="14" width="9.21875" bestFit="1" customWidth="1"/>
    <col min="15" max="15" width="29.88671875" bestFit="1" customWidth="1"/>
  </cols>
  <sheetData>
    <row r="1" spans="2:15" x14ac:dyDescent="0.3">
      <c r="C1"/>
    </row>
    <row r="2" spans="2:15" x14ac:dyDescent="0.3">
      <c r="C2"/>
      <c r="F2" s="62">
        <f t="shared" ref="F2:N2" si="0">SUBTOTAL(9,F5:F1048576)</f>
        <v>2272</v>
      </c>
      <c r="G2" s="62">
        <f t="shared" si="0"/>
        <v>-40</v>
      </c>
      <c r="H2" s="62">
        <f t="shared" si="0"/>
        <v>-573</v>
      </c>
      <c r="I2" s="62">
        <f t="shared" si="0"/>
        <v>-23</v>
      </c>
      <c r="J2" s="62">
        <f t="shared" si="0"/>
        <v>-3</v>
      </c>
      <c r="K2" s="62">
        <f t="shared" si="0"/>
        <v>-1</v>
      </c>
      <c r="L2" s="62">
        <f t="shared" si="0"/>
        <v>-199</v>
      </c>
      <c r="M2" s="62">
        <f t="shared" si="0"/>
        <v>-4</v>
      </c>
      <c r="N2" s="62">
        <f t="shared" si="0"/>
        <v>-346</v>
      </c>
    </row>
    <row r="3" spans="2:15" ht="40.799999999999997" x14ac:dyDescent="0.3">
      <c r="B3" s="135"/>
      <c r="C3" s="135"/>
      <c r="D3" s="135"/>
      <c r="E3" s="135"/>
      <c r="F3" s="46" t="s">
        <v>10</v>
      </c>
      <c r="G3" s="46" t="s">
        <v>11</v>
      </c>
      <c r="H3" s="46" t="s">
        <v>12</v>
      </c>
      <c r="I3" s="46" t="s">
        <v>13</v>
      </c>
      <c r="J3" s="46" t="s">
        <v>14</v>
      </c>
      <c r="K3" s="46" t="s">
        <v>15</v>
      </c>
      <c r="L3" s="46" t="s">
        <v>16</v>
      </c>
      <c r="M3" s="46" t="s">
        <v>17</v>
      </c>
      <c r="N3" s="46" t="s">
        <v>27</v>
      </c>
    </row>
    <row r="4" spans="2:15" x14ac:dyDescent="0.3">
      <c r="B4" s="103" t="s">
        <v>57</v>
      </c>
      <c r="C4" s="103" t="s">
        <v>58</v>
      </c>
      <c r="D4" s="103" t="s">
        <v>86</v>
      </c>
      <c r="E4" s="103" t="s">
        <v>93</v>
      </c>
      <c r="F4" s="65">
        <v>40000051</v>
      </c>
      <c r="G4" s="65">
        <v>40000057</v>
      </c>
      <c r="H4" s="65">
        <v>40000048</v>
      </c>
      <c r="I4" s="65">
        <v>40000059</v>
      </c>
      <c r="J4" s="65">
        <v>40000049</v>
      </c>
      <c r="K4" s="65">
        <v>40000050</v>
      </c>
      <c r="L4" s="65">
        <v>40000009</v>
      </c>
      <c r="M4" s="65">
        <v>40000052</v>
      </c>
      <c r="N4" s="65">
        <v>40000011</v>
      </c>
      <c r="O4" s="139" t="s">
        <v>76</v>
      </c>
    </row>
    <row r="5" spans="2:15" x14ac:dyDescent="0.3">
      <c r="B5" s="38">
        <v>4500866</v>
      </c>
      <c r="C5" s="77" t="s">
        <v>91</v>
      </c>
      <c r="D5" s="38" t="s">
        <v>587</v>
      </c>
      <c r="E5" s="38" t="s">
        <v>88</v>
      </c>
      <c r="F5" s="66">
        <f>IF(AND($E5&lt;&gt;"Positive",$E5&lt;&gt;"Negative"),"Err.",SUMIFS('Checking(ZSERIALS)'!AR:AR,'Checking(ZSERIALS)'!$E:$E,'Variance Summary'!$B5,'Checking(ZSERIALS)'!$A:$A,'Variance Summary'!$D5,'Checking(ZSERIALS)'!AR:AR,IF($E5="Positive","&gt;0","&lt;0")))</f>
        <v>-10618</v>
      </c>
      <c r="G5" s="66">
        <f>IF(AND($E5&lt;&gt;"Positive",$E5&lt;&gt;"Negative"),"Err.",SUMIFS('Checking(ZSERIALS)'!AS:AS,'Checking(ZSERIALS)'!$E:$E,'Variance Summary'!$B5,'Checking(ZSERIALS)'!$A:$A,'Variance Summary'!$D5,'Checking(ZSERIALS)'!AS:AS,IF($E5="Positive","&gt;0","&lt;0")))</f>
        <v>-40</v>
      </c>
      <c r="H5" s="66">
        <f>IF(AND($E5&lt;&gt;"Positive",$E5&lt;&gt;"Negative"),"Err.",SUMIFS('Checking(ZSERIALS)'!AT:AT,'Checking(ZSERIALS)'!$E:$E,'Variance Summary'!$B5,'Checking(ZSERIALS)'!$A:$A,'Variance Summary'!$D5,'Checking(ZSERIALS)'!AT:AT,IF($E5="Positive","&gt;0","&lt;0")))</f>
        <v>-573</v>
      </c>
      <c r="I5" s="66">
        <f>IF(AND($E5&lt;&gt;"Positive",$E5&lt;&gt;"Negative"),"Err.",SUMIFS('Checking(ZSERIALS)'!AU:AU,'Checking(ZSERIALS)'!$E:$E,'Variance Summary'!$B5,'Checking(ZSERIALS)'!$A:$A,'Variance Summary'!$D5,'Checking(ZSERIALS)'!AU:AU,IF($E5="Positive","&gt;0","&lt;0")))</f>
        <v>-23</v>
      </c>
      <c r="J5" s="66">
        <f>IF(AND($E5&lt;&gt;"Positive",$E5&lt;&gt;"Negative"),"Err.",SUMIFS('Checking(ZSERIALS)'!AV:AV,'Checking(ZSERIALS)'!$E:$E,'Variance Summary'!$B5,'Checking(ZSERIALS)'!$A:$A,'Variance Summary'!$D5,'Checking(ZSERIALS)'!AV:AV,IF($E5="Positive","&gt;0","&lt;0")))</f>
        <v>-3</v>
      </c>
      <c r="K5" s="66">
        <f>IF(AND($E5&lt;&gt;"Positive",$E5&lt;&gt;"Negative"),"Err.",SUMIFS('Checking(ZSERIALS)'!AW:AW,'Checking(ZSERIALS)'!$E:$E,'Variance Summary'!$B5,'Checking(ZSERIALS)'!$A:$A,'Variance Summary'!$D5,'Checking(ZSERIALS)'!AW:AW,IF($E5="Positive","&gt;0","&lt;0")))</f>
        <v>-1</v>
      </c>
      <c r="L5" s="66">
        <f>IF(AND($E5&lt;&gt;"Positive",$E5&lt;&gt;"Negative"),"Err.",SUMIFS('Checking(ZSERIALS)'!AX:AX,'Checking(ZSERIALS)'!$E:$E,'Variance Summary'!$B5,'Checking(ZSERIALS)'!$A:$A,'Variance Summary'!$D5,'Checking(ZSERIALS)'!AX:AX,IF($E5="Positive","&gt;0","&lt;0")))</f>
        <v>-202</v>
      </c>
      <c r="M5" s="66">
        <f>IF(AND($E5&lt;&gt;"Positive",$E5&lt;&gt;"Negative"),"Err.",SUMIFS('Checking(ZSERIALS)'!AY:AY,'Checking(ZSERIALS)'!$E:$E,'Variance Summary'!$B5,'Checking(ZSERIALS)'!$A:$A,'Variance Summary'!$D5,'Checking(ZSERIALS)'!AY:AY,IF($E5="Positive","&gt;0","&lt;0")))</f>
        <v>-4</v>
      </c>
      <c r="N5" s="66">
        <f>IF(AND($E5&lt;&gt;"Positive",$E5&lt;&gt;"Negative"),"Err.",SUMIFS('Checking(ZSERIALS)'!AZ:AZ,'Checking(ZSERIALS)'!$E:$E,'Variance Summary'!$B5,'Checking(ZSERIALS)'!$A:$A,'Variance Summary'!$D5,'Checking(ZSERIALS)'!AZ:AZ,IF($E5="Positive","&gt;0","&lt;0")))</f>
        <v>-362</v>
      </c>
    </row>
    <row r="6" spans="2:15" x14ac:dyDescent="0.3">
      <c r="B6" s="38">
        <v>4500866</v>
      </c>
      <c r="C6" s="77" t="s">
        <v>91</v>
      </c>
      <c r="D6" s="38" t="s">
        <v>587</v>
      </c>
      <c r="E6" s="38" t="s">
        <v>87</v>
      </c>
      <c r="F6" s="66">
        <f>IF(AND($E6&lt;&gt;"Positive",$E6&lt;&gt;"Negative"),"Err.",SUMIFS('Checking(ZSERIALS)'!AR:AR,'Checking(ZSERIALS)'!$E:$E,'Variance Summary'!$B6,'Checking(ZSERIALS)'!$A:$A,'Variance Summary'!$D6,'Checking(ZSERIALS)'!AR:AR,IF($E6="Positive","&gt;0","&lt;0")))</f>
        <v>12890</v>
      </c>
      <c r="G6" s="66">
        <f>IF(AND($E6&lt;&gt;"Positive",$E6&lt;&gt;"Negative"),"Err.",SUMIFS('Checking(ZSERIALS)'!AS:AS,'Checking(ZSERIALS)'!$E:$E,'Variance Summary'!$B6,'Checking(ZSERIALS)'!$A:$A,'Variance Summary'!$D6,'Checking(ZSERIALS)'!AS:AS,IF($E6="Positive","&gt;0","&lt;0")))</f>
        <v>0</v>
      </c>
      <c r="H6" s="66">
        <f>IF(AND($E6&lt;&gt;"Positive",$E6&lt;&gt;"Negative"),"Err.",SUMIFS('Checking(ZSERIALS)'!AT:AT,'Checking(ZSERIALS)'!$E:$E,'Variance Summary'!$B6,'Checking(ZSERIALS)'!$A:$A,'Variance Summary'!$D6,'Checking(ZSERIALS)'!AT:AT,IF($E6="Positive","&gt;0","&lt;0")))</f>
        <v>0</v>
      </c>
      <c r="I6" s="66">
        <f>IF(AND($E6&lt;&gt;"Positive",$E6&lt;&gt;"Negative"),"Err.",SUMIFS('Checking(ZSERIALS)'!AU:AU,'Checking(ZSERIALS)'!$E:$E,'Variance Summary'!$B6,'Checking(ZSERIALS)'!$A:$A,'Variance Summary'!$D6,'Checking(ZSERIALS)'!AU:AU,IF($E6="Positive","&gt;0","&lt;0")))</f>
        <v>0</v>
      </c>
      <c r="J6" s="66">
        <f>IF(AND($E6&lt;&gt;"Positive",$E6&lt;&gt;"Negative"),"Err.",SUMIFS('Checking(ZSERIALS)'!AV:AV,'Checking(ZSERIALS)'!$E:$E,'Variance Summary'!$B6,'Checking(ZSERIALS)'!$A:$A,'Variance Summary'!$D6,'Checking(ZSERIALS)'!AV:AV,IF($E6="Positive","&gt;0","&lt;0")))</f>
        <v>0</v>
      </c>
      <c r="K6" s="66">
        <f>IF(AND($E6&lt;&gt;"Positive",$E6&lt;&gt;"Negative"),"Err.",SUMIFS('Checking(ZSERIALS)'!AW:AW,'Checking(ZSERIALS)'!$E:$E,'Variance Summary'!$B6,'Checking(ZSERIALS)'!$A:$A,'Variance Summary'!$D6,'Checking(ZSERIALS)'!AW:AW,IF($E6="Positive","&gt;0","&lt;0")))</f>
        <v>0</v>
      </c>
      <c r="L6" s="66">
        <f>IF(AND($E6&lt;&gt;"Positive",$E6&lt;&gt;"Negative"),"Err.",SUMIFS('Checking(ZSERIALS)'!AX:AX,'Checking(ZSERIALS)'!$E:$E,'Variance Summary'!$B6,'Checking(ZSERIALS)'!$A:$A,'Variance Summary'!$D6,'Checking(ZSERIALS)'!AX:AX,IF($E6="Positive","&gt;0","&lt;0")))</f>
        <v>3</v>
      </c>
      <c r="M6" s="66">
        <f>IF(AND($E6&lt;&gt;"Positive",$E6&lt;&gt;"Negative"),"Err.",SUMIFS('Checking(ZSERIALS)'!AY:AY,'Checking(ZSERIALS)'!$E:$E,'Variance Summary'!$B6,'Checking(ZSERIALS)'!$A:$A,'Variance Summary'!$D6,'Checking(ZSERIALS)'!AY:AY,IF($E6="Positive","&gt;0","&lt;0")))</f>
        <v>0</v>
      </c>
      <c r="N6" s="66">
        <f>IF(AND($E6&lt;&gt;"Positive",$E6&lt;&gt;"Negative"),"Err.",SUMIFS('Checking(ZSERIALS)'!AZ:AZ,'Checking(ZSERIALS)'!$E:$E,'Variance Summary'!$B6,'Checking(ZSERIALS)'!$A:$A,'Variance Summary'!$D6,'Checking(ZSERIALS)'!AZ:AZ,IF($E6="Positive","&gt;0","&lt;0")))</f>
        <v>16</v>
      </c>
    </row>
  </sheetData>
  <autoFilter ref="B4:O6" xr:uid="{4D0F9FA2-98BD-49CE-8B6C-26338E0C3199}"/>
  <dataValidations count="1">
    <dataValidation type="list" allowBlank="1" showInputMessage="1" showErrorMessage="1" sqref="E5:E6" xr:uid="{6DFE118F-DDA9-45F1-AFF6-D526CC7E14F8}">
      <formula1>"Positive,Negative"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B9851-B93B-4E4D-ADDB-D526BA725746}">
  <sheetPr codeName="Sheet1">
    <tabColor rgb="FF92D050"/>
  </sheetPr>
  <dimension ref="A1:BC1778"/>
  <sheetViews>
    <sheetView topLeftCell="B1" zoomScale="90" zoomScaleNormal="90" zoomScaleSheetLayoutView="90" workbookViewId="0">
      <pane ySplit="3" topLeftCell="A4" activePane="bottomLeft" state="frozen"/>
      <selection pane="bottomLeft" activeCell="J10" sqref="J10"/>
    </sheetView>
  </sheetViews>
  <sheetFormatPr defaultRowHeight="14.4" x14ac:dyDescent="0.3"/>
  <cols>
    <col min="1" max="1" width="12.33203125" style="128" bestFit="1" customWidth="1"/>
    <col min="2" max="2" width="11.6640625" style="129" bestFit="1" customWidth="1"/>
    <col min="3" max="3" width="17.109375" style="79" bestFit="1" customWidth="1"/>
    <col min="4" max="4" width="6.109375" style="79" bestFit="1" customWidth="1"/>
    <col min="5" max="5" width="13.33203125" style="80" bestFit="1" customWidth="1"/>
    <col min="6" max="6" width="36.6640625" style="79" bestFit="1" customWidth="1"/>
    <col min="7" max="7" width="15.6640625" style="79" bestFit="1" customWidth="1"/>
    <col min="8" max="8" width="12.6640625" style="130" bestFit="1" customWidth="1"/>
    <col min="9" max="9" width="38.33203125" style="79" bestFit="1" customWidth="1"/>
    <col min="10" max="10" width="16" style="81" customWidth="1"/>
    <col min="11" max="11" width="13.5546875" style="79" bestFit="1" customWidth="1"/>
    <col min="12" max="12" width="19.33203125" style="79" bestFit="1" customWidth="1"/>
    <col min="22" max="22" width="1.21875" style="34" customWidth="1"/>
    <col min="32" max="32" width="9.5546875" style="35" bestFit="1" customWidth="1"/>
    <col min="33" max="33" width="1.5546875" style="34" customWidth="1"/>
    <col min="43" max="43" width="1.21875" style="34" customWidth="1"/>
    <col min="53" max="53" width="1.109375" style="34" customWidth="1"/>
    <col min="54" max="54" width="14.33203125" style="35" customWidth="1"/>
    <col min="55" max="55" width="15.44140625" style="33" customWidth="1"/>
    <col min="56" max="16384" width="8.88671875" style="33"/>
  </cols>
  <sheetData>
    <row r="1" spans="1:55" ht="15" thickBot="1" x14ac:dyDescent="0.35">
      <c r="M1" s="205" t="s">
        <v>78</v>
      </c>
      <c r="N1" s="205"/>
      <c r="O1" s="205"/>
      <c r="P1" s="205"/>
      <c r="Q1" s="205"/>
      <c r="R1" s="205"/>
      <c r="S1" s="205"/>
      <c r="T1" s="205"/>
      <c r="U1" s="205"/>
      <c r="W1" s="206" t="s">
        <v>77</v>
      </c>
      <c r="X1" s="206"/>
      <c r="Y1" s="206"/>
      <c r="Z1" s="206"/>
      <c r="AA1" s="206"/>
      <c r="AB1" s="206"/>
      <c r="AC1" s="206"/>
      <c r="AD1" s="206"/>
      <c r="AE1" s="206"/>
      <c r="AF1" s="206"/>
      <c r="AH1" s="207" t="s">
        <v>80</v>
      </c>
      <c r="AI1" s="207"/>
      <c r="AJ1" s="207"/>
      <c r="AK1" s="207"/>
      <c r="AL1" s="207"/>
      <c r="AM1" s="207"/>
      <c r="AN1" s="207"/>
      <c r="AO1" s="207"/>
      <c r="AP1" s="207"/>
      <c r="AR1" s="207" t="s">
        <v>94</v>
      </c>
      <c r="AS1" s="207"/>
      <c r="AT1" s="207"/>
      <c r="AU1" s="207"/>
      <c r="AV1" s="207"/>
      <c r="AW1" s="207"/>
      <c r="AX1" s="207"/>
      <c r="AY1" s="207"/>
      <c r="AZ1" s="207"/>
      <c r="BB1" s="151"/>
      <c r="BC1" s="208" t="s">
        <v>95</v>
      </c>
    </row>
    <row r="2" spans="1:55" ht="73.2" customHeight="1" thickBot="1" x14ac:dyDescent="0.35">
      <c r="E2" s="176"/>
      <c r="F2" s="176"/>
      <c r="G2" s="176"/>
      <c r="H2" s="176"/>
      <c r="I2" s="176"/>
      <c r="M2" s="152" t="s">
        <v>10</v>
      </c>
      <c r="N2" s="153" t="s">
        <v>11</v>
      </c>
      <c r="O2" s="153" t="s">
        <v>12</v>
      </c>
      <c r="P2" s="153" t="s">
        <v>13</v>
      </c>
      <c r="Q2" s="153" t="s">
        <v>14</v>
      </c>
      <c r="R2" s="153" t="s">
        <v>15</v>
      </c>
      <c r="S2" s="153" t="s">
        <v>16</v>
      </c>
      <c r="T2" s="153" t="s">
        <v>17</v>
      </c>
      <c r="U2" s="154" t="s">
        <v>27</v>
      </c>
      <c r="W2" s="155" t="s">
        <v>10</v>
      </c>
      <c r="X2" s="156" t="s">
        <v>11</v>
      </c>
      <c r="Y2" s="156" t="s">
        <v>12</v>
      </c>
      <c r="Z2" s="156" t="s">
        <v>13</v>
      </c>
      <c r="AA2" s="156" t="s">
        <v>14</v>
      </c>
      <c r="AB2" s="156" t="s">
        <v>15</v>
      </c>
      <c r="AC2" s="156" t="s">
        <v>16</v>
      </c>
      <c r="AD2" s="156" t="s">
        <v>17</v>
      </c>
      <c r="AE2" s="156" t="s">
        <v>27</v>
      </c>
      <c r="AF2" s="157" t="s">
        <v>76</v>
      </c>
      <c r="AH2" s="158" t="s">
        <v>10</v>
      </c>
      <c r="AI2" s="159" t="s">
        <v>11</v>
      </c>
      <c r="AJ2" s="159" t="s">
        <v>12</v>
      </c>
      <c r="AK2" s="159" t="s">
        <v>13</v>
      </c>
      <c r="AL2" s="159" t="s">
        <v>14</v>
      </c>
      <c r="AM2" s="159" t="s">
        <v>15</v>
      </c>
      <c r="AN2" s="159" t="s">
        <v>16</v>
      </c>
      <c r="AO2" s="159" t="s">
        <v>17</v>
      </c>
      <c r="AP2" s="160" t="s">
        <v>27</v>
      </c>
      <c r="AR2" s="158" t="s">
        <v>10</v>
      </c>
      <c r="AS2" s="159" t="s">
        <v>11</v>
      </c>
      <c r="AT2" s="159" t="s">
        <v>12</v>
      </c>
      <c r="AU2" s="159" t="s">
        <v>13</v>
      </c>
      <c r="AV2" s="159" t="s">
        <v>14</v>
      </c>
      <c r="AW2" s="159" t="s">
        <v>15</v>
      </c>
      <c r="AX2" s="159" t="s">
        <v>16</v>
      </c>
      <c r="AY2" s="159" t="s">
        <v>17</v>
      </c>
      <c r="AZ2" s="160" t="s">
        <v>27</v>
      </c>
      <c r="BB2" s="161" t="s">
        <v>76</v>
      </c>
      <c r="BC2" s="208"/>
    </row>
    <row r="3" spans="1:55" s="36" customFormat="1" ht="12.6" customHeight="1" thickBot="1" x14ac:dyDescent="0.35">
      <c r="A3" s="150" t="s">
        <v>86</v>
      </c>
      <c r="B3" s="131" t="s">
        <v>55</v>
      </c>
      <c r="C3" s="82" t="s">
        <v>56</v>
      </c>
      <c r="D3" s="82" t="s">
        <v>79</v>
      </c>
      <c r="E3" s="83" t="s">
        <v>57</v>
      </c>
      <c r="F3" s="82" t="s">
        <v>58</v>
      </c>
      <c r="G3" s="82" t="s">
        <v>51</v>
      </c>
      <c r="H3" s="132" t="s">
        <v>50</v>
      </c>
      <c r="I3" s="82" t="s">
        <v>59</v>
      </c>
      <c r="J3" s="84" t="s">
        <v>60</v>
      </c>
      <c r="K3" s="82" t="s">
        <v>61</v>
      </c>
      <c r="L3" s="85" t="s">
        <v>62</v>
      </c>
      <c r="M3" s="162">
        <v>40000051</v>
      </c>
      <c r="N3" s="163">
        <v>40000057</v>
      </c>
      <c r="O3" s="163">
        <v>40000048</v>
      </c>
      <c r="P3" s="163">
        <v>40000059</v>
      </c>
      <c r="Q3" s="163">
        <v>40000049</v>
      </c>
      <c r="R3" s="163">
        <v>40000050</v>
      </c>
      <c r="S3" s="163">
        <v>40000009</v>
      </c>
      <c r="T3" s="163">
        <v>40000052</v>
      </c>
      <c r="U3" s="164">
        <v>40000011</v>
      </c>
      <c r="V3" s="165" t="s">
        <v>75</v>
      </c>
      <c r="W3" s="166">
        <v>40000051</v>
      </c>
      <c r="X3" s="167">
        <v>40000057</v>
      </c>
      <c r="Y3" s="167">
        <v>40000048</v>
      </c>
      <c r="Z3" s="167">
        <v>40000059</v>
      </c>
      <c r="AA3" s="167">
        <v>40000049</v>
      </c>
      <c r="AB3" s="167">
        <v>40000050</v>
      </c>
      <c r="AC3" s="167">
        <v>40000009</v>
      </c>
      <c r="AD3" s="167">
        <v>40000052</v>
      </c>
      <c r="AE3" s="167">
        <v>40000011</v>
      </c>
      <c r="AF3" s="168" t="s">
        <v>76</v>
      </c>
      <c r="AG3" s="165" t="s">
        <v>75</v>
      </c>
      <c r="AH3" s="169">
        <v>40000051</v>
      </c>
      <c r="AI3" s="170">
        <v>40000057</v>
      </c>
      <c r="AJ3" s="170">
        <v>40000048</v>
      </c>
      <c r="AK3" s="170">
        <v>40000059</v>
      </c>
      <c r="AL3" s="170">
        <v>40000049</v>
      </c>
      <c r="AM3" s="170">
        <v>40000050</v>
      </c>
      <c r="AN3" s="170">
        <v>40000009</v>
      </c>
      <c r="AO3" s="170">
        <v>40000052</v>
      </c>
      <c r="AP3" s="171">
        <v>40000011</v>
      </c>
      <c r="AQ3" s="165" t="s">
        <v>82</v>
      </c>
      <c r="AR3" s="169">
        <v>40000051</v>
      </c>
      <c r="AS3" s="170">
        <v>40000057</v>
      </c>
      <c r="AT3" s="170">
        <v>40000048</v>
      </c>
      <c r="AU3" s="170">
        <v>40000059</v>
      </c>
      <c r="AV3" s="170">
        <v>40000049</v>
      </c>
      <c r="AW3" s="170">
        <v>40000050</v>
      </c>
      <c r="AX3" s="170">
        <v>40000009</v>
      </c>
      <c r="AY3" s="170">
        <v>40000052</v>
      </c>
      <c r="AZ3" s="171">
        <v>40000011</v>
      </c>
      <c r="BA3" s="165" t="s">
        <v>75</v>
      </c>
      <c r="BB3" s="172"/>
      <c r="BC3" s="78"/>
    </row>
    <row r="4" spans="1:55" s="36" customFormat="1" ht="13.8" x14ac:dyDescent="0.3">
      <c r="A4" s="128" t="str">
        <f>_xlfn.XLOOKUP(B4,'Cuttof Mapping'!A:A,'Cuttof Mapping'!D:D)</f>
        <v>2023 Dec 2nd</v>
      </c>
      <c r="B4" s="133">
        <v>45294</v>
      </c>
      <c r="C4" s="86" t="s">
        <v>105</v>
      </c>
      <c r="D4" s="79" t="s">
        <v>63</v>
      </c>
      <c r="E4" s="86">
        <v>4500866</v>
      </c>
      <c r="F4" s="86" t="s">
        <v>91</v>
      </c>
      <c r="G4" s="86" t="s">
        <v>106</v>
      </c>
      <c r="H4" s="86">
        <v>10001035</v>
      </c>
      <c r="I4" s="86" t="s">
        <v>90</v>
      </c>
      <c r="J4" s="86">
        <v>1680000705942</v>
      </c>
      <c r="K4" s="86" t="s">
        <v>54</v>
      </c>
      <c r="L4" s="86" t="s">
        <v>107</v>
      </c>
      <c r="M4" s="173">
        <f>IF(G4="","",ABS(SUMIFS('System(MB51)'!$K:$K,'System(MB51)'!$L:$L,'Checking(ZSERIALS)'!$J4,'System(MB51)'!$O:$O,'Checking(ZSERIALS)'!$L4,'System(MB51)'!$A:$A,'Checking(ZSERIALS)'!M$3)))</f>
        <v>0</v>
      </c>
      <c r="N4" s="173">
        <f>IF(H4="","",ABS(SUMIFS('System(MB51)'!$K:$K,'System(MB51)'!$L:$L,'Checking(ZSERIALS)'!$J4,'System(MB51)'!$O:$O,'Checking(ZSERIALS)'!$L4,'System(MB51)'!$A:$A,'Checking(ZSERIALS)'!N$3)))</f>
        <v>2</v>
      </c>
      <c r="O4" s="173">
        <f>IF(I4="","",ABS(SUMIFS('System(MB51)'!$K:$K,'System(MB51)'!$L:$L,'Checking(ZSERIALS)'!$J4,'System(MB51)'!$O:$O,'Checking(ZSERIALS)'!$L4,'System(MB51)'!$A:$A,'Checking(ZSERIALS)'!O$3)))</f>
        <v>0</v>
      </c>
      <c r="P4" s="173">
        <f>IF(J4="","",ABS(SUMIFS('System(MB51)'!$K:$K,'System(MB51)'!$L:$L,'Checking(ZSERIALS)'!$J4,'System(MB51)'!$O:$O,'Checking(ZSERIALS)'!$L4,'System(MB51)'!$A:$A,'Checking(ZSERIALS)'!P$3)))</f>
        <v>1</v>
      </c>
      <c r="Q4" s="173">
        <f>IF(K4="","",ABS(SUMIFS('System(MB51)'!$K:$K,'System(MB51)'!$L:$L,'Checking(ZSERIALS)'!$J4,'System(MB51)'!$O:$O,'Checking(ZSERIALS)'!$L4,'System(MB51)'!$A:$A,'Checking(ZSERIALS)'!Q$3)))</f>
        <v>0</v>
      </c>
      <c r="R4" s="173">
        <f>IF(L4="","",ABS(SUMIFS('System(MB51)'!$K:$K,'System(MB51)'!$L:$L,'Checking(ZSERIALS)'!$J4,'System(MB51)'!$O:$O,'Checking(ZSERIALS)'!$L4,'System(MB51)'!$A:$A,'Checking(ZSERIALS)'!R$3)))</f>
        <v>0</v>
      </c>
      <c r="S4" s="173">
        <f>IF(M4="","",ABS(SUMIFS('System(MB51)'!$K:$K,'System(MB51)'!$L:$L,'Checking(ZSERIALS)'!$J4,'System(MB51)'!$O:$O,'Checking(ZSERIALS)'!$L4,'System(MB51)'!$A:$A,'Checking(ZSERIALS)'!S$3)))</f>
        <v>5</v>
      </c>
      <c r="T4" s="173">
        <f>IF(N4="","",ABS(SUMIFS('System(MB51)'!$K:$K,'System(MB51)'!$L:$L,'Checking(ZSERIALS)'!$J4,'System(MB51)'!$O:$O,'Checking(ZSERIALS)'!$L4,'System(MB51)'!$A:$A,'Checking(ZSERIALS)'!T$3)))</f>
        <v>1</v>
      </c>
      <c r="U4" s="173">
        <f>IF(O4="","",ABS(SUMIFS('System(MB51)'!$K:$K,'System(MB51)'!$L:$L,'Checking(ZSERIALS)'!$J4,'System(MB51)'!$O:$O,'Checking(ZSERIALS)'!$L4,'System(MB51)'!$A:$A,'Checking(ZSERIALS)'!U$3)))</f>
        <v>0</v>
      </c>
      <c r="V4" s="165"/>
      <c r="W4" s="173">
        <f>IF($G4="","",INDEX(MLR!$1:$1048576,MATCH($G4,MLR!$J:$J,0),MATCH(W$3,MLR!$1:$1,0)))</f>
        <v>122</v>
      </c>
      <c r="X4" s="173">
        <f>IF($G4="","",INDEX(MLR!$1:$1048576,MATCH($G4,MLR!$J:$J,0),MATCH(X$3,MLR!$1:$1,0)))</f>
        <v>2</v>
      </c>
      <c r="Y4" s="173">
        <f>IF($G4="","",INDEX(MLR!$1:$1048576,MATCH($G4,MLR!$J:$J,0),MATCH(Y$3,MLR!$1:$1,0)))</f>
        <v>7</v>
      </c>
      <c r="Z4" s="173">
        <f>IF($G4="","",INDEX(MLR!$1:$1048576,MATCH($G4,MLR!$J:$J,0),MATCH(Z$3,MLR!$1:$1,0)))</f>
        <v>1</v>
      </c>
      <c r="AA4" s="173">
        <f>IF($G4="","",INDEX(MLR!$1:$1048576,MATCH($G4,MLR!$J:$J,0),MATCH(AA$3,MLR!$1:$1,0)))</f>
        <v>0</v>
      </c>
      <c r="AB4" s="173">
        <f>IF($G4="","",INDEX(MLR!$1:$1048576,MATCH($G4,MLR!$J:$J,0),MATCH(AB$3,MLR!$1:$1,0)))</f>
        <v>0</v>
      </c>
      <c r="AC4" s="173">
        <f>IF($G4="","",INDEX(MLR!$1:$1048576,MATCH($G4,MLR!$J:$J,0),MATCH(AC$3,MLR!$1:$1,0)))</f>
        <v>5</v>
      </c>
      <c r="AD4" s="173">
        <f>IF($G4="","",INDEX(MLR!$1:$1048576,MATCH($G4,MLR!$J:$J,0),MATCH(AD$3,MLR!$1:$1,0)))</f>
        <v>1</v>
      </c>
      <c r="AE4" s="173">
        <f>IF($G4="","",INDEX(MLR!$1:$1048576,MATCH($G4,MLR!$J:$J,0),MATCH(AE$3,MLR!$1:$1,0)))</f>
        <v>10</v>
      </c>
      <c r="AF4" s="174" t="str">
        <f>IF(G4="","",IFERROR(IF(MATCH($G4,MLR!$J:$J,0)&gt;0,"Installed","Not Found"),"Not Found"))</f>
        <v>Installed</v>
      </c>
      <c r="AG4" s="165"/>
      <c r="AH4" s="175" t="str">
        <f t="shared" ref="AH4:AH30" si="0">IF(G4="","",IF(W4=M4,"Correct",IF(W4&gt;M4,"Short",IF(W4&lt;M4,"Over","Err."))))</f>
        <v>Short</v>
      </c>
      <c r="AI4" s="175" t="str">
        <f t="shared" ref="AI4:AI30" si="1">IF(H4="","",IF(X4=N4,"Correct",IF(X4&gt;N4,"Short",IF(X4&lt;N4,"Over","Err."))))</f>
        <v>Correct</v>
      </c>
      <c r="AJ4" s="175" t="str">
        <f t="shared" ref="AJ4:AJ30" si="2">IF(I4="","",IF(Y4=O4,"Correct",IF(Y4&gt;O4,"Short",IF(Y4&lt;O4,"Over","Err."))))</f>
        <v>Short</v>
      </c>
      <c r="AK4" s="175" t="str">
        <f t="shared" ref="AK4:AK30" si="3">IF(J4="","",IF(Z4=P4,"Correct",IF(Z4&gt;P4,"Short",IF(Z4&lt;P4,"Over","Err."))))</f>
        <v>Correct</v>
      </c>
      <c r="AL4" s="175" t="str">
        <f t="shared" ref="AL4:AL30" si="4">IF(K4="","",IF(AA4=Q4,"Correct",IF(AA4&gt;Q4,"Short",IF(AA4&lt;Q4,"Over","Err."))))</f>
        <v>Correct</v>
      </c>
      <c r="AM4" s="175" t="str">
        <f t="shared" ref="AM4:AM30" si="5">IF(L4="","",IF(AB4=R4,"Correct",IF(AB4&gt;R4,"Short",IF(AB4&lt;R4,"Over","Err."))))</f>
        <v>Correct</v>
      </c>
      <c r="AN4" s="175" t="str">
        <f t="shared" ref="AN4:AN30" si="6">IF(M4="","",IF(AC4=S4,"Correct",IF(AC4&gt;S4,"Short",IF(AC4&lt;S4,"Over","Err."))))</f>
        <v>Correct</v>
      </c>
      <c r="AO4" s="175" t="str">
        <f t="shared" ref="AO4:AO30" si="7">IF(N4="","",IF(AD4=T4,"Correct",IF(AD4&gt;T4,"Short",IF(AD4&lt;T4,"Over","Err."))))</f>
        <v>Correct</v>
      </c>
      <c r="AP4" s="175" t="str">
        <f t="shared" ref="AP4:AP30" si="8">IF(O4="","",IF(AE4=U4,"Correct",IF(AE4&gt;U4,"Short",IF(AE4&lt;U4,"Over","Err."))))</f>
        <v>Short</v>
      </c>
      <c r="AQ4" s="165"/>
      <c r="AR4" s="173">
        <f>M4-W4</f>
        <v>-122</v>
      </c>
      <c r="AS4" s="173">
        <f t="shared" ref="AS4:AZ4" si="9">N4-X4</f>
        <v>0</v>
      </c>
      <c r="AT4" s="173">
        <f t="shared" si="9"/>
        <v>-7</v>
      </c>
      <c r="AU4" s="173">
        <f t="shared" si="9"/>
        <v>0</v>
      </c>
      <c r="AV4" s="173">
        <f t="shared" si="9"/>
        <v>0</v>
      </c>
      <c r="AW4" s="173">
        <f t="shared" si="9"/>
        <v>0</v>
      </c>
      <c r="AX4" s="173">
        <f t="shared" si="9"/>
        <v>0</v>
      </c>
      <c r="AY4" s="173">
        <f t="shared" si="9"/>
        <v>0</v>
      </c>
      <c r="AZ4" s="173">
        <f t="shared" si="9"/>
        <v>-10</v>
      </c>
      <c r="BA4" s="165"/>
      <c r="BB4" s="174" t="str">
        <f>IF(G4="","",IF(AF4="Not Found","No MLR",IF(COUNTIF(AH4:AP4,"Correct")=9,"No Variance","With Variance")))</f>
        <v>With Variance</v>
      </c>
    </row>
    <row r="5" spans="1:55" s="36" customFormat="1" ht="13.8" x14ac:dyDescent="0.3">
      <c r="A5" s="128" t="str">
        <f>_xlfn.XLOOKUP(B5,'Cuttof Mapping'!A:A,'Cuttof Mapping'!D:D)</f>
        <v>2023 Dec 2nd</v>
      </c>
      <c r="B5" s="133">
        <v>45294</v>
      </c>
      <c r="C5" s="86" t="s">
        <v>108</v>
      </c>
      <c r="D5" s="79" t="s">
        <v>63</v>
      </c>
      <c r="E5" s="86">
        <v>4500866</v>
      </c>
      <c r="F5" s="86" t="s">
        <v>91</v>
      </c>
      <c r="G5" s="86" t="s">
        <v>109</v>
      </c>
      <c r="H5" s="86">
        <v>10001035</v>
      </c>
      <c r="I5" s="86" t="s">
        <v>90</v>
      </c>
      <c r="J5" s="86">
        <v>1680000701938</v>
      </c>
      <c r="K5" s="86" t="s">
        <v>54</v>
      </c>
      <c r="L5" s="86" t="s">
        <v>110</v>
      </c>
      <c r="M5" s="173">
        <f>IF(G5="","",ABS(SUMIFS('System(MB51)'!$K:$K,'System(MB51)'!$L:$L,'Checking(ZSERIALS)'!$J5,'System(MB51)'!$O:$O,'Checking(ZSERIALS)'!$L5,'System(MB51)'!$A:$A,'Checking(ZSERIALS)'!M$3)))</f>
        <v>0</v>
      </c>
      <c r="N5" s="173">
        <f>IF(H5="","",ABS(SUMIFS('System(MB51)'!$K:$K,'System(MB51)'!$L:$L,'Checking(ZSERIALS)'!$J5,'System(MB51)'!$O:$O,'Checking(ZSERIALS)'!$L5,'System(MB51)'!$A:$A,'Checking(ZSERIALS)'!N$3)))</f>
        <v>2</v>
      </c>
      <c r="O5" s="173">
        <f>IF(I5="","",ABS(SUMIFS('System(MB51)'!$K:$K,'System(MB51)'!$L:$L,'Checking(ZSERIALS)'!$J5,'System(MB51)'!$O:$O,'Checking(ZSERIALS)'!$L5,'System(MB51)'!$A:$A,'Checking(ZSERIALS)'!O$3)))</f>
        <v>0</v>
      </c>
      <c r="P5" s="173">
        <f>IF(J5="","",ABS(SUMIFS('System(MB51)'!$K:$K,'System(MB51)'!$L:$L,'Checking(ZSERIALS)'!$J5,'System(MB51)'!$O:$O,'Checking(ZSERIALS)'!$L5,'System(MB51)'!$A:$A,'Checking(ZSERIALS)'!P$3)))</f>
        <v>0</v>
      </c>
      <c r="Q5" s="173">
        <f>IF(K5="","",ABS(SUMIFS('System(MB51)'!$K:$K,'System(MB51)'!$L:$L,'Checking(ZSERIALS)'!$J5,'System(MB51)'!$O:$O,'Checking(ZSERIALS)'!$L5,'System(MB51)'!$A:$A,'Checking(ZSERIALS)'!Q$3)))</f>
        <v>0</v>
      </c>
      <c r="R5" s="173">
        <f>IF(L5="","",ABS(SUMIFS('System(MB51)'!$K:$K,'System(MB51)'!$L:$L,'Checking(ZSERIALS)'!$J5,'System(MB51)'!$O:$O,'Checking(ZSERIALS)'!$L5,'System(MB51)'!$A:$A,'Checking(ZSERIALS)'!R$3)))</f>
        <v>0</v>
      </c>
      <c r="S5" s="173">
        <f>IF(M5="","",ABS(SUMIFS('System(MB51)'!$K:$K,'System(MB51)'!$L:$L,'Checking(ZSERIALS)'!$J5,'System(MB51)'!$O:$O,'Checking(ZSERIALS)'!$L5,'System(MB51)'!$A:$A,'Checking(ZSERIALS)'!S$3)))</f>
        <v>10</v>
      </c>
      <c r="T5" s="173">
        <f>IF(N5="","",ABS(SUMIFS('System(MB51)'!$K:$K,'System(MB51)'!$L:$L,'Checking(ZSERIALS)'!$J5,'System(MB51)'!$O:$O,'Checking(ZSERIALS)'!$L5,'System(MB51)'!$A:$A,'Checking(ZSERIALS)'!T$3)))</f>
        <v>1</v>
      </c>
      <c r="U5" s="173">
        <f>IF(O5="","",ABS(SUMIFS('System(MB51)'!$K:$K,'System(MB51)'!$L:$L,'Checking(ZSERIALS)'!$J5,'System(MB51)'!$O:$O,'Checking(ZSERIALS)'!$L5,'System(MB51)'!$A:$A,'Checking(ZSERIALS)'!U$3)))</f>
        <v>8</v>
      </c>
      <c r="V5" s="165"/>
      <c r="W5" s="173">
        <f>IF($G5="","",INDEX(MLR!$1:$1048576,MATCH($G5,MLR!$J:$J,0),MATCH(W$3,MLR!$1:$1,0)))</f>
        <v>404</v>
      </c>
      <c r="X5" s="173">
        <f>IF($G5="","",INDEX(MLR!$1:$1048576,MATCH($G5,MLR!$J:$J,0),MATCH(X$3,MLR!$1:$1,0)))</f>
        <v>2</v>
      </c>
      <c r="Y5" s="173">
        <f>IF($G5="","",INDEX(MLR!$1:$1048576,MATCH($G5,MLR!$J:$J,0),MATCH(Y$3,MLR!$1:$1,0)))</f>
        <v>18</v>
      </c>
      <c r="Z5" s="173">
        <f>IF($G5="","",INDEX(MLR!$1:$1048576,MATCH($G5,MLR!$J:$J,0),MATCH(Z$3,MLR!$1:$1,0)))</f>
        <v>1</v>
      </c>
      <c r="AA5" s="173">
        <f>IF($G5="","",INDEX(MLR!$1:$1048576,MATCH($G5,MLR!$J:$J,0),MATCH(AA$3,MLR!$1:$1,0)))</f>
        <v>0</v>
      </c>
      <c r="AB5" s="173">
        <f>IF($G5="","",INDEX(MLR!$1:$1048576,MATCH($G5,MLR!$J:$J,0),MATCH(AB$3,MLR!$1:$1,0)))</f>
        <v>0</v>
      </c>
      <c r="AC5" s="173">
        <f>IF($G5="","",INDEX(MLR!$1:$1048576,MATCH($G5,MLR!$J:$J,0),MATCH(AC$3,MLR!$1:$1,0)))</f>
        <v>10</v>
      </c>
      <c r="AD5" s="173">
        <f>IF($G5="","",INDEX(MLR!$1:$1048576,MATCH($G5,MLR!$J:$J,0),MATCH(AD$3,MLR!$1:$1,0)))</f>
        <v>1</v>
      </c>
      <c r="AE5" s="173">
        <f>IF($G5="","",INDEX(MLR!$1:$1048576,MATCH($G5,MLR!$J:$J,0),MATCH(AE$3,MLR!$1:$1,0)))</f>
        <v>10</v>
      </c>
      <c r="AF5" s="174" t="str">
        <f>IF(G5="","",IFERROR(IF(MATCH($G5,MLR!$J:$J,0)&gt;0,"Installed","Not Found"),"Not Found"))</f>
        <v>Installed</v>
      </c>
      <c r="AG5" s="165"/>
      <c r="AH5" s="175" t="str">
        <f t="shared" si="0"/>
        <v>Short</v>
      </c>
      <c r="AI5" s="175" t="str">
        <f t="shared" si="1"/>
        <v>Correct</v>
      </c>
      <c r="AJ5" s="175" t="str">
        <f t="shared" si="2"/>
        <v>Short</v>
      </c>
      <c r="AK5" s="175" t="str">
        <f t="shared" si="3"/>
        <v>Short</v>
      </c>
      <c r="AL5" s="175" t="str">
        <f t="shared" si="4"/>
        <v>Correct</v>
      </c>
      <c r="AM5" s="175" t="str">
        <f t="shared" si="5"/>
        <v>Correct</v>
      </c>
      <c r="AN5" s="175" t="str">
        <f t="shared" si="6"/>
        <v>Correct</v>
      </c>
      <c r="AO5" s="175" t="str">
        <f t="shared" si="7"/>
        <v>Correct</v>
      </c>
      <c r="AP5" s="175" t="str">
        <f t="shared" si="8"/>
        <v>Short</v>
      </c>
      <c r="AQ5" s="165"/>
      <c r="AR5" s="173">
        <f t="shared" ref="AR5:AR10" si="10">M5-W5</f>
        <v>-404</v>
      </c>
      <c r="AS5" s="173">
        <f t="shared" ref="AS5:AS10" si="11">N5-X5</f>
        <v>0</v>
      </c>
      <c r="AT5" s="173">
        <f t="shared" ref="AT5:AT10" si="12">O5-Y5</f>
        <v>-18</v>
      </c>
      <c r="AU5" s="173">
        <f t="shared" ref="AU5:AU10" si="13">P5-Z5</f>
        <v>-1</v>
      </c>
      <c r="AV5" s="173">
        <f t="shared" ref="AV5:AV10" si="14">Q5-AA5</f>
        <v>0</v>
      </c>
      <c r="AW5" s="173">
        <f t="shared" ref="AW5:AW10" si="15">R5-AB5</f>
        <v>0</v>
      </c>
      <c r="AX5" s="173">
        <f t="shared" ref="AX5:AX10" si="16">S5-AC5</f>
        <v>0</v>
      </c>
      <c r="AY5" s="173">
        <f t="shared" ref="AY5:AY10" si="17">T5-AD5</f>
        <v>0</v>
      </c>
      <c r="AZ5" s="173">
        <f t="shared" ref="AZ5:AZ10" si="18">U5-AE5</f>
        <v>-2</v>
      </c>
      <c r="BA5" s="165"/>
      <c r="BB5" s="174" t="str">
        <f t="shared" ref="BB5:BB68" si="19">IF(G5="","",IF(AF5="Not Found","No MLR",IF(COUNTIF(AH5:AP5,"Correct")=9,"No Variance","With Variance")))</f>
        <v>With Variance</v>
      </c>
    </row>
    <row r="6" spans="1:55" s="36" customFormat="1" ht="13.8" x14ac:dyDescent="0.3">
      <c r="A6" s="128" t="str">
        <f>_xlfn.XLOOKUP(B6,'Cuttof Mapping'!A:A,'Cuttof Mapping'!D:D)</f>
        <v>2023 Dec 2nd</v>
      </c>
      <c r="B6" s="133">
        <v>45295</v>
      </c>
      <c r="C6" s="86" t="s">
        <v>111</v>
      </c>
      <c r="D6" s="79" t="s">
        <v>63</v>
      </c>
      <c r="E6" s="86">
        <v>4500866</v>
      </c>
      <c r="F6" s="86" t="s">
        <v>91</v>
      </c>
      <c r="G6" s="86" t="s">
        <v>112</v>
      </c>
      <c r="H6" s="86">
        <v>10001003</v>
      </c>
      <c r="I6" s="86" t="s">
        <v>89</v>
      </c>
      <c r="J6" s="86">
        <v>1680000692316</v>
      </c>
      <c r="K6" s="86" t="s">
        <v>54</v>
      </c>
      <c r="L6" s="86" t="s">
        <v>113</v>
      </c>
      <c r="M6" s="173">
        <f>IF(G6="","",ABS(SUMIFS('System(MB51)'!$K:$K,'System(MB51)'!$L:$L,'Checking(ZSERIALS)'!$J6,'System(MB51)'!$O:$O,'Checking(ZSERIALS)'!$L6,'System(MB51)'!$A:$A,'Checking(ZSERIALS)'!M$3)))</f>
        <v>0</v>
      </c>
      <c r="N6" s="173">
        <f>IF(H6="","",ABS(SUMIFS('System(MB51)'!$K:$K,'System(MB51)'!$L:$L,'Checking(ZSERIALS)'!$J6,'System(MB51)'!$O:$O,'Checking(ZSERIALS)'!$L6,'System(MB51)'!$A:$A,'Checking(ZSERIALS)'!N$3)))</f>
        <v>2</v>
      </c>
      <c r="O6" s="173">
        <f>IF(I6="","",ABS(SUMIFS('System(MB51)'!$K:$K,'System(MB51)'!$L:$L,'Checking(ZSERIALS)'!$J6,'System(MB51)'!$O:$O,'Checking(ZSERIALS)'!$L6,'System(MB51)'!$A:$A,'Checking(ZSERIALS)'!O$3)))</f>
        <v>10</v>
      </c>
      <c r="P6" s="173">
        <f>IF(J6="","",ABS(SUMIFS('System(MB51)'!$K:$K,'System(MB51)'!$L:$L,'Checking(ZSERIALS)'!$J6,'System(MB51)'!$O:$O,'Checking(ZSERIALS)'!$L6,'System(MB51)'!$A:$A,'Checking(ZSERIALS)'!P$3)))</f>
        <v>1</v>
      </c>
      <c r="Q6" s="173">
        <f>IF(K6="","",ABS(SUMIFS('System(MB51)'!$K:$K,'System(MB51)'!$L:$L,'Checking(ZSERIALS)'!$J6,'System(MB51)'!$O:$O,'Checking(ZSERIALS)'!$L6,'System(MB51)'!$A:$A,'Checking(ZSERIALS)'!Q$3)))</f>
        <v>0</v>
      </c>
      <c r="R6" s="173">
        <f>IF(L6="","",ABS(SUMIFS('System(MB51)'!$K:$K,'System(MB51)'!$L:$L,'Checking(ZSERIALS)'!$J6,'System(MB51)'!$O:$O,'Checking(ZSERIALS)'!$L6,'System(MB51)'!$A:$A,'Checking(ZSERIALS)'!R$3)))</f>
        <v>0</v>
      </c>
      <c r="S6" s="173">
        <f>IF(M6="","",ABS(SUMIFS('System(MB51)'!$K:$K,'System(MB51)'!$L:$L,'Checking(ZSERIALS)'!$J6,'System(MB51)'!$O:$O,'Checking(ZSERIALS)'!$L6,'System(MB51)'!$A:$A,'Checking(ZSERIALS)'!S$3)))</f>
        <v>10</v>
      </c>
      <c r="T6" s="173">
        <f>IF(N6="","",ABS(SUMIFS('System(MB51)'!$K:$K,'System(MB51)'!$L:$L,'Checking(ZSERIALS)'!$J6,'System(MB51)'!$O:$O,'Checking(ZSERIALS)'!$L6,'System(MB51)'!$A:$A,'Checking(ZSERIALS)'!T$3)))</f>
        <v>1</v>
      </c>
      <c r="U6" s="173">
        <f>IF(O6="","",ABS(SUMIFS('System(MB51)'!$K:$K,'System(MB51)'!$L:$L,'Checking(ZSERIALS)'!$J6,'System(MB51)'!$O:$O,'Checking(ZSERIALS)'!$L6,'System(MB51)'!$A:$A,'Checking(ZSERIALS)'!U$3)))</f>
        <v>10</v>
      </c>
      <c r="V6" s="165"/>
      <c r="W6" s="173">
        <f>IF($G6="","",INDEX(MLR!$1:$1048576,MATCH($G6,MLR!$J:$J,0),MATCH(W$3,MLR!$1:$1,0)))</f>
        <v>333</v>
      </c>
      <c r="X6" s="173">
        <f>IF($G6="","",INDEX(MLR!$1:$1048576,MATCH($G6,MLR!$J:$J,0),MATCH(X$3,MLR!$1:$1,0)))</f>
        <v>2</v>
      </c>
      <c r="Y6" s="173">
        <f>IF($G6="","",INDEX(MLR!$1:$1048576,MATCH($G6,MLR!$J:$J,0),MATCH(Y$3,MLR!$1:$1,0)))</f>
        <v>10</v>
      </c>
      <c r="Z6" s="173">
        <f>IF($G6="","",INDEX(MLR!$1:$1048576,MATCH($G6,MLR!$J:$J,0),MATCH(Z$3,MLR!$1:$1,0)))</f>
        <v>1</v>
      </c>
      <c r="AA6" s="173">
        <f>IF($G6="","",INDEX(MLR!$1:$1048576,MATCH($G6,MLR!$J:$J,0),MATCH(AA$3,MLR!$1:$1,0)))</f>
        <v>0</v>
      </c>
      <c r="AB6" s="173">
        <f>IF($G6="","",INDEX(MLR!$1:$1048576,MATCH($G6,MLR!$J:$J,0),MATCH(AB$3,MLR!$1:$1,0)))</f>
        <v>0</v>
      </c>
      <c r="AC6" s="173">
        <f>IF($G6="","",INDEX(MLR!$1:$1048576,MATCH($G6,MLR!$J:$J,0),MATCH(AC$3,MLR!$1:$1,0)))</f>
        <v>10</v>
      </c>
      <c r="AD6" s="173">
        <f>IF($G6="","",INDEX(MLR!$1:$1048576,MATCH($G6,MLR!$J:$J,0),MATCH(AD$3,MLR!$1:$1,0)))</f>
        <v>1</v>
      </c>
      <c r="AE6" s="173">
        <f>IF($G6="","",INDEX(MLR!$1:$1048576,MATCH($G6,MLR!$J:$J,0),MATCH(AE$3,MLR!$1:$1,0)))</f>
        <v>8</v>
      </c>
      <c r="AF6" s="174" t="str">
        <f>IF(G6="","",IFERROR(IF(MATCH($G6,MLR!$J:$J,0)&gt;0,"Installed","Not Found"),"Not Found"))</f>
        <v>Installed</v>
      </c>
      <c r="AG6" s="165"/>
      <c r="AH6" s="175" t="str">
        <f t="shared" si="0"/>
        <v>Short</v>
      </c>
      <c r="AI6" s="175" t="str">
        <f t="shared" si="1"/>
        <v>Correct</v>
      </c>
      <c r="AJ6" s="175" t="str">
        <f t="shared" si="2"/>
        <v>Correct</v>
      </c>
      <c r="AK6" s="175" t="str">
        <f t="shared" si="3"/>
        <v>Correct</v>
      </c>
      <c r="AL6" s="175" t="str">
        <f t="shared" si="4"/>
        <v>Correct</v>
      </c>
      <c r="AM6" s="175" t="str">
        <f t="shared" si="5"/>
        <v>Correct</v>
      </c>
      <c r="AN6" s="175" t="str">
        <f t="shared" si="6"/>
        <v>Correct</v>
      </c>
      <c r="AO6" s="175" t="str">
        <f t="shared" si="7"/>
        <v>Correct</v>
      </c>
      <c r="AP6" s="175" t="str">
        <f t="shared" si="8"/>
        <v>Over</v>
      </c>
      <c r="AQ6" s="165"/>
      <c r="AR6" s="173">
        <f t="shared" si="10"/>
        <v>-333</v>
      </c>
      <c r="AS6" s="173">
        <f t="shared" si="11"/>
        <v>0</v>
      </c>
      <c r="AT6" s="173">
        <f t="shared" si="12"/>
        <v>0</v>
      </c>
      <c r="AU6" s="173">
        <f t="shared" si="13"/>
        <v>0</v>
      </c>
      <c r="AV6" s="173">
        <f t="shared" si="14"/>
        <v>0</v>
      </c>
      <c r="AW6" s="173">
        <f t="shared" si="15"/>
        <v>0</v>
      </c>
      <c r="AX6" s="173">
        <f t="shared" si="16"/>
        <v>0</v>
      </c>
      <c r="AY6" s="173">
        <f t="shared" si="17"/>
        <v>0</v>
      </c>
      <c r="AZ6" s="173">
        <f t="shared" si="18"/>
        <v>2</v>
      </c>
      <c r="BA6" s="165"/>
      <c r="BB6" s="174" t="str">
        <f t="shared" si="19"/>
        <v>With Variance</v>
      </c>
    </row>
    <row r="7" spans="1:55" s="36" customFormat="1" ht="13.8" x14ac:dyDescent="0.3">
      <c r="A7" s="128" t="str">
        <f>_xlfn.XLOOKUP(B7,'Cuttof Mapping'!A:A,'Cuttof Mapping'!D:D)</f>
        <v>2023 Dec 2nd</v>
      </c>
      <c r="B7" s="133">
        <v>45295</v>
      </c>
      <c r="C7" s="86" t="s">
        <v>114</v>
      </c>
      <c r="D7" s="79" t="s">
        <v>63</v>
      </c>
      <c r="E7" s="86">
        <v>4500866</v>
      </c>
      <c r="F7" s="86" t="s">
        <v>91</v>
      </c>
      <c r="G7" s="86" t="s">
        <v>115</v>
      </c>
      <c r="H7" s="86">
        <v>10001035</v>
      </c>
      <c r="I7" s="86" t="s">
        <v>90</v>
      </c>
      <c r="J7" s="86">
        <v>1680000706966</v>
      </c>
      <c r="K7" s="86" t="s">
        <v>54</v>
      </c>
      <c r="L7" s="86" t="s">
        <v>116</v>
      </c>
      <c r="M7" s="173">
        <f>IF(G7="","",ABS(SUMIFS('System(MB51)'!$K:$K,'System(MB51)'!$L:$L,'Checking(ZSERIALS)'!$J7,'System(MB51)'!$O:$O,'Checking(ZSERIALS)'!$L7,'System(MB51)'!$A:$A,'Checking(ZSERIALS)'!M$3)))</f>
        <v>0</v>
      </c>
      <c r="N7" s="173">
        <f>IF(H7="","",ABS(SUMIFS('System(MB51)'!$K:$K,'System(MB51)'!$L:$L,'Checking(ZSERIALS)'!$J7,'System(MB51)'!$O:$O,'Checking(ZSERIALS)'!$L7,'System(MB51)'!$A:$A,'Checking(ZSERIALS)'!N$3)))</f>
        <v>2</v>
      </c>
      <c r="O7" s="173">
        <f>IF(I7="","",ABS(SUMIFS('System(MB51)'!$K:$K,'System(MB51)'!$L:$L,'Checking(ZSERIALS)'!$J7,'System(MB51)'!$O:$O,'Checking(ZSERIALS)'!$L7,'System(MB51)'!$A:$A,'Checking(ZSERIALS)'!O$3)))</f>
        <v>0</v>
      </c>
      <c r="P7" s="173">
        <f>IF(J7="","",ABS(SUMIFS('System(MB51)'!$K:$K,'System(MB51)'!$L:$L,'Checking(ZSERIALS)'!$J7,'System(MB51)'!$O:$O,'Checking(ZSERIALS)'!$L7,'System(MB51)'!$A:$A,'Checking(ZSERIALS)'!P$3)))</f>
        <v>1</v>
      </c>
      <c r="Q7" s="173">
        <f>IF(K7="","",ABS(SUMIFS('System(MB51)'!$K:$K,'System(MB51)'!$L:$L,'Checking(ZSERIALS)'!$J7,'System(MB51)'!$O:$O,'Checking(ZSERIALS)'!$L7,'System(MB51)'!$A:$A,'Checking(ZSERIALS)'!Q$3)))</f>
        <v>0</v>
      </c>
      <c r="R7" s="173">
        <f>IF(L7="","",ABS(SUMIFS('System(MB51)'!$K:$K,'System(MB51)'!$L:$L,'Checking(ZSERIALS)'!$J7,'System(MB51)'!$O:$O,'Checking(ZSERIALS)'!$L7,'System(MB51)'!$A:$A,'Checking(ZSERIALS)'!R$3)))</f>
        <v>0</v>
      </c>
      <c r="S7" s="173">
        <f>IF(M7="","",ABS(SUMIFS('System(MB51)'!$K:$K,'System(MB51)'!$L:$L,'Checking(ZSERIALS)'!$J7,'System(MB51)'!$O:$O,'Checking(ZSERIALS)'!$L7,'System(MB51)'!$A:$A,'Checking(ZSERIALS)'!S$3)))</f>
        <v>10</v>
      </c>
      <c r="T7" s="173">
        <f>IF(N7="","",ABS(SUMIFS('System(MB51)'!$K:$K,'System(MB51)'!$L:$L,'Checking(ZSERIALS)'!$J7,'System(MB51)'!$O:$O,'Checking(ZSERIALS)'!$L7,'System(MB51)'!$A:$A,'Checking(ZSERIALS)'!T$3)))</f>
        <v>1</v>
      </c>
      <c r="U7" s="173">
        <f>IF(O7="","",ABS(SUMIFS('System(MB51)'!$K:$K,'System(MB51)'!$L:$L,'Checking(ZSERIALS)'!$J7,'System(MB51)'!$O:$O,'Checking(ZSERIALS)'!$L7,'System(MB51)'!$A:$A,'Checking(ZSERIALS)'!U$3)))</f>
        <v>10</v>
      </c>
      <c r="V7" s="165"/>
      <c r="W7" s="173">
        <f>IF($G7="","",INDEX(MLR!$1:$1048576,MATCH($G7,MLR!$J:$J,0),MATCH(W$3,MLR!$1:$1,0)))</f>
        <v>180</v>
      </c>
      <c r="X7" s="173">
        <f>IF($G7="","",INDEX(MLR!$1:$1048576,MATCH($G7,MLR!$J:$J,0),MATCH(X$3,MLR!$1:$1,0)))</f>
        <v>2</v>
      </c>
      <c r="Y7" s="173">
        <f>IF($G7="","",INDEX(MLR!$1:$1048576,MATCH($G7,MLR!$J:$J,0),MATCH(Y$3,MLR!$1:$1,0)))</f>
        <v>8</v>
      </c>
      <c r="Z7" s="173">
        <f>IF($G7="","",INDEX(MLR!$1:$1048576,MATCH($G7,MLR!$J:$J,0),MATCH(Z$3,MLR!$1:$1,0)))</f>
        <v>1</v>
      </c>
      <c r="AA7" s="173">
        <f>IF($G7="","",INDEX(MLR!$1:$1048576,MATCH($G7,MLR!$J:$J,0),MATCH(AA$3,MLR!$1:$1,0)))</f>
        <v>0</v>
      </c>
      <c r="AB7" s="173">
        <f>IF($G7="","",INDEX(MLR!$1:$1048576,MATCH($G7,MLR!$J:$J,0),MATCH(AB$3,MLR!$1:$1,0)))</f>
        <v>0</v>
      </c>
      <c r="AC7" s="173">
        <f>IF($G7="","",INDEX(MLR!$1:$1048576,MATCH($G7,MLR!$J:$J,0),MATCH(AC$3,MLR!$1:$1,0)))</f>
        <v>10</v>
      </c>
      <c r="AD7" s="173">
        <f>IF($G7="","",INDEX(MLR!$1:$1048576,MATCH($G7,MLR!$J:$J,0),MATCH(AD$3,MLR!$1:$1,0)))</f>
        <v>1</v>
      </c>
      <c r="AE7" s="173">
        <f>IF($G7="","",INDEX(MLR!$1:$1048576,MATCH($G7,MLR!$J:$J,0),MATCH(AE$3,MLR!$1:$1,0)))</f>
        <v>10</v>
      </c>
      <c r="AF7" s="174" t="str">
        <f>IF(G7="","",IFERROR(IF(MATCH($G7,MLR!$J:$J,0)&gt;0,"Installed","Not Found"),"Not Found"))</f>
        <v>Installed</v>
      </c>
      <c r="AG7" s="165"/>
      <c r="AH7" s="175" t="str">
        <f t="shared" si="0"/>
        <v>Short</v>
      </c>
      <c r="AI7" s="175" t="str">
        <f t="shared" si="1"/>
        <v>Correct</v>
      </c>
      <c r="AJ7" s="175" t="str">
        <f t="shared" si="2"/>
        <v>Short</v>
      </c>
      <c r="AK7" s="175" t="str">
        <f t="shared" si="3"/>
        <v>Correct</v>
      </c>
      <c r="AL7" s="175" t="str">
        <f t="shared" si="4"/>
        <v>Correct</v>
      </c>
      <c r="AM7" s="175" t="str">
        <f t="shared" si="5"/>
        <v>Correct</v>
      </c>
      <c r="AN7" s="175" t="str">
        <f t="shared" si="6"/>
        <v>Correct</v>
      </c>
      <c r="AO7" s="175" t="str">
        <f t="shared" si="7"/>
        <v>Correct</v>
      </c>
      <c r="AP7" s="175" t="str">
        <f t="shared" si="8"/>
        <v>Correct</v>
      </c>
      <c r="AQ7" s="165"/>
      <c r="AR7" s="173">
        <f t="shared" si="10"/>
        <v>-180</v>
      </c>
      <c r="AS7" s="173">
        <f t="shared" si="11"/>
        <v>0</v>
      </c>
      <c r="AT7" s="173">
        <f t="shared" si="12"/>
        <v>-8</v>
      </c>
      <c r="AU7" s="173">
        <f t="shared" si="13"/>
        <v>0</v>
      </c>
      <c r="AV7" s="173">
        <f t="shared" si="14"/>
        <v>0</v>
      </c>
      <c r="AW7" s="173">
        <f t="shared" si="15"/>
        <v>0</v>
      </c>
      <c r="AX7" s="173">
        <f t="shared" si="16"/>
        <v>0</v>
      </c>
      <c r="AY7" s="173">
        <f t="shared" si="17"/>
        <v>0</v>
      </c>
      <c r="AZ7" s="173">
        <f t="shared" si="18"/>
        <v>0</v>
      </c>
      <c r="BA7" s="165"/>
      <c r="BB7" s="174" t="str">
        <f t="shared" si="19"/>
        <v>With Variance</v>
      </c>
    </row>
    <row r="8" spans="1:55" s="36" customFormat="1" ht="13.8" x14ac:dyDescent="0.3">
      <c r="A8" s="128" t="str">
        <f>_xlfn.XLOOKUP(B8,'Cuttof Mapping'!A:A,'Cuttof Mapping'!D:D)</f>
        <v>2023 Dec 2nd</v>
      </c>
      <c r="B8" s="133">
        <v>45295</v>
      </c>
      <c r="C8" s="86" t="s">
        <v>117</v>
      </c>
      <c r="D8" s="79" t="s">
        <v>63</v>
      </c>
      <c r="E8" s="86">
        <v>4500866</v>
      </c>
      <c r="F8" s="86" t="s">
        <v>91</v>
      </c>
      <c r="G8" s="86" t="s">
        <v>118</v>
      </c>
      <c r="H8" s="86">
        <v>10001035</v>
      </c>
      <c r="I8" s="86" t="s">
        <v>90</v>
      </c>
      <c r="J8" s="86">
        <v>1680000710858</v>
      </c>
      <c r="K8" s="86" t="s">
        <v>54</v>
      </c>
      <c r="L8" s="86" t="s">
        <v>119</v>
      </c>
      <c r="M8" s="173">
        <f>IF(G8="","",ABS(SUMIFS('System(MB51)'!$K:$K,'System(MB51)'!$L:$L,'Checking(ZSERIALS)'!$J8,'System(MB51)'!$O:$O,'Checking(ZSERIALS)'!$L8,'System(MB51)'!$A:$A,'Checking(ZSERIALS)'!M$3)))</f>
        <v>0</v>
      </c>
      <c r="N8" s="173">
        <f>IF(H8="","",ABS(SUMIFS('System(MB51)'!$K:$K,'System(MB51)'!$L:$L,'Checking(ZSERIALS)'!$J8,'System(MB51)'!$O:$O,'Checking(ZSERIALS)'!$L8,'System(MB51)'!$A:$A,'Checking(ZSERIALS)'!N$3)))</f>
        <v>2</v>
      </c>
      <c r="O8" s="173">
        <f>IF(I8="","",ABS(SUMIFS('System(MB51)'!$K:$K,'System(MB51)'!$L:$L,'Checking(ZSERIALS)'!$J8,'System(MB51)'!$O:$O,'Checking(ZSERIALS)'!$L8,'System(MB51)'!$A:$A,'Checking(ZSERIALS)'!O$3)))</f>
        <v>0</v>
      </c>
      <c r="P8" s="173">
        <f>IF(J8="","",ABS(SUMIFS('System(MB51)'!$K:$K,'System(MB51)'!$L:$L,'Checking(ZSERIALS)'!$J8,'System(MB51)'!$O:$O,'Checking(ZSERIALS)'!$L8,'System(MB51)'!$A:$A,'Checking(ZSERIALS)'!P$3)))</f>
        <v>1</v>
      </c>
      <c r="Q8" s="173">
        <f>IF(K8="","",ABS(SUMIFS('System(MB51)'!$K:$K,'System(MB51)'!$L:$L,'Checking(ZSERIALS)'!$J8,'System(MB51)'!$O:$O,'Checking(ZSERIALS)'!$L8,'System(MB51)'!$A:$A,'Checking(ZSERIALS)'!Q$3)))</f>
        <v>0</v>
      </c>
      <c r="R8" s="173">
        <f>IF(L8="","",ABS(SUMIFS('System(MB51)'!$K:$K,'System(MB51)'!$L:$L,'Checking(ZSERIALS)'!$J8,'System(MB51)'!$O:$O,'Checking(ZSERIALS)'!$L8,'System(MB51)'!$A:$A,'Checking(ZSERIALS)'!R$3)))</f>
        <v>0</v>
      </c>
      <c r="S8" s="173">
        <f>IF(M8="","",ABS(SUMIFS('System(MB51)'!$K:$K,'System(MB51)'!$L:$L,'Checking(ZSERIALS)'!$J8,'System(MB51)'!$O:$O,'Checking(ZSERIALS)'!$L8,'System(MB51)'!$A:$A,'Checking(ZSERIALS)'!S$3)))</f>
        <v>2</v>
      </c>
      <c r="T8" s="173">
        <f>IF(N8="","",ABS(SUMIFS('System(MB51)'!$K:$K,'System(MB51)'!$L:$L,'Checking(ZSERIALS)'!$J8,'System(MB51)'!$O:$O,'Checking(ZSERIALS)'!$L8,'System(MB51)'!$A:$A,'Checking(ZSERIALS)'!T$3)))</f>
        <v>1</v>
      </c>
      <c r="U8" s="173">
        <f>IF(O8="","",ABS(SUMIFS('System(MB51)'!$K:$K,'System(MB51)'!$L:$L,'Checking(ZSERIALS)'!$J8,'System(MB51)'!$O:$O,'Checking(ZSERIALS)'!$L8,'System(MB51)'!$A:$A,'Checking(ZSERIALS)'!U$3)))</f>
        <v>0</v>
      </c>
      <c r="V8" s="165"/>
      <c r="W8" s="173">
        <f>IF($G8="","",INDEX(MLR!$1:$1048576,MATCH($G8,MLR!$J:$J,0),MATCH(W$3,MLR!$1:$1,0)))</f>
        <v>324</v>
      </c>
      <c r="X8" s="173">
        <f>IF($G8="","",INDEX(MLR!$1:$1048576,MATCH($G8,MLR!$J:$J,0),MATCH(X$3,MLR!$1:$1,0)))</f>
        <v>2</v>
      </c>
      <c r="Y8" s="173">
        <f>IF($G8="","",INDEX(MLR!$1:$1048576,MATCH($G8,MLR!$J:$J,0),MATCH(Y$3,MLR!$1:$1,0)))</f>
        <v>12</v>
      </c>
      <c r="Z8" s="173">
        <f>IF($G8="","",INDEX(MLR!$1:$1048576,MATCH($G8,MLR!$J:$J,0),MATCH(Z$3,MLR!$1:$1,0)))</f>
        <v>1</v>
      </c>
      <c r="AA8" s="173">
        <f>IF($G8="","",INDEX(MLR!$1:$1048576,MATCH($G8,MLR!$J:$J,0),MATCH(AA$3,MLR!$1:$1,0)))</f>
        <v>0</v>
      </c>
      <c r="AB8" s="173">
        <f>IF($G8="","",INDEX(MLR!$1:$1048576,MATCH($G8,MLR!$J:$J,0),MATCH(AB$3,MLR!$1:$1,0)))</f>
        <v>0</v>
      </c>
      <c r="AC8" s="173">
        <f>IF($G8="","",INDEX(MLR!$1:$1048576,MATCH($G8,MLR!$J:$J,0),MATCH(AC$3,MLR!$1:$1,0)))</f>
        <v>2</v>
      </c>
      <c r="AD8" s="173">
        <f>IF($G8="","",INDEX(MLR!$1:$1048576,MATCH($G8,MLR!$J:$J,0),MATCH(AD$3,MLR!$1:$1,0)))</f>
        <v>1</v>
      </c>
      <c r="AE8" s="173">
        <f>IF($G8="","",INDEX(MLR!$1:$1048576,MATCH($G8,MLR!$J:$J,0),MATCH(AE$3,MLR!$1:$1,0)))</f>
        <v>8</v>
      </c>
      <c r="AF8" s="174" t="str">
        <f>IF(G8="","",IFERROR(IF(MATCH($G8,MLR!$J:$J,0)&gt;0,"Installed","Not Found"),"Not Found"))</f>
        <v>Installed</v>
      </c>
      <c r="AG8" s="165"/>
      <c r="AH8" s="175" t="str">
        <f t="shared" si="0"/>
        <v>Short</v>
      </c>
      <c r="AI8" s="175" t="str">
        <f t="shared" si="1"/>
        <v>Correct</v>
      </c>
      <c r="AJ8" s="175" t="str">
        <f t="shared" si="2"/>
        <v>Short</v>
      </c>
      <c r="AK8" s="175" t="str">
        <f t="shared" si="3"/>
        <v>Correct</v>
      </c>
      <c r="AL8" s="175" t="str">
        <f t="shared" si="4"/>
        <v>Correct</v>
      </c>
      <c r="AM8" s="175" t="str">
        <f t="shared" si="5"/>
        <v>Correct</v>
      </c>
      <c r="AN8" s="175" t="str">
        <f t="shared" si="6"/>
        <v>Correct</v>
      </c>
      <c r="AO8" s="175" t="str">
        <f t="shared" si="7"/>
        <v>Correct</v>
      </c>
      <c r="AP8" s="175" t="str">
        <f t="shared" si="8"/>
        <v>Short</v>
      </c>
      <c r="AQ8" s="165"/>
      <c r="AR8" s="173">
        <f t="shared" si="10"/>
        <v>-324</v>
      </c>
      <c r="AS8" s="173">
        <f t="shared" si="11"/>
        <v>0</v>
      </c>
      <c r="AT8" s="173">
        <f t="shared" si="12"/>
        <v>-12</v>
      </c>
      <c r="AU8" s="173">
        <f t="shared" si="13"/>
        <v>0</v>
      </c>
      <c r="AV8" s="173">
        <f t="shared" si="14"/>
        <v>0</v>
      </c>
      <c r="AW8" s="173">
        <f t="shared" si="15"/>
        <v>0</v>
      </c>
      <c r="AX8" s="173">
        <f t="shared" si="16"/>
        <v>0</v>
      </c>
      <c r="AY8" s="173">
        <f t="shared" si="17"/>
        <v>0</v>
      </c>
      <c r="AZ8" s="173">
        <f t="shared" si="18"/>
        <v>-8</v>
      </c>
      <c r="BA8" s="165"/>
      <c r="BB8" s="174" t="str">
        <f t="shared" si="19"/>
        <v>With Variance</v>
      </c>
    </row>
    <row r="9" spans="1:55" s="36" customFormat="1" ht="13.8" x14ac:dyDescent="0.3">
      <c r="A9" s="128" t="str">
        <f>_xlfn.XLOOKUP(B9,'Cuttof Mapping'!A:A,'Cuttof Mapping'!D:D)</f>
        <v>2023 Dec 2nd</v>
      </c>
      <c r="B9" s="133">
        <v>45295</v>
      </c>
      <c r="C9" s="86" t="s">
        <v>120</v>
      </c>
      <c r="D9" s="79" t="s">
        <v>63</v>
      </c>
      <c r="E9" s="86">
        <v>4500866</v>
      </c>
      <c r="F9" s="86" t="s">
        <v>91</v>
      </c>
      <c r="G9" s="86" t="s">
        <v>121</v>
      </c>
      <c r="H9" s="86">
        <v>10001035</v>
      </c>
      <c r="I9" s="86" t="s">
        <v>90</v>
      </c>
      <c r="J9" s="86">
        <v>1680000710820</v>
      </c>
      <c r="K9" s="86" t="s">
        <v>54</v>
      </c>
      <c r="L9" s="86" t="s">
        <v>122</v>
      </c>
      <c r="M9" s="173">
        <f>IF(G9="","",ABS(SUMIFS('System(MB51)'!$K:$K,'System(MB51)'!$L:$L,'Checking(ZSERIALS)'!$J9,'System(MB51)'!$O:$O,'Checking(ZSERIALS)'!$L9,'System(MB51)'!$A:$A,'Checking(ZSERIALS)'!M$3)))</f>
        <v>0</v>
      </c>
      <c r="N9" s="173">
        <f>IF(H9="","",ABS(SUMIFS('System(MB51)'!$K:$K,'System(MB51)'!$L:$L,'Checking(ZSERIALS)'!$J9,'System(MB51)'!$O:$O,'Checking(ZSERIALS)'!$L9,'System(MB51)'!$A:$A,'Checking(ZSERIALS)'!N$3)))</f>
        <v>2</v>
      </c>
      <c r="O9" s="173">
        <f>IF(I9="","",ABS(SUMIFS('System(MB51)'!$K:$K,'System(MB51)'!$L:$L,'Checking(ZSERIALS)'!$J9,'System(MB51)'!$O:$O,'Checking(ZSERIALS)'!$L9,'System(MB51)'!$A:$A,'Checking(ZSERIALS)'!O$3)))</f>
        <v>0</v>
      </c>
      <c r="P9" s="173">
        <f>IF(J9="","",ABS(SUMIFS('System(MB51)'!$K:$K,'System(MB51)'!$L:$L,'Checking(ZSERIALS)'!$J9,'System(MB51)'!$O:$O,'Checking(ZSERIALS)'!$L9,'System(MB51)'!$A:$A,'Checking(ZSERIALS)'!P$3)))</f>
        <v>1</v>
      </c>
      <c r="Q9" s="173">
        <f>IF(K9="","",ABS(SUMIFS('System(MB51)'!$K:$K,'System(MB51)'!$L:$L,'Checking(ZSERIALS)'!$J9,'System(MB51)'!$O:$O,'Checking(ZSERIALS)'!$L9,'System(MB51)'!$A:$A,'Checking(ZSERIALS)'!Q$3)))</f>
        <v>0</v>
      </c>
      <c r="R9" s="173">
        <f>IF(L9="","",ABS(SUMIFS('System(MB51)'!$K:$K,'System(MB51)'!$L:$L,'Checking(ZSERIALS)'!$J9,'System(MB51)'!$O:$O,'Checking(ZSERIALS)'!$L9,'System(MB51)'!$A:$A,'Checking(ZSERIALS)'!R$3)))</f>
        <v>0</v>
      </c>
      <c r="S9" s="173">
        <f>IF(M9="","",ABS(SUMIFS('System(MB51)'!$K:$K,'System(MB51)'!$L:$L,'Checking(ZSERIALS)'!$J9,'System(MB51)'!$O:$O,'Checking(ZSERIALS)'!$L9,'System(MB51)'!$A:$A,'Checking(ZSERIALS)'!S$3)))</f>
        <v>5</v>
      </c>
      <c r="T9" s="173">
        <f>IF(N9="","",ABS(SUMIFS('System(MB51)'!$K:$K,'System(MB51)'!$L:$L,'Checking(ZSERIALS)'!$J9,'System(MB51)'!$O:$O,'Checking(ZSERIALS)'!$L9,'System(MB51)'!$A:$A,'Checking(ZSERIALS)'!T$3)))</f>
        <v>1</v>
      </c>
      <c r="U9" s="173">
        <f>IF(O9="","",ABS(SUMIFS('System(MB51)'!$K:$K,'System(MB51)'!$L:$L,'Checking(ZSERIALS)'!$J9,'System(MB51)'!$O:$O,'Checking(ZSERIALS)'!$L9,'System(MB51)'!$A:$A,'Checking(ZSERIALS)'!U$3)))</f>
        <v>0</v>
      </c>
      <c r="V9" s="165"/>
      <c r="W9" s="173">
        <f>IF($G9="","",INDEX(MLR!$1:$1048576,MATCH($G9,MLR!$J:$J,0),MATCH(W$3,MLR!$1:$1,0)))</f>
        <v>360</v>
      </c>
      <c r="X9" s="173">
        <f>IF($G9="","",INDEX(MLR!$1:$1048576,MATCH($G9,MLR!$J:$J,0),MATCH(X$3,MLR!$1:$1,0)))</f>
        <v>2</v>
      </c>
      <c r="Y9" s="173">
        <f>IF($G9="","",INDEX(MLR!$1:$1048576,MATCH($G9,MLR!$J:$J,0),MATCH(Y$3,MLR!$1:$1,0)))</f>
        <v>12</v>
      </c>
      <c r="Z9" s="173">
        <f>IF($G9="","",INDEX(MLR!$1:$1048576,MATCH($G9,MLR!$J:$J,0),MATCH(Z$3,MLR!$1:$1,0)))</f>
        <v>1</v>
      </c>
      <c r="AA9" s="173">
        <f>IF($G9="","",INDEX(MLR!$1:$1048576,MATCH($G9,MLR!$J:$J,0),MATCH(AA$3,MLR!$1:$1,0)))</f>
        <v>0</v>
      </c>
      <c r="AB9" s="173">
        <f>IF($G9="","",INDEX(MLR!$1:$1048576,MATCH($G9,MLR!$J:$J,0),MATCH(AB$3,MLR!$1:$1,0)))</f>
        <v>0</v>
      </c>
      <c r="AC9" s="173">
        <f>IF($G9="","",INDEX(MLR!$1:$1048576,MATCH($G9,MLR!$J:$J,0),MATCH(AC$3,MLR!$1:$1,0)))</f>
        <v>5</v>
      </c>
      <c r="AD9" s="173">
        <f>IF($G9="","",INDEX(MLR!$1:$1048576,MATCH($G9,MLR!$J:$J,0),MATCH(AD$3,MLR!$1:$1,0)))</f>
        <v>1</v>
      </c>
      <c r="AE9" s="173">
        <f>IF($G9="","",INDEX(MLR!$1:$1048576,MATCH($G9,MLR!$J:$J,0),MATCH(AE$3,MLR!$1:$1,0)))</f>
        <v>8</v>
      </c>
      <c r="AF9" s="174" t="str">
        <f>IF(G9="","",IFERROR(IF(MATCH($G9,MLR!$J:$J,0)&gt;0,"Installed","Not Found"),"Not Found"))</f>
        <v>Installed</v>
      </c>
      <c r="AG9" s="165"/>
      <c r="AH9" s="175" t="str">
        <f t="shared" si="0"/>
        <v>Short</v>
      </c>
      <c r="AI9" s="175" t="str">
        <f t="shared" si="1"/>
        <v>Correct</v>
      </c>
      <c r="AJ9" s="175" t="str">
        <f t="shared" si="2"/>
        <v>Short</v>
      </c>
      <c r="AK9" s="175" t="str">
        <f t="shared" si="3"/>
        <v>Correct</v>
      </c>
      <c r="AL9" s="175" t="str">
        <f t="shared" si="4"/>
        <v>Correct</v>
      </c>
      <c r="AM9" s="175" t="str">
        <f t="shared" si="5"/>
        <v>Correct</v>
      </c>
      <c r="AN9" s="175" t="str">
        <f t="shared" si="6"/>
        <v>Correct</v>
      </c>
      <c r="AO9" s="175" t="str">
        <f t="shared" si="7"/>
        <v>Correct</v>
      </c>
      <c r="AP9" s="175" t="str">
        <f t="shared" si="8"/>
        <v>Short</v>
      </c>
      <c r="AQ9" s="165"/>
      <c r="AR9" s="173">
        <f t="shared" si="10"/>
        <v>-360</v>
      </c>
      <c r="AS9" s="173">
        <f t="shared" si="11"/>
        <v>0</v>
      </c>
      <c r="AT9" s="173">
        <f t="shared" si="12"/>
        <v>-12</v>
      </c>
      <c r="AU9" s="173">
        <f t="shared" si="13"/>
        <v>0</v>
      </c>
      <c r="AV9" s="173">
        <f t="shared" si="14"/>
        <v>0</v>
      </c>
      <c r="AW9" s="173">
        <f t="shared" si="15"/>
        <v>0</v>
      </c>
      <c r="AX9" s="173">
        <f t="shared" si="16"/>
        <v>0</v>
      </c>
      <c r="AY9" s="173">
        <f t="shared" si="17"/>
        <v>0</v>
      </c>
      <c r="AZ9" s="173">
        <f t="shared" si="18"/>
        <v>-8</v>
      </c>
      <c r="BA9" s="165"/>
      <c r="BB9" s="174" t="str">
        <f t="shared" si="19"/>
        <v>With Variance</v>
      </c>
    </row>
    <row r="10" spans="1:55" s="36" customFormat="1" ht="13.8" x14ac:dyDescent="0.3">
      <c r="A10" s="128" t="str">
        <f>_xlfn.XLOOKUP(B10,'Cuttof Mapping'!A:A,'Cuttof Mapping'!D:D)</f>
        <v>2023 Dec 2nd</v>
      </c>
      <c r="B10" s="133">
        <v>45296</v>
      </c>
      <c r="C10" s="86" t="s">
        <v>123</v>
      </c>
      <c r="D10" s="79" t="s">
        <v>63</v>
      </c>
      <c r="E10" s="86">
        <v>4500866</v>
      </c>
      <c r="F10" s="86" t="s">
        <v>91</v>
      </c>
      <c r="G10" s="86" t="s">
        <v>124</v>
      </c>
      <c r="H10" s="86">
        <v>10001035</v>
      </c>
      <c r="I10" s="86" t="s">
        <v>90</v>
      </c>
      <c r="J10" s="86">
        <v>1680000710201</v>
      </c>
      <c r="K10" s="86" t="s">
        <v>54</v>
      </c>
      <c r="L10" s="86" t="s">
        <v>125</v>
      </c>
      <c r="M10" s="173">
        <f>IF(G10="","",ABS(SUMIFS('System(MB51)'!$K:$K,'System(MB51)'!$L:$L,'Checking(ZSERIALS)'!$J10,'System(MB51)'!$O:$O,'Checking(ZSERIALS)'!$L10,'System(MB51)'!$A:$A,'Checking(ZSERIALS)'!M$3)))</f>
        <v>0</v>
      </c>
      <c r="N10" s="173">
        <f>IF(H10="","",ABS(SUMIFS('System(MB51)'!$K:$K,'System(MB51)'!$L:$L,'Checking(ZSERIALS)'!$J10,'System(MB51)'!$O:$O,'Checking(ZSERIALS)'!$L10,'System(MB51)'!$A:$A,'Checking(ZSERIALS)'!N$3)))</f>
        <v>2</v>
      </c>
      <c r="O10" s="173">
        <f>IF(I10="","",ABS(SUMIFS('System(MB51)'!$K:$K,'System(MB51)'!$L:$L,'Checking(ZSERIALS)'!$J10,'System(MB51)'!$O:$O,'Checking(ZSERIALS)'!$L10,'System(MB51)'!$A:$A,'Checking(ZSERIALS)'!O$3)))</f>
        <v>0</v>
      </c>
      <c r="P10" s="173">
        <f>IF(J10="","",ABS(SUMIFS('System(MB51)'!$K:$K,'System(MB51)'!$L:$L,'Checking(ZSERIALS)'!$J10,'System(MB51)'!$O:$O,'Checking(ZSERIALS)'!$L10,'System(MB51)'!$A:$A,'Checking(ZSERIALS)'!P$3)))</f>
        <v>1</v>
      </c>
      <c r="Q10" s="173">
        <f>IF(K10="","",ABS(SUMIFS('System(MB51)'!$K:$K,'System(MB51)'!$L:$L,'Checking(ZSERIALS)'!$J10,'System(MB51)'!$O:$O,'Checking(ZSERIALS)'!$L10,'System(MB51)'!$A:$A,'Checking(ZSERIALS)'!Q$3)))</f>
        <v>0</v>
      </c>
      <c r="R10" s="173">
        <f>IF(L10="","",ABS(SUMIFS('System(MB51)'!$K:$K,'System(MB51)'!$L:$L,'Checking(ZSERIALS)'!$J10,'System(MB51)'!$O:$O,'Checking(ZSERIALS)'!$L10,'System(MB51)'!$A:$A,'Checking(ZSERIALS)'!R$3)))</f>
        <v>0</v>
      </c>
      <c r="S10" s="173">
        <f>IF(M10="","",ABS(SUMIFS('System(MB51)'!$K:$K,'System(MB51)'!$L:$L,'Checking(ZSERIALS)'!$J10,'System(MB51)'!$O:$O,'Checking(ZSERIALS)'!$L10,'System(MB51)'!$A:$A,'Checking(ZSERIALS)'!S$3)))</f>
        <v>8</v>
      </c>
      <c r="T10" s="173">
        <f>IF(N10="","",ABS(SUMIFS('System(MB51)'!$K:$K,'System(MB51)'!$L:$L,'Checking(ZSERIALS)'!$J10,'System(MB51)'!$O:$O,'Checking(ZSERIALS)'!$L10,'System(MB51)'!$A:$A,'Checking(ZSERIALS)'!T$3)))</f>
        <v>1</v>
      </c>
      <c r="U10" s="173">
        <f>IF(O10="","",ABS(SUMIFS('System(MB51)'!$K:$K,'System(MB51)'!$L:$L,'Checking(ZSERIALS)'!$J10,'System(MB51)'!$O:$O,'Checking(ZSERIALS)'!$L10,'System(MB51)'!$A:$A,'Checking(ZSERIALS)'!U$3)))</f>
        <v>8</v>
      </c>
      <c r="V10" s="165"/>
      <c r="W10" s="173">
        <f>IF($G10="","",INDEX(MLR!$1:$1048576,MATCH($G10,MLR!$J:$J,0),MATCH(W$3,MLR!$1:$1,0)))</f>
        <v>289</v>
      </c>
      <c r="X10" s="173">
        <f>IF($G10="","",INDEX(MLR!$1:$1048576,MATCH($G10,MLR!$J:$J,0),MATCH(X$3,MLR!$1:$1,0)))</f>
        <v>2</v>
      </c>
      <c r="Y10" s="173">
        <f>IF($G10="","",INDEX(MLR!$1:$1048576,MATCH($G10,MLR!$J:$J,0),MATCH(Y$3,MLR!$1:$1,0)))</f>
        <v>10</v>
      </c>
      <c r="Z10" s="173">
        <f>IF($G10="","",INDEX(MLR!$1:$1048576,MATCH($G10,MLR!$J:$J,0),MATCH(Z$3,MLR!$1:$1,0)))</f>
        <v>1</v>
      </c>
      <c r="AA10" s="173">
        <f>IF($G10="","",INDEX(MLR!$1:$1048576,MATCH($G10,MLR!$J:$J,0),MATCH(AA$3,MLR!$1:$1,0)))</f>
        <v>0</v>
      </c>
      <c r="AB10" s="173">
        <f>IF($G10="","",INDEX(MLR!$1:$1048576,MATCH($G10,MLR!$J:$J,0),MATCH(AB$3,MLR!$1:$1,0)))</f>
        <v>0</v>
      </c>
      <c r="AC10" s="173">
        <f>IF($G10="","",INDEX(MLR!$1:$1048576,MATCH($G10,MLR!$J:$J,0),MATCH(AC$3,MLR!$1:$1,0)))</f>
        <v>8</v>
      </c>
      <c r="AD10" s="173">
        <f>IF($G10="","",INDEX(MLR!$1:$1048576,MATCH($G10,MLR!$J:$J,0),MATCH(AD$3,MLR!$1:$1,0)))</f>
        <v>1</v>
      </c>
      <c r="AE10" s="173">
        <f>IF($G10="","",INDEX(MLR!$1:$1048576,MATCH($G10,MLR!$J:$J,0),MATCH(AE$3,MLR!$1:$1,0)))</f>
        <v>10</v>
      </c>
      <c r="AF10" s="174" t="str">
        <f>IF(G10="","",IFERROR(IF(MATCH($G10,MLR!$J:$J,0)&gt;0,"Installed","Not Found"),"Not Found"))</f>
        <v>Installed</v>
      </c>
      <c r="AG10" s="165"/>
      <c r="AH10" s="175" t="str">
        <f t="shared" si="0"/>
        <v>Short</v>
      </c>
      <c r="AI10" s="175" t="str">
        <f t="shared" si="1"/>
        <v>Correct</v>
      </c>
      <c r="AJ10" s="175" t="str">
        <f t="shared" si="2"/>
        <v>Short</v>
      </c>
      <c r="AK10" s="175" t="str">
        <f t="shared" si="3"/>
        <v>Correct</v>
      </c>
      <c r="AL10" s="175" t="str">
        <f t="shared" si="4"/>
        <v>Correct</v>
      </c>
      <c r="AM10" s="175" t="str">
        <f t="shared" si="5"/>
        <v>Correct</v>
      </c>
      <c r="AN10" s="175" t="str">
        <f t="shared" si="6"/>
        <v>Correct</v>
      </c>
      <c r="AO10" s="175" t="str">
        <f t="shared" si="7"/>
        <v>Correct</v>
      </c>
      <c r="AP10" s="175" t="str">
        <f t="shared" si="8"/>
        <v>Short</v>
      </c>
      <c r="AQ10" s="165"/>
      <c r="AR10" s="173">
        <f t="shared" si="10"/>
        <v>-289</v>
      </c>
      <c r="AS10" s="173">
        <f t="shared" si="11"/>
        <v>0</v>
      </c>
      <c r="AT10" s="173">
        <f t="shared" si="12"/>
        <v>-10</v>
      </c>
      <c r="AU10" s="173">
        <f t="shared" si="13"/>
        <v>0</v>
      </c>
      <c r="AV10" s="173">
        <f t="shared" si="14"/>
        <v>0</v>
      </c>
      <c r="AW10" s="173">
        <f t="shared" si="15"/>
        <v>0</v>
      </c>
      <c r="AX10" s="173">
        <f t="shared" si="16"/>
        <v>0</v>
      </c>
      <c r="AY10" s="173">
        <f t="shared" si="17"/>
        <v>0</v>
      </c>
      <c r="AZ10" s="173">
        <f t="shared" si="18"/>
        <v>-2</v>
      </c>
      <c r="BA10" s="165"/>
      <c r="BB10" s="174" t="str">
        <f t="shared" si="19"/>
        <v>With Variance</v>
      </c>
    </row>
    <row r="11" spans="1:55" s="36" customFormat="1" ht="13.8" x14ac:dyDescent="0.3">
      <c r="A11" s="128" t="str">
        <f>_xlfn.XLOOKUP(B11,'Cuttof Mapping'!A:A,'Cuttof Mapping'!D:D)</f>
        <v>2023 Dec 2nd</v>
      </c>
      <c r="B11" s="133">
        <v>45296</v>
      </c>
      <c r="C11" s="86" t="s">
        <v>126</v>
      </c>
      <c r="D11" s="79" t="s">
        <v>63</v>
      </c>
      <c r="E11" s="86">
        <v>4500866</v>
      </c>
      <c r="F11" s="86" t="s">
        <v>91</v>
      </c>
      <c r="G11" s="86" t="s">
        <v>127</v>
      </c>
      <c r="H11" s="86">
        <v>10001003</v>
      </c>
      <c r="I11" s="86" t="s">
        <v>89</v>
      </c>
      <c r="J11" s="86">
        <v>1680000708409</v>
      </c>
      <c r="K11" s="86" t="s">
        <v>54</v>
      </c>
      <c r="L11" s="86" t="s">
        <v>128</v>
      </c>
      <c r="M11" s="173">
        <f>IF(G11="","",ABS(SUMIFS('System(MB51)'!$K:$K,'System(MB51)'!$L:$L,'Checking(ZSERIALS)'!$J11,'System(MB51)'!$O:$O,'Checking(ZSERIALS)'!$L11,'System(MB51)'!$A:$A,'Checking(ZSERIALS)'!M$3)))</f>
        <v>0</v>
      </c>
      <c r="N11" s="173">
        <f>IF(H11="","",ABS(SUMIFS('System(MB51)'!$K:$K,'System(MB51)'!$L:$L,'Checking(ZSERIALS)'!$J11,'System(MB51)'!$O:$O,'Checking(ZSERIALS)'!$L11,'System(MB51)'!$A:$A,'Checking(ZSERIALS)'!N$3)))</f>
        <v>0</v>
      </c>
      <c r="O11" s="173">
        <f>IF(I11="","",ABS(SUMIFS('System(MB51)'!$K:$K,'System(MB51)'!$L:$L,'Checking(ZSERIALS)'!$J11,'System(MB51)'!$O:$O,'Checking(ZSERIALS)'!$L11,'System(MB51)'!$A:$A,'Checking(ZSERIALS)'!O$3)))</f>
        <v>0</v>
      </c>
      <c r="P11" s="173">
        <f>IF(J11="","",ABS(SUMIFS('System(MB51)'!$K:$K,'System(MB51)'!$L:$L,'Checking(ZSERIALS)'!$J11,'System(MB51)'!$O:$O,'Checking(ZSERIALS)'!$L11,'System(MB51)'!$A:$A,'Checking(ZSERIALS)'!P$3)))</f>
        <v>0</v>
      </c>
      <c r="Q11" s="173">
        <f>IF(K11="","",ABS(SUMIFS('System(MB51)'!$K:$K,'System(MB51)'!$L:$L,'Checking(ZSERIALS)'!$J11,'System(MB51)'!$O:$O,'Checking(ZSERIALS)'!$L11,'System(MB51)'!$A:$A,'Checking(ZSERIALS)'!Q$3)))</f>
        <v>0</v>
      </c>
      <c r="R11" s="173">
        <f>IF(L11="","",ABS(SUMIFS('System(MB51)'!$K:$K,'System(MB51)'!$L:$L,'Checking(ZSERIALS)'!$J11,'System(MB51)'!$O:$O,'Checking(ZSERIALS)'!$L11,'System(MB51)'!$A:$A,'Checking(ZSERIALS)'!R$3)))</f>
        <v>0</v>
      </c>
      <c r="S11" s="173">
        <f>IF(M11="","",ABS(SUMIFS('System(MB51)'!$K:$K,'System(MB51)'!$L:$L,'Checking(ZSERIALS)'!$J11,'System(MB51)'!$O:$O,'Checking(ZSERIALS)'!$L11,'System(MB51)'!$A:$A,'Checking(ZSERIALS)'!S$3)))</f>
        <v>0</v>
      </c>
      <c r="T11" s="173">
        <f>IF(N11="","",ABS(SUMIFS('System(MB51)'!$K:$K,'System(MB51)'!$L:$L,'Checking(ZSERIALS)'!$J11,'System(MB51)'!$O:$O,'Checking(ZSERIALS)'!$L11,'System(MB51)'!$A:$A,'Checking(ZSERIALS)'!T$3)))</f>
        <v>1</v>
      </c>
      <c r="U11" s="173">
        <f>IF(O11="","",ABS(SUMIFS('System(MB51)'!$K:$K,'System(MB51)'!$L:$L,'Checking(ZSERIALS)'!$J11,'System(MB51)'!$O:$O,'Checking(ZSERIALS)'!$L11,'System(MB51)'!$A:$A,'Checking(ZSERIALS)'!U$3)))</f>
        <v>0</v>
      </c>
      <c r="V11" s="165"/>
      <c r="W11" s="173">
        <f>IF($G11="","",INDEX(MLR!$1:$1048576,MATCH($G11,MLR!$J:$J,0),MATCH(W$3,MLR!$1:$1,0)))</f>
        <v>194</v>
      </c>
      <c r="X11" s="173">
        <f>IF($G11="","",INDEX(MLR!$1:$1048576,MATCH($G11,MLR!$J:$J,0),MATCH(X$3,MLR!$1:$1,0)))</f>
        <v>2</v>
      </c>
      <c r="Y11" s="173">
        <f>IF($G11="","",INDEX(MLR!$1:$1048576,MATCH($G11,MLR!$J:$J,0),MATCH(Y$3,MLR!$1:$1,0)))</f>
        <v>12</v>
      </c>
      <c r="Z11" s="173">
        <f>IF($G11="","",INDEX(MLR!$1:$1048576,MATCH($G11,MLR!$J:$J,0),MATCH(Z$3,MLR!$1:$1,0)))</f>
        <v>1</v>
      </c>
      <c r="AA11" s="173">
        <f>IF($G11="","",INDEX(MLR!$1:$1048576,MATCH($G11,MLR!$J:$J,0),MATCH(AA$3,MLR!$1:$1,0)))</f>
        <v>0</v>
      </c>
      <c r="AB11" s="173">
        <f>IF($G11="","",INDEX(MLR!$1:$1048576,MATCH($G11,MLR!$J:$J,0),MATCH(AB$3,MLR!$1:$1,0)))</f>
        <v>0</v>
      </c>
      <c r="AC11" s="173">
        <f>IF($G11="","",INDEX(MLR!$1:$1048576,MATCH($G11,MLR!$J:$J,0),MATCH(AC$3,MLR!$1:$1,0)))</f>
        <v>10</v>
      </c>
      <c r="AD11" s="173">
        <f>IF($G11="","",INDEX(MLR!$1:$1048576,MATCH($G11,MLR!$J:$J,0),MATCH(AD$3,MLR!$1:$1,0)))</f>
        <v>1</v>
      </c>
      <c r="AE11" s="173">
        <f>IF($G11="","",INDEX(MLR!$1:$1048576,MATCH($G11,MLR!$J:$J,0),MATCH(AE$3,MLR!$1:$1,0)))</f>
        <v>8</v>
      </c>
      <c r="AF11" s="174" t="str">
        <f>IF(G11="","",IFERROR(IF(MATCH($G11,MLR!$J:$J,0)&gt;0,"Installed","Not Found"),"Not Found"))</f>
        <v>Installed</v>
      </c>
      <c r="AG11" s="165"/>
      <c r="AH11" s="175" t="str">
        <f t="shared" si="0"/>
        <v>Short</v>
      </c>
      <c r="AI11" s="175" t="str">
        <f t="shared" si="1"/>
        <v>Short</v>
      </c>
      <c r="AJ11" s="175" t="str">
        <f t="shared" si="2"/>
        <v>Short</v>
      </c>
      <c r="AK11" s="175" t="str">
        <f t="shared" si="3"/>
        <v>Short</v>
      </c>
      <c r="AL11" s="175" t="str">
        <f t="shared" si="4"/>
        <v>Correct</v>
      </c>
      <c r="AM11" s="175" t="str">
        <f t="shared" si="5"/>
        <v>Correct</v>
      </c>
      <c r="AN11" s="175" t="str">
        <f t="shared" si="6"/>
        <v>Short</v>
      </c>
      <c r="AO11" s="175" t="str">
        <f t="shared" si="7"/>
        <v>Correct</v>
      </c>
      <c r="AP11" s="175" t="str">
        <f t="shared" si="8"/>
        <v>Short</v>
      </c>
      <c r="AQ11" s="165"/>
      <c r="AR11" s="173">
        <f t="shared" ref="AR11:AR53" si="20">M11-W11</f>
        <v>-194</v>
      </c>
      <c r="AS11" s="173">
        <f t="shared" ref="AS11:AS53" si="21">N11-X11</f>
        <v>-2</v>
      </c>
      <c r="AT11" s="173">
        <f t="shared" ref="AT11:AT53" si="22">O11-Y11</f>
        <v>-12</v>
      </c>
      <c r="AU11" s="173">
        <f t="shared" ref="AU11:AU53" si="23">P11-Z11</f>
        <v>-1</v>
      </c>
      <c r="AV11" s="173">
        <f t="shared" ref="AV11:AV53" si="24">Q11-AA11</f>
        <v>0</v>
      </c>
      <c r="AW11" s="173">
        <f t="shared" ref="AW11:AW53" si="25">R11-AB11</f>
        <v>0</v>
      </c>
      <c r="AX11" s="173">
        <f t="shared" ref="AX11:AX53" si="26">S11-AC11</f>
        <v>-10</v>
      </c>
      <c r="AY11" s="173">
        <f t="shared" ref="AY11:AY53" si="27">T11-AD11</f>
        <v>0</v>
      </c>
      <c r="AZ11" s="173">
        <f t="shared" ref="AZ11:AZ53" si="28">U11-AE11</f>
        <v>-8</v>
      </c>
      <c r="BA11" s="165"/>
      <c r="BB11" s="174" t="str">
        <f t="shared" si="19"/>
        <v>With Variance</v>
      </c>
    </row>
    <row r="12" spans="1:55" s="36" customFormat="1" ht="13.8" x14ac:dyDescent="0.3">
      <c r="A12" s="128" t="str">
        <f>_xlfn.XLOOKUP(B12,'Cuttof Mapping'!A:A,'Cuttof Mapping'!D:D)</f>
        <v>2023 Dec 2nd</v>
      </c>
      <c r="B12" s="133">
        <v>45296</v>
      </c>
      <c r="C12" s="86" t="s">
        <v>129</v>
      </c>
      <c r="D12" s="79" t="s">
        <v>63</v>
      </c>
      <c r="E12" s="86">
        <v>4500866</v>
      </c>
      <c r="F12" s="86" t="s">
        <v>91</v>
      </c>
      <c r="G12" s="86" t="s">
        <v>130</v>
      </c>
      <c r="H12" s="86">
        <v>10001035</v>
      </c>
      <c r="I12" s="86" t="s">
        <v>90</v>
      </c>
      <c r="J12" s="86">
        <v>1680000711607</v>
      </c>
      <c r="K12" s="86" t="s">
        <v>54</v>
      </c>
      <c r="L12" s="86" t="s">
        <v>131</v>
      </c>
      <c r="M12" s="173">
        <f>IF(G12="","",ABS(SUMIFS('System(MB51)'!$K:$K,'System(MB51)'!$L:$L,'Checking(ZSERIALS)'!$J12,'System(MB51)'!$O:$O,'Checking(ZSERIALS)'!$L12,'System(MB51)'!$A:$A,'Checking(ZSERIALS)'!M$3)))</f>
        <v>0</v>
      </c>
      <c r="N12" s="173">
        <f>IF(H12="","",ABS(SUMIFS('System(MB51)'!$K:$K,'System(MB51)'!$L:$L,'Checking(ZSERIALS)'!$J12,'System(MB51)'!$O:$O,'Checking(ZSERIALS)'!$L12,'System(MB51)'!$A:$A,'Checking(ZSERIALS)'!N$3)))</f>
        <v>2</v>
      </c>
      <c r="O12" s="173">
        <f>IF(I12="","",ABS(SUMIFS('System(MB51)'!$K:$K,'System(MB51)'!$L:$L,'Checking(ZSERIALS)'!$J12,'System(MB51)'!$O:$O,'Checking(ZSERIALS)'!$L12,'System(MB51)'!$A:$A,'Checking(ZSERIALS)'!O$3)))</f>
        <v>0</v>
      </c>
      <c r="P12" s="173">
        <f>IF(J12="","",ABS(SUMIFS('System(MB51)'!$K:$K,'System(MB51)'!$L:$L,'Checking(ZSERIALS)'!$J12,'System(MB51)'!$O:$O,'Checking(ZSERIALS)'!$L12,'System(MB51)'!$A:$A,'Checking(ZSERIALS)'!P$3)))</f>
        <v>1</v>
      </c>
      <c r="Q12" s="173">
        <f>IF(K12="","",ABS(SUMIFS('System(MB51)'!$K:$K,'System(MB51)'!$L:$L,'Checking(ZSERIALS)'!$J12,'System(MB51)'!$O:$O,'Checking(ZSERIALS)'!$L12,'System(MB51)'!$A:$A,'Checking(ZSERIALS)'!Q$3)))</f>
        <v>0</v>
      </c>
      <c r="R12" s="173">
        <f>IF(L12="","",ABS(SUMIFS('System(MB51)'!$K:$K,'System(MB51)'!$L:$L,'Checking(ZSERIALS)'!$J12,'System(MB51)'!$O:$O,'Checking(ZSERIALS)'!$L12,'System(MB51)'!$A:$A,'Checking(ZSERIALS)'!R$3)))</f>
        <v>0</v>
      </c>
      <c r="S12" s="173">
        <f>IF(M12="","",ABS(SUMIFS('System(MB51)'!$K:$K,'System(MB51)'!$L:$L,'Checking(ZSERIALS)'!$J12,'System(MB51)'!$O:$O,'Checking(ZSERIALS)'!$L12,'System(MB51)'!$A:$A,'Checking(ZSERIALS)'!S$3)))</f>
        <v>7</v>
      </c>
      <c r="T12" s="173">
        <f>IF(N12="","",ABS(SUMIFS('System(MB51)'!$K:$K,'System(MB51)'!$L:$L,'Checking(ZSERIALS)'!$J12,'System(MB51)'!$O:$O,'Checking(ZSERIALS)'!$L12,'System(MB51)'!$A:$A,'Checking(ZSERIALS)'!T$3)))</f>
        <v>1</v>
      </c>
      <c r="U12" s="173">
        <f>IF(O12="","",ABS(SUMIFS('System(MB51)'!$K:$K,'System(MB51)'!$L:$L,'Checking(ZSERIALS)'!$J12,'System(MB51)'!$O:$O,'Checking(ZSERIALS)'!$L12,'System(MB51)'!$A:$A,'Checking(ZSERIALS)'!U$3)))</f>
        <v>0</v>
      </c>
      <c r="V12" s="165"/>
      <c r="W12" s="173">
        <f>IF($G12="","",INDEX(MLR!$1:$1048576,MATCH($G12,MLR!$J:$J,0),MATCH(W$3,MLR!$1:$1,0)))</f>
        <v>120</v>
      </c>
      <c r="X12" s="173">
        <f>IF($G12="","",INDEX(MLR!$1:$1048576,MATCH($G12,MLR!$J:$J,0),MATCH(X$3,MLR!$1:$1,0)))</f>
        <v>2</v>
      </c>
      <c r="Y12" s="173">
        <f>IF($G12="","",INDEX(MLR!$1:$1048576,MATCH($G12,MLR!$J:$J,0),MATCH(Y$3,MLR!$1:$1,0)))</f>
        <v>6</v>
      </c>
      <c r="Z12" s="173">
        <f>IF($G12="","",INDEX(MLR!$1:$1048576,MATCH($G12,MLR!$J:$J,0),MATCH(Z$3,MLR!$1:$1,0)))</f>
        <v>1</v>
      </c>
      <c r="AA12" s="173">
        <f>IF($G12="","",INDEX(MLR!$1:$1048576,MATCH($G12,MLR!$J:$J,0),MATCH(AA$3,MLR!$1:$1,0)))</f>
        <v>0</v>
      </c>
      <c r="AB12" s="173">
        <f>IF($G12="","",INDEX(MLR!$1:$1048576,MATCH($G12,MLR!$J:$J,0),MATCH(AB$3,MLR!$1:$1,0)))</f>
        <v>0</v>
      </c>
      <c r="AC12" s="173">
        <f>IF($G12="","",INDEX(MLR!$1:$1048576,MATCH($G12,MLR!$J:$J,0),MATCH(AC$3,MLR!$1:$1,0)))</f>
        <v>7</v>
      </c>
      <c r="AD12" s="173">
        <f>IF($G12="","",INDEX(MLR!$1:$1048576,MATCH($G12,MLR!$J:$J,0),MATCH(AD$3,MLR!$1:$1,0)))</f>
        <v>1</v>
      </c>
      <c r="AE12" s="173">
        <f>IF($G12="","",INDEX(MLR!$1:$1048576,MATCH($G12,MLR!$J:$J,0),MATCH(AE$3,MLR!$1:$1,0)))</f>
        <v>8</v>
      </c>
      <c r="AF12" s="174" t="str">
        <f>IF(G12="","",IFERROR(IF(MATCH($G12,MLR!$J:$J,0)&gt;0,"Installed","Not Found"),"Not Found"))</f>
        <v>Installed</v>
      </c>
      <c r="AG12" s="165"/>
      <c r="AH12" s="175" t="str">
        <f t="shared" si="0"/>
        <v>Short</v>
      </c>
      <c r="AI12" s="175" t="str">
        <f t="shared" si="1"/>
        <v>Correct</v>
      </c>
      <c r="AJ12" s="175" t="str">
        <f t="shared" si="2"/>
        <v>Short</v>
      </c>
      <c r="AK12" s="175" t="str">
        <f t="shared" si="3"/>
        <v>Correct</v>
      </c>
      <c r="AL12" s="175" t="str">
        <f t="shared" si="4"/>
        <v>Correct</v>
      </c>
      <c r="AM12" s="175" t="str">
        <f t="shared" si="5"/>
        <v>Correct</v>
      </c>
      <c r="AN12" s="175" t="str">
        <f t="shared" si="6"/>
        <v>Correct</v>
      </c>
      <c r="AO12" s="175" t="str">
        <f t="shared" si="7"/>
        <v>Correct</v>
      </c>
      <c r="AP12" s="175" t="str">
        <f t="shared" si="8"/>
        <v>Short</v>
      </c>
      <c r="AQ12" s="165"/>
      <c r="AR12" s="173">
        <f t="shared" si="20"/>
        <v>-120</v>
      </c>
      <c r="AS12" s="173">
        <f t="shared" si="21"/>
        <v>0</v>
      </c>
      <c r="AT12" s="173">
        <f t="shared" si="22"/>
        <v>-6</v>
      </c>
      <c r="AU12" s="173">
        <f t="shared" si="23"/>
        <v>0</v>
      </c>
      <c r="AV12" s="173">
        <f t="shared" si="24"/>
        <v>0</v>
      </c>
      <c r="AW12" s="173">
        <f t="shared" si="25"/>
        <v>0</v>
      </c>
      <c r="AX12" s="173">
        <f t="shared" si="26"/>
        <v>0</v>
      </c>
      <c r="AY12" s="173">
        <f t="shared" si="27"/>
        <v>0</v>
      </c>
      <c r="AZ12" s="173">
        <f t="shared" si="28"/>
        <v>-8</v>
      </c>
      <c r="BA12" s="165"/>
      <c r="BB12" s="174" t="str">
        <f t="shared" si="19"/>
        <v>With Variance</v>
      </c>
    </row>
    <row r="13" spans="1:55" s="36" customFormat="1" ht="13.8" x14ac:dyDescent="0.3">
      <c r="A13" s="128" t="str">
        <f>_xlfn.XLOOKUP(B13,'Cuttof Mapping'!A:A,'Cuttof Mapping'!D:D)</f>
        <v>2023 Dec 2nd</v>
      </c>
      <c r="B13" s="133">
        <v>45296</v>
      </c>
      <c r="C13" s="86" t="s">
        <v>132</v>
      </c>
      <c r="D13" s="79" t="s">
        <v>63</v>
      </c>
      <c r="E13" s="86">
        <v>4500866</v>
      </c>
      <c r="F13" s="86" t="s">
        <v>91</v>
      </c>
      <c r="G13" s="86" t="s">
        <v>133</v>
      </c>
      <c r="H13" s="86">
        <v>10001035</v>
      </c>
      <c r="I13" s="86" t="s">
        <v>90</v>
      </c>
      <c r="J13" s="86">
        <v>1680000700036</v>
      </c>
      <c r="K13" s="86" t="s">
        <v>54</v>
      </c>
      <c r="L13" s="86" t="s">
        <v>134</v>
      </c>
      <c r="M13" s="173">
        <f>IF(G13="","",ABS(SUMIFS('System(MB51)'!$K:$K,'System(MB51)'!$L:$L,'Checking(ZSERIALS)'!$J13,'System(MB51)'!$O:$O,'Checking(ZSERIALS)'!$L13,'System(MB51)'!$A:$A,'Checking(ZSERIALS)'!M$3)))</f>
        <v>0</v>
      </c>
      <c r="N13" s="173">
        <f>IF(H13="","",ABS(SUMIFS('System(MB51)'!$K:$K,'System(MB51)'!$L:$L,'Checking(ZSERIALS)'!$J13,'System(MB51)'!$O:$O,'Checking(ZSERIALS)'!$L13,'System(MB51)'!$A:$A,'Checking(ZSERIALS)'!N$3)))</f>
        <v>2</v>
      </c>
      <c r="O13" s="173">
        <f>IF(I13="","",ABS(SUMIFS('System(MB51)'!$K:$K,'System(MB51)'!$L:$L,'Checking(ZSERIALS)'!$J13,'System(MB51)'!$O:$O,'Checking(ZSERIALS)'!$L13,'System(MB51)'!$A:$A,'Checking(ZSERIALS)'!O$3)))</f>
        <v>0</v>
      </c>
      <c r="P13" s="173">
        <f>IF(J13="","",ABS(SUMIFS('System(MB51)'!$K:$K,'System(MB51)'!$L:$L,'Checking(ZSERIALS)'!$J13,'System(MB51)'!$O:$O,'Checking(ZSERIALS)'!$L13,'System(MB51)'!$A:$A,'Checking(ZSERIALS)'!P$3)))</f>
        <v>1</v>
      </c>
      <c r="Q13" s="173">
        <f>IF(K13="","",ABS(SUMIFS('System(MB51)'!$K:$K,'System(MB51)'!$L:$L,'Checking(ZSERIALS)'!$J13,'System(MB51)'!$O:$O,'Checking(ZSERIALS)'!$L13,'System(MB51)'!$A:$A,'Checking(ZSERIALS)'!Q$3)))</f>
        <v>0</v>
      </c>
      <c r="R13" s="173">
        <f>IF(L13="","",ABS(SUMIFS('System(MB51)'!$K:$K,'System(MB51)'!$L:$L,'Checking(ZSERIALS)'!$J13,'System(MB51)'!$O:$O,'Checking(ZSERIALS)'!$L13,'System(MB51)'!$A:$A,'Checking(ZSERIALS)'!R$3)))</f>
        <v>0</v>
      </c>
      <c r="S13" s="173">
        <f>IF(M13="","",ABS(SUMIFS('System(MB51)'!$K:$K,'System(MB51)'!$L:$L,'Checking(ZSERIALS)'!$J13,'System(MB51)'!$O:$O,'Checking(ZSERIALS)'!$L13,'System(MB51)'!$A:$A,'Checking(ZSERIALS)'!S$3)))</f>
        <v>5</v>
      </c>
      <c r="T13" s="173">
        <f>IF(N13="","",ABS(SUMIFS('System(MB51)'!$K:$K,'System(MB51)'!$L:$L,'Checking(ZSERIALS)'!$J13,'System(MB51)'!$O:$O,'Checking(ZSERIALS)'!$L13,'System(MB51)'!$A:$A,'Checking(ZSERIALS)'!T$3)))</f>
        <v>1</v>
      </c>
      <c r="U13" s="173">
        <f>IF(O13="","",ABS(SUMIFS('System(MB51)'!$K:$K,'System(MB51)'!$L:$L,'Checking(ZSERIALS)'!$J13,'System(MB51)'!$O:$O,'Checking(ZSERIALS)'!$L13,'System(MB51)'!$A:$A,'Checking(ZSERIALS)'!U$3)))</f>
        <v>0</v>
      </c>
      <c r="V13" s="165"/>
      <c r="W13" s="173">
        <f>IF($G13="","",INDEX(MLR!$1:$1048576,MATCH($G13,MLR!$J:$J,0),MATCH(W$3,MLR!$1:$1,0)))</f>
        <v>132</v>
      </c>
      <c r="X13" s="173">
        <f>IF($G13="","",INDEX(MLR!$1:$1048576,MATCH($G13,MLR!$J:$J,0),MATCH(X$3,MLR!$1:$1,0)))</f>
        <v>2</v>
      </c>
      <c r="Y13" s="173">
        <f>IF($G13="","",INDEX(MLR!$1:$1048576,MATCH($G13,MLR!$J:$J,0),MATCH(Y$3,MLR!$1:$1,0)))</f>
        <v>7</v>
      </c>
      <c r="Z13" s="173">
        <f>IF($G13="","",INDEX(MLR!$1:$1048576,MATCH($G13,MLR!$J:$J,0),MATCH(Z$3,MLR!$1:$1,0)))</f>
        <v>1</v>
      </c>
      <c r="AA13" s="173">
        <f>IF($G13="","",INDEX(MLR!$1:$1048576,MATCH($G13,MLR!$J:$J,0),MATCH(AA$3,MLR!$1:$1,0)))</f>
        <v>0</v>
      </c>
      <c r="AB13" s="173">
        <f>IF($G13="","",INDEX(MLR!$1:$1048576,MATCH($G13,MLR!$J:$J,0),MATCH(AB$3,MLR!$1:$1,0)))</f>
        <v>0</v>
      </c>
      <c r="AC13" s="173">
        <f>IF($G13="","",INDEX(MLR!$1:$1048576,MATCH($G13,MLR!$J:$J,0),MATCH(AC$3,MLR!$1:$1,0)))</f>
        <v>5</v>
      </c>
      <c r="AD13" s="173">
        <f>IF($G13="","",INDEX(MLR!$1:$1048576,MATCH($G13,MLR!$J:$J,0),MATCH(AD$3,MLR!$1:$1,0)))</f>
        <v>1</v>
      </c>
      <c r="AE13" s="173">
        <f>IF($G13="","",INDEX(MLR!$1:$1048576,MATCH($G13,MLR!$J:$J,0),MATCH(AE$3,MLR!$1:$1,0)))</f>
        <v>10</v>
      </c>
      <c r="AF13" s="174" t="str">
        <f>IF(G13="","",IFERROR(IF(MATCH($G13,MLR!$J:$J,0)&gt;0,"Installed","Not Found"),"Not Found"))</f>
        <v>Installed</v>
      </c>
      <c r="AG13" s="165"/>
      <c r="AH13" s="175" t="str">
        <f t="shared" si="0"/>
        <v>Short</v>
      </c>
      <c r="AI13" s="175" t="str">
        <f t="shared" si="1"/>
        <v>Correct</v>
      </c>
      <c r="AJ13" s="175" t="str">
        <f t="shared" si="2"/>
        <v>Short</v>
      </c>
      <c r="AK13" s="175" t="str">
        <f t="shared" si="3"/>
        <v>Correct</v>
      </c>
      <c r="AL13" s="175" t="str">
        <f t="shared" si="4"/>
        <v>Correct</v>
      </c>
      <c r="AM13" s="175" t="str">
        <f t="shared" si="5"/>
        <v>Correct</v>
      </c>
      <c r="AN13" s="175" t="str">
        <f t="shared" si="6"/>
        <v>Correct</v>
      </c>
      <c r="AO13" s="175" t="str">
        <f t="shared" si="7"/>
        <v>Correct</v>
      </c>
      <c r="AP13" s="175" t="str">
        <f t="shared" si="8"/>
        <v>Short</v>
      </c>
      <c r="AQ13" s="165"/>
      <c r="AR13" s="173">
        <f t="shared" si="20"/>
        <v>-132</v>
      </c>
      <c r="AS13" s="173">
        <f t="shared" si="21"/>
        <v>0</v>
      </c>
      <c r="AT13" s="173">
        <f t="shared" si="22"/>
        <v>-7</v>
      </c>
      <c r="AU13" s="173">
        <f t="shared" si="23"/>
        <v>0</v>
      </c>
      <c r="AV13" s="173">
        <f t="shared" si="24"/>
        <v>0</v>
      </c>
      <c r="AW13" s="173">
        <f t="shared" si="25"/>
        <v>0</v>
      </c>
      <c r="AX13" s="173">
        <f t="shared" si="26"/>
        <v>0</v>
      </c>
      <c r="AY13" s="173">
        <f t="shared" si="27"/>
        <v>0</v>
      </c>
      <c r="AZ13" s="173">
        <f t="shared" si="28"/>
        <v>-10</v>
      </c>
      <c r="BA13" s="165"/>
      <c r="BB13" s="174" t="str">
        <f t="shared" si="19"/>
        <v>With Variance</v>
      </c>
    </row>
    <row r="14" spans="1:55" s="36" customFormat="1" ht="13.8" x14ac:dyDescent="0.3">
      <c r="A14" s="128" t="str">
        <f>_xlfn.XLOOKUP(B14,'Cuttof Mapping'!A:A,'Cuttof Mapping'!D:D)</f>
        <v>2023 Dec 2nd</v>
      </c>
      <c r="B14" s="133">
        <v>45296</v>
      </c>
      <c r="C14" s="86" t="s">
        <v>135</v>
      </c>
      <c r="D14" s="79" t="s">
        <v>63</v>
      </c>
      <c r="E14" s="86">
        <v>4500866</v>
      </c>
      <c r="F14" s="86" t="s">
        <v>91</v>
      </c>
      <c r="G14" s="86" t="s">
        <v>136</v>
      </c>
      <c r="H14" s="86">
        <v>10001035</v>
      </c>
      <c r="I14" s="86" t="s">
        <v>90</v>
      </c>
      <c r="J14" s="86">
        <v>1680000712396</v>
      </c>
      <c r="K14" s="86" t="s">
        <v>54</v>
      </c>
      <c r="L14" s="86" t="s">
        <v>137</v>
      </c>
      <c r="M14" s="173">
        <f>IF(G14="","",ABS(SUMIFS('System(MB51)'!$K:$K,'System(MB51)'!$L:$L,'Checking(ZSERIALS)'!$J14,'System(MB51)'!$O:$O,'Checking(ZSERIALS)'!$L14,'System(MB51)'!$A:$A,'Checking(ZSERIALS)'!M$3)))</f>
        <v>0</v>
      </c>
      <c r="N14" s="173">
        <f>IF(H14="","",ABS(SUMIFS('System(MB51)'!$K:$K,'System(MB51)'!$L:$L,'Checking(ZSERIALS)'!$J14,'System(MB51)'!$O:$O,'Checking(ZSERIALS)'!$L14,'System(MB51)'!$A:$A,'Checking(ZSERIALS)'!N$3)))</f>
        <v>2</v>
      </c>
      <c r="O14" s="173">
        <f>IF(I14="","",ABS(SUMIFS('System(MB51)'!$K:$K,'System(MB51)'!$L:$L,'Checking(ZSERIALS)'!$J14,'System(MB51)'!$O:$O,'Checking(ZSERIALS)'!$L14,'System(MB51)'!$A:$A,'Checking(ZSERIALS)'!O$3)))</f>
        <v>0</v>
      </c>
      <c r="P14" s="173">
        <f>IF(J14="","",ABS(SUMIFS('System(MB51)'!$K:$K,'System(MB51)'!$L:$L,'Checking(ZSERIALS)'!$J14,'System(MB51)'!$O:$O,'Checking(ZSERIALS)'!$L14,'System(MB51)'!$A:$A,'Checking(ZSERIALS)'!P$3)))</f>
        <v>1</v>
      </c>
      <c r="Q14" s="173">
        <f>IF(K14="","",ABS(SUMIFS('System(MB51)'!$K:$K,'System(MB51)'!$L:$L,'Checking(ZSERIALS)'!$J14,'System(MB51)'!$O:$O,'Checking(ZSERIALS)'!$L14,'System(MB51)'!$A:$A,'Checking(ZSERIALS)'!Q$3)))</f>
        <v>0</v>
      </c>
      <c r="R14" s="173">
        <f>IF(L14="","",ABS(SUMIFS('System(MB51)'!$K:$K,'System(MB51)'!$L:$L,'Checking(ZSERIALS)'!$J14,'System(MB51)'!$O:$O,'Checking(ZSERIALS)'!$L14,'System(MB51)'!$A:$A,'Checking(ZSERIALS)'!R$3)))</f>
        <v>0</v>
      </c>
      <c r="S14" s="173">
        <f>IF(M14="","",ABS(SUMIFS('System(MB51)'!$K:$K,'System(MB51)'!$L:$L,'Checking(ZSERIALS)'!$J14,'System(MB51)'!$O:$O,'Checking(ZSERIALS)'!$L14,'System(MB51)'!$A:$A,'Checking(ZSERIALS)'!S$3)))</f>
        <v>8</v>
      </c>
      <c r="T14" s="173">
        <f>IF(N14="","",ABS(SUMIFS('System(MB51)'!$K:$K,'System(MB51)'!$L:$L,'Checking(ZSERIALS)'!$J14,'System(MB51)'!$O:$O,'Checking(ZSERIALS)'!$L14,'System(MB51)'!$A:$A,'Checking(ZSERIALS)'!T$3)))</f>
        <v>1</v>
      </c>
      <c r="U14" s="173">
        <f>IF(O14="","",ABS(SUMIFS('System(MB51)'!$K:$K,'System(MB51)'!$L:$L,'Checking(ZSERIALS)'!$J14,'System(MB51)'!$O:$O,'Checking(ZSERIALS)'!$L14,'System(MB51)'!$A:$A,'Checking(ZSERIALS)'!U$3)))</f>
        <v>8</v>
      </c>
      <c r="V14" s="165"/>
      <c r="W14" s="173">
        <f>IF($G14="","",INDEX(MLR!$1:$1048576,MATCH($G14,MLR!$J:$J,0),MATCH(W$3,MLR!$1:$1,0)))</f>
        <v>176</v>
      </c>
      <c r="X14" s="173">
        <f>IF($G14="","",INDEX(MLR!$1:$1048576,MATCH($G14,MLR!$J:$J,0),MATCH(X$3,MLR!$1:$1,0)))</f>
        <v>2</v>
      </c>
      <c r="Y14" s="173">
        <f>IF($G14="","",INDEX(MLR!$1:$1048576,MATCH($G14,MLR!$J:$J,0),MATCH(Y$3,MLR!$1:$1,0)))</f>
        <v>8</v>
      </c>
      <c r="Z14" s="173">
        <f>IF($G14="","",INDEX(MLR!$1:$1048576,MATCH($G14,MLR!$J:$J,0),MATCH(Z$3,MLR!$1:$1,0)))</f>
        <v>1</v>
      </c>
      <c r="AA14" s="173">
        <f>IF($G14="","",INDEX(MLR!$1:$1048576,MATCH($G14,MLR!$J:$J,0),MATCH(AA$3,MLR!$1:$1,0)))</f>
        <v>0</v>
      </c>
      <c r="AB14" s="173">
        <f>IF($G14="","",INDEX(MLR!$1:$1048576,MATCH($G14,MLR!$J:$J,0),MATCH(AB$3,MLR!$1:$1,0)))</f>
        <v>0</v>
      </c>
      <c r="AC14" s="173">
        <f>IF($G14="","",INDEX(MLR!$1:$1048576,MATCH($G14,MLR!$J:$J,0),MATCH(AC$3,MLR!$1:$1,0)))</f>
        <v>8</v>
      </c>
      <c r="AD14" s="173">
        <f>IF($G14="","",INDEX(MLR!$1:$1048576,MATCH($G14,MLR!$J:$J,0),MATCH(AD$3,MLR!$1:$1,0)))</f>
        <v>1</v>
      </c>
      <c r="AE14" s="173">
        <f>IF($G14="","",INDEX(MLR!$1:$1048576,MATCH($G14,MLR!$J:$J,0),MATCH(AE$3,MLR!$1:$1,0)))</f>
        <v>8</v>
      </c>
      <c r="AF14" s="174" t="str">
        <f>IF(G14="","",IFERROR(IF(MATCH($G14,MLR!$J:$J,0)&gt;0,"Installed","Not Found"),"Not Found"))</f>
        <v>Installed</v>
      </c>
      <c r="AG14" s="165"/>
      <c r="AH14" s="175" t="str">
        <f t="shared" si="0"/>
        <v>Short</v>
      </c>
      <c r="AI14" s="175" t="str">
        <f t="shared" si="1"/>
        <v>Correct</v>
      </c>
      <c r="AJ14" s="175" t="str">
        <f t="shared" si="2"/>
        <v>Short</v>
      </c>
      <c r="AK14" s="175" t="str">
        <f t="shared" si="3"/>
        <v>Correct</v>
      </c>
      <c r="AL14" s="175" t="str">
        <f t="shared" si="4"/>
        <v>Correct</v>
      </c>
      <c r="AM14" s="175" t="str">
        <f t="shared" si="5"/>
        <v>Correct</v>
      </c>
      <c r="AN14" s="175" t="str">
        <f t="shared" si="6"/>
        <v>Correct</v>
      </c>
      <c r="AO14" s="175" t="str">
        <f t="shared" si="7"/>
        <v>Correct</v>
      </c>
      <c r="AP14" s="175" t="str">
        <f t="shared" si="8"/>
        <v>Correct</v>
      </c>
      <c r="AQ14" s="165"/>
      <c r="AR14" s="173">
        <f t="shared" si="20"/>
        <v>-176</v>
      </c>
      <c r="AS14" s="173">
        <f t="shared" si="21"/>
        <v>0</v>
      </c>
      <c r="AT14" s="173">
        <f t="shared" si="22"/>
        <v>-8</v>
      </c>
      <c r="AU14" s="173">
        <f t="shared" si="23"/>
        <v>0</v>
      </c>
      <c r="AV14" s="173">
        <f t="shared" si="24"/>
        <v>0</v>
      </c>
      <c r="AW14" s="173">
        <f t="shared" si="25"/>
        <v>0</v>
      </c>
      <c r="AX14" s="173">
        <f t="shared" si="26"/>
        <v>0</v>
      </c>
      <c r="AY14" s="173">
        <f t="shared" si="27"/>
        <v>0</v>
      </c>
      <c r="AZ14" s="173">
        <f t="shared" si="28"/>
        <v>0</v>
      </c>
      <c r="BA14" s="165"/>
      <c r="BB14" s="174" t="str">
        <f t="shared" si="19"/>
        <v>With Variance</v>
      </c>
    </row>
    <row r="15" spans="1:55" s="36" customFormat="1" ht="13.8" x14ac:dyDescent="0.3">
      <c r="A15" s="128" t="str">
        <f>_xlfn.XLOOKUP(B15,'Cuttof Mapping'!A:A,'Cuttof Mapping'!D:D)</f>
        <v>2023 Dec 2nd</v>
      </c>
      <c r="B15" s="133">
        <v>45296</v>
      </c>
      <c r="C15" s="86" t="s">
        <v>138</v>
      </c>
      <c r="D15" s="79" t="s">
        <v>63</v>
      </c>
      <c r="E15" s="86">
        <v>4500866</v>
      </c>
      <c r="F15" s="86" t="s">
        <v>91</v>
      </c>
      <c r="G15" s="86" t="s">
        <v>139</v>
      </c>
      <c r="H15" s="86">
        <v>10001035</v>
      </c>
      <c r="I15" s="86" t="s">
        <v>90</v>
      </c>
      <c r="J15" s="86">
        <v>1680000712841</v>
      </c>
      <c r="K15" s="86" t="s">
        <v>54</v>
      </c>
      <c r="L15" s="86" t="s">
        <v>140</v>
      </c>
      <c r="M15" s="173">
        <f>IF(G15="","",ABS(SUMIFS('System(MB51)'!$K:$K,'System(MB51)'!$L:$L,'Checking(ZSERIALS)'!$J15,'System(MB51)'!$O:$O,'Checking(ZSERIALS)'!$L15,'System(MB51)'!$A:$A,'Checking(ZSERIALS)'!M$3)))</f>
        <v>0</v>
      </c>
      <c r="N15" s="173">
        <f>IF(H15="","",ABS(SUMIFS('System(MB51)'!$K:$K,'System(MB51)'!$L:$L,'Checking(ZSERIALS)'!$J15,'System(MB51)'!$O:$O,'Checking(ZSERIALS)'!$L15,'System(MB51)'!$A:$A,'Checking(ZSERIALS)'!N$3)))</f>
        <v>2</v>
      </c>
      <c r="O15" s="173">
        <f>IF(I15="","",ABS(SUMIFS('System(MB51)'!$K:$K,'System(MB51)'!$L:$L,'Checking(ZSERIALS)'!$J15,'System(MB51)'!$O:$O,'Checking(ZSERIALS)'!$L15,'System(MB51)'!$A:$A,'Checking(ZSERIALS)'!O$3)))</f>
        <v>0</v>
      </c>
      <c r="P15" s="173">
        <f>IF(J15="","",ABS(SUMIFS('System(MB51)'!$K:$K,'System(MB51)'!$L:$L,'Checking(ZSERIALS)'!$J15,'System(MB51)'!$O:$O,'Checking(ZSERIALS)'!$L15,'System(MB51)'!$A:$A,'Checking(ZSERIALS)'!P$3)))</f>
        <v>1</v>
      </c>
      <c r="Q15" s="173">
        <f>IF(K15="","",ABS(SUMIFS('System(MB51)'!$K:$K,'System(MB51)'!$L:$L,'Checking(ZSERIALS)'!$J15,'System(MB51)'!$O:$O,'Checking(ZSERIALS)'!$L15,'System(MB51)'!$A:$A,'Checking(ZSERIALS)'!Q$3)))</f>
        <v>0</v>
      </c>
      <c r="R15" s="173">
        <f>IF(L15="","",ABS(SUMIFS('System(MB51)'!$K:$K,'System(MB51)'!$L:$L,'Checking(ZSERIALS)'!$J15,'System(MB51)'!$O:$O,'Checking(ZSERIALS)'!$L15,'System(MB51)'!$A:$A,'Checking(ZSERIALS)'!R$3)))</f>
        <v>0</v>
      </c>
      <c r="S15" s="173">
        <f>IF(M15="","",ABS(SUMIFS('System(MB51)'!$K:$K,'System(MB51)'!$L:$L,'Checking(ZSERIALS)'!$J15,'System(MB51)'!$O:$O,'Checking(ZSERIALS)'!$L15,'System(MB51)'!$A:$A,'Checking(ZSERIALS)'!S$3)))</f>
        <v>5</v>
      </c>
      <c r="T15" s="173">
        <f>IF(N15="","",ABS(SUMIFS('System(MB51)'!$K:$K,'System(MB51)'!$L:$L,'Checking(ZSERIALS)'!$J15,'System(MB51)'!$O:$O,'Checking(ZSERIALS)'!$L15,'System(MB51)'!$A:$A,'Checking(ZSERIALS)'!T$3)))</f>
        <v>1</v>
      </c>
      <c r="U15" s="173">
        <f>IF(O15="","",ABS(SUMIFS('System(MB51)'!$K:$K,'System(MB51)'!$L:$L,'Checking(ZSERIALS)'!$J15,'System(MB51)'!$O:$O,'Checking(ZSERIALS)'!$L15,'System(MB51)'!$A:$A,'Checking(ZSERIALS)'!U$3)))</f>
        <v>0</v>
      </c>
      <c r="V15" s="165"/>
      <c r="W15" s="173">
        <f>IF($G15="","",INDEX(MLR!$1:$1048576,MATCH($G15,MLR!$J:$J,0),MATCH(W$3,MLR!$1:$1,0)))</f>
        <v>319</v>
      </c>
      <c r="X15" s="173">
        <f>IF($G15="","",INDEX(MLR!$1:$1048576,MATCH($G15,MLR!$J:$J,0),MATCH(X$3,MLR!$1:$1,0)))</f>
        <v>2</v>
      </c>
      <c r="Y15" s="173">
        <f>IF($G15="","",INDEX(MLR!$1:$1048576,MATCH($G15,MLR!$J:$J,0),MATCH(Y$3,MLR!$1:$1,0)))</f>
        <v>12</v>
      </c>
      <c r="Z15" s="173">
        <f>IF($G15="","",INDEX(MLR!$1:$1048576,MATCH($G15,MLR!$J:$J,0),MATCH(Z$3,MLR!$1:$1,0)))</f>
        <v>1</v>
      </c>
      <c r="AA15" s="173">
        <f>IF($G15="","",INDEX(MLR!$1:$1048576,MATCH($G15,MLR!$J:$J,0),MATCH(AA$3,MLR!$1:$1,0)))</f>
        <v>0</v>
      </c>
      <c r="AB15" s="173">
        <f>IF($G15="","",INDEX(MLR!$1:$1048576,MATCH($G15,MLR!$J:$J,0),MATCH(AB$3,MLR!$1:$1,0)))</f>
        <v>0</v>
      </c>
      <c r="AC15" s="173">
        <f>IF($G15="","",INDEX(MLR!$1:$1048576,MATCH($G15,MLR!$J:$J,0),MATCH(AC$3,MLR!$1:$1,0)))</f>
        <v>5</v>
      </c>
      <c r="AD15" s="173">
        <f>IF($G15="","",INDEX(MLR!$1:$1048576,MATCH($G15,MLR!$J:$J,0),MATCH(AD$3,MLR!$1:$1,0)))</f>
        <v>1</v>
      </c>
      <c r="AE15" s="173">
        <f>IF($G15="","",INDEX(MLR!$1:$1048576,MATCH($G15,MLR!$J:$J,0),MATCH(AE$3,MLR!$1:$1,0)))</f>
        <v>10</v>
      </c>
      <c r="AF15" s="174" t="str">
        <f>IF(G15="","",IFERROR(IF(MATCH($G15,MLR!$J:$J,0)&gt;0,"Installed","Not Found"),"Not Found"))</f>
        <v>Installed</v>
      </c>
      <c r="AG15" s="165"/>
      <c r="AH15" s="175" t="str">
        <f t="shared" si="0"/>
        <v>Short</v>
      </c>
      <c r="AI15" s="175" t="str">
        <f t="shared" si="1"/>
        <v>Correct</v>
      </c>
      <c r="AJ15" s="175" t="str">
        <f t="shared" si="2"/>
        <v>Short</v>
      </c>
      <c r="AK15" s="175" t="str">
        <f t="shared" si="3"/>
        <v>Correct</v>
      </c>
      <c r="AL15" s="175" t="str">
        <f t="shared" si="4"/>
        <v>Correct</v>
      </c>
      <c r="AM15" s="175" t="str">
        <f t="shared" si="5"/>
        <v>Correct</v>
      </c>
      <c r="AN15" s="175" t="str">
        <f t="shared" si="6"/>
        <v>Correct</v>
      </c>
      <c r="AO15" s="175" t="str">
        <f t="shared" si="7"/>
        <v>Correct</v>
      </c>
      <c r="AP15" s="175" t="str">
        <f t="shared" si="8"/>
        <v>Short</v>
      </c>
      <c r="AQ15" s="165"/>
      <c r="AR15" s="173">
        <f t="shared" si="20"/>
        <v>-319</v>
      </c>
      <c r="AS15" s="173">
        <f t="shared" si="21"/>
        <v>0</v>
      </c>
      <c r="AT15" s="173">
        <f t="shared" si="22"/>
        <v>-12</v>
      </c>
      <c r="AU15" s="173">
        <f t="shared" si="23"/>
        <v>0</v>
      </c>
      <c r="AV15" s="173">
        <f t="shared" si="24"/>
        <v>0</v>
      </c>
      <c r="AW15" s="173">
        <f t="shared" si="25"/>
        <v>0</v>
      </c>
      <c r="AX15" s="173">
        <f t="shared" si="26"/>
        <v>0</v>
      </c>
      <c r="AY15" s="173">
        <f t="shared" si="27"/>
        <v>0</v>
      </c>
      <c r="AZ15" s="173">
        <f t="shared" si="28"/>
        <v>-10</v>
      </c>
      <c r="BA15" s="165"/>
      <c r="BB15" s="174" t="str">
        <f t="shared" si="19"/>
        <v>With Variance</v>
      </c>
    </row>
    <row r="16" spans="1:55" s="36" customFormat="1" ht="13.8" x14ac:dyDescent="0.3">
      <c r="A16" s="128" t="str">
        <f>_xlfn.XLOOKUP(B16,'Cuttof Mapping'!A:A,'Cuttof Mapping'!D:D)</f>
        <v>2023 Dec 2nd</v>
      </c>
      <c r="B16" s="133">
        <v>45296</v>
      </c>
      <c r="C16" s="86" t="s">
        <v>141</v>
      </c>
      <c r="D16" s="79" t="s">
        <v>63</v>
      </c>
      <c r="E16" s="86">
        <v>4500866</v>
      </c>
      <c r="F16" s="86" t="s">
        <v>91</v>
      </c>
      <c r="G16" s="86" t="s">
        <v>142</v>
      </c>
      <c r="H16" s="86">
        <v>10001035</v>
      </c>
      <c r="I16" s="86" t="s">
        <v>90</v>
      </c>
      <c r="J16" s="86">
        <v>1680000714015</v>
      </c>
      <c r="K16" s="86" t="s">
        <v>54</v>
      </c>
      <c r="L16" s="86" t="s">
        <v>143</v>
      </c>
      <c r="M16" s="173">
        <f>IF(G16="","",ABS(SUMIFS('System(MB51)'!$K:$K,'System(MB51)'!$L:$L,'Checking(ZSERIALS)'!$J16,'System(MB51)'!$O:$O,'Checking(ZSERIALS)'!$L16,'System(MB51)'!$A:$A,'Checking(ZSERIALS)'!M$3)))</f>
        <v>0</v>
      </c>
      <c r="N16" s="173">
        <f>IF(H16="","",ABS(SUMIFS('System(MB51)'!$K:$K,'System(MB51)'!$L:$L,'Checking(ZSERIALS)'!$J16,'System(MB51)'!$O:$O,'Checking(ZSERIALS)'!$L16,'System(MB51)'!$A:$A,'Checking(ZSERIALS)'!N$3)))</f>
        <v>0</v>
      </c>
      <c r="O16" s="173">
        <f>IF(I16="","",ABS(SUMIFS('System(MB51)'!$K:$K,'System(MB51)'!$L:$L,'Checking(ZSERIALS)'!$J16,'System(MB51)'!$O:$O,'Checking(ZSERIALS)'!$L16,'System(MB51)'!$A:$A,'Checking(ZSERIALS)'!O$3)))</f>
        <v>0</v>
      </c>
      <c r="P16" s="173">
        <f>IF(J16="","",ABS(SUMIFS('System(MB51)'!$K:$K,'System(MB51)'!$L:$L,'Checking(ZSERIALS)'!$J16,'System(MB51)'!$O:$O,'Checking(ZSERIALS)'!$L16,'System(MB51)'!$A:$A,'Checking(ZSERIALS)'!P$3)))</f>
        <v>0</v>
      </c>
      <c r="Q16" s="173">
        <f>IF(K16="","",ABS(SUMIFS('System(MB51)'!$K:$K,'System(MB51)'!$L:$L,'Checking(ZSERIALS)'!$J16,'System(MB51)'!$O:$O,'Checking(ZSERIALS)'!$L16,'System(MB51)'!$A:$A,'Checking(ZSERIALS)'!Q$3)))</f>
        <v>0</v>
      </c>
      <c r="R16" s="173">
        <f>IF(L16="","",ABS(SUMIFS('System(MB51)'!$K:$K,'System(MB51)'!$L:$L,'Checking(ZSERIALS)'!$J16,'System(MB51)'!$O:$O,'Checking(ZSERIALS)'!$L16,'System(MB51)'!$A:$A,'Checking(ZSERIALS)'!R$3)))</f>
        <v>0</v>
      </c>
      <c r="S16" s="173">
        <f>IF(M16="","",ABS(SUMIFS('System(MB51)'!$K:$K,'System(MB51)'!$L:$L,'Checking(ZSERIALS)'!$J16,'System(MB51)'!$O:$O,'Checking(ZSERIALS)'!$L16,'System(MB51)'!$A:$A,'Checking(ZSERIALS)'!S$3)))</f>
        <v>0</v>
      </c>
      <c r="T16" s="173">
        <f>IF(N16="","",ABS(SUMIFS('System(MB51)'!$K:$K,'System(MB51)'!$L:$L,'Checking(ZSERIALS)'!$J16,'System(MB51)'!$O:$O,'Checking(ZSERIALS)'!$L16,'System(MB51)'!$A:$A,'Checking(ZSERIALS)'!T$3)))</f>
        <v>1</v>
      </c>
      <c r="U16" s="173">
        <f>IF(O16="","",ABS(SUMIFS('System(MB51)'!$K:$K,'System(MB51)'!$L:$L,'Checking(ZSERIALS)'!$J16,'System(MB51)'!$O:$O,'Checking(ZSERIALS)'!$L16,'System(MB51)'!$A:$A,'Checking(ZSERIALS)'!U$3)))</f>
        <v>0</v>
      </c>
      <c r="V16" s="165"/>
      <c r="W16" s="173">
        <f>IF($G16="","",INDEX(MLR!$1:$1048576,MATCH($G16,MLR!$J:$J,0),MATCH(W$3,MLR!$1:$1,0)))</f>
        <v>85</v>
      </c>
      <c r="X16" s="173">
        <f>IF($G16="","",INDEX(MLR!$1:$1048576,MATCH($G16,MLR!$J:$J,0),MATCH(X$3,MLR!$1:$1,0)))</f>
        <v>2</v>
      </c>
      <c r="Y16" s="173">
        <f>IF($G16="","",INDEX(MLR!$1:$1048576,MATCH($G16,MLR!$J:$J,0),MATCH(Y$3,MLR!$1:$1,0)))</f>
        <v>8</v>
      </c>
      <c r="Z16" s="173">
        <f>IF($G16="","",INDEX(MLR!$1:$1048576,MATCH($G16,MLR!$J:$J,0),MATCH(Z$3,MLR!$1:$1,0)))</f>
        <v>1</v>
      </c>
      <c r="AA16" s="173">
        <f>IF($G16="","",INDEX(MLR!$1:$1048576,MATCH($G16,MLR!$J:$J,0),MATCH(AA$3,MLR!$1:$1,0)))</f>
        <v>0</v>
      </c>
      <c r="AB16" s="173">
        <f>IF($G16="","",INDEX(MLR!$1:$1048576,MATCH($G16,MLR!$J:$J,0),MATCH(AB$3,MLR!$1:$1,0)))</f>
        <v>0</v>
      </c>
      <c r="AC16" s="173">
        <f>IF($G16="","",INDEX(MLR!$1:$1048576,MATCH($G16,MLR!$J:$J,0),MATCH(AC$3,MLR!$1:$1,0)))</f>
        <v>10</v>
      </c>
      <c r="AD16" s="173">
        <f>IF($G16="","",INDEX(MLR!$1:$1048576,MATCH($G16,MLR!$J:$J,0),MATCH(AD$3,MLR!$1:$1,0)))</f>
        <v>1</v>
      </c>
      <c r="AE16" s="173">
        <f>IF($G16="","",INDEX(MLR!$1:$1048576,MATCH($G16,MLR!$J:$J,0),MATCH(AE$3,MLR!$1:$1,0)))</f>
        <v>10</v>
      </c>
      <c r="AF16" s="174" t="str">
        <f>IF(G16="","",IFERROR(IF(MATCH($G16,MLR!$J:$J,0)&gt;0,"Installed","Not Found"),"Not Found"))</f>
        <v>Installed</v>
      </c>
      <c r="AG16" s="165"/>
      <c r="AH16" s="175" t="str">
        <f t="shared" si="0"/>
        <v>Short</v>
      </c>
      <c r="AI16" s="175" t="str">
        <f t="shared" si="1"/>
        <v>Short</v>
      </c>
      <c r="AJ16" s="175" t="str">
        <f t="shared" si="2"/>
        <v>Short</v>
      </c>
      <c r="AK16" s="175" t="str">
        <f t="shared" si="3"/>
        <v>Short</v>
      </c>
      <c r="AL16" s="175" t="str">
        <f t="shared" si="4"/>
        <v>Correct</v>
      </c>
      <c r="AM16" s="175" t="str">
        <f t="shared" si="5"/>
        <v>Correct</v>
      </c>
      <c r="AN16" s="175" t="str">
        <f t="shared" si="6"/>
        <v>Short</v>
      </c>
      <c r="AO16" s="175" t="str">
        <f t="shared" si="7"/>
        <v>Correct</v>
      </c>
      <c r="AP16" s="175" t="str">
        <f t="shared" si="8"/>
        <v>Short</v>
      </c>
      <c r="AQ16" s="165"/>
      <c r="AR16" s="173">
        <f t="shared" si="20"/>
        <v>-85</v>
      </c>
      <c r="AS16" s="173">
        <f t="shared" si="21"/>
        <v>-2</v>
      </c>
      <c r="AT16" s="173">
        <f t="shared" si="22"/>
        <v>-8</v>
      </c>
      <c r="AU16" s="173">
        <f t="shared" si="23"/>
        <v>-1</v>
      </c>
      <c r="AV16" s="173">
        <f t="shared" si="24"/>
        <v>0</v>
      </c>
      <c r="AW16" s="173">
        <f t="shared" si="25"/>
        <v>0</v>
      </c>
      <c r="AX16" s="173">
        <f t="shared" si="26"/>
        <v>-10</v>
      </c>
      <c r="AY16" s="173">
        <f t="shared" si="27"/>
        <v>0</v>
      </c>
      <c r="AZ16" s="173">
        <f t="shared" si="28"/>
        <v>-10</v>
      </c>
      <c r="BA16" s="165"/>
      <c r="BB16" s="174" t="str">
        <f t="shared" si="19"/>
        <v>With Variance</v>
      </c>
    </row>
    <row r="17" spans="1:54" s="36" customFormat="1" ht="13.8" x14ac:dyDescent="0.3">
      <c r="A17" s="128" t="str">
        <f>_xlfn.XLOOKUP(B17,'Cuttof Mapping'!A:A,'Cuttof Mapping'!D:D)</f>
        <v>2023 Dec 2nd</v>
      </c>
      <c r="B17" s="133">
        <v>45296</v>
      </c>
      <c r="C17" s="86" t="s">
        <v>144</v>
      </c>
      <c r="D17" s="79" t="s">
        <v>63</v>
      </c>
      <c r="E17" s="86">
        <v>4500866</v>
      </c>
      <c r="F17" s="86" t="s">
        <v>91</v>
      </c>
      <c r="G17" s="86" t="s">
        <v>145</v>
      </c>
      <c r="H17" s="86">
        <v>10001035</v>
      </c>
      <c r="I17" s="86" t="s">
        <v>90</v>
      </c>
      <c r="J17" s="86">
        <v>1680000713356</v>
      </c>
      <c r="K17" s="86" t="s">
        <v>54</v>
      </c>
      <c r="L17" s="86" t="s">
        <v>146</v>
      </c>
      <c r="M17" s="173">
        <f>IF(G17="","",ABS(SUMIFS('System(MB51)'!$K:$K,'System(MB51)'!$L:$L,'Checking(ZSERIALS)'!$J17,'System(MB51)'!$O:$O,'Checking(ZSERIALS)'!$L17,'System(MB51)'!$A:$A,'Checking(ZSERIALS)'!M$3)))</f>
        <v>0</v>
      </c>
      <c r="N17" s="173">
        <f>IF(H17="","",ABS(SUMIFS('System(MB51)'!$K:$K,'System(MB51)'!$L:$L,'Checking(ZSERIALS)'!$J17,'System(MB51)'!$O:$O,'Checking(ZSERIALS)'!$L17,'System(MB51)'!$A:$A,'Checking(ZSERIALS)'!N$3)))</f>
        <v>2</v>
      </c>
      <c r="O17" s="173">
        <f>IF(I17="","",ABS(SUMIFS('System(MB51)'!$K:$K,'System(MB51)'!$L:$L,'Checking(ZSERIALS)'!$J17,'System(MB51)'!$O:$O,'Checking(ZSERIALS)'!$L17,'System(MB51)'!$A:$A,'Checking(ZSERIALS)'!O$3)))</f>
        <v>0</v>
      </c>
      <c r="P17" s="173">
        <f>IF(J17="","",ABS(SUMIFS('System(MB51)'!$K:$K,'System(MB51)'!$L:$L,'Checking(ZSERIALS)'!$J17,'System(MB51)'!$O:$O,'Checking(ZSERIALS)'!$L17,'System(MB51)'!$A:$A,'Checking(ZSERIALS)'!P$3)))</f>
        <v>1</v>
      </c>
      <c r="Q17" s="173">
        <f>IF(K17="","",ABS(SUMIFS('System(MB51)'!$K:$K,'System(MB51)'!$L:$L,'Checking(ZSERIALS)'!$J17,'System(MB51)'!$O:$O,'Checking(ZSERIALS)'!$L17,'System(MB51)'!$A:$A,'Checking(ZSERIALS)'!Q$3)))</f>
        <v>0</v>
      </c>
      <c r="R17" s="173">
        <f>IF(L17="","",ABS(SUMIFS('System(MB51)'!$K:$K,'System(MB51)'!$L:$L,'Checking(ZSERIALS)'!$J17,'System(MB51)'!$O:$O,'Checking(ZSERIALS)'!$L17,'System(MB51)'!$A:$A,'Checking(ZSERIALS)'!R$3)))</f>
        <v>0</v>
      </c>
      <c r="S17" s="173">
        <f>IF(M17="","",ABS(SUMIFS('System(MB51)'!$K:$K,'System(MB51)'!$L:$L,'Checking(ZSERIALS)'!$J17,'System(MB51)'!$O:$O,'Checking(ZSERIALS)'!$L17,'System(MB51)'!$A:$A,'Checking(ZSERIALS)'!S$3)))</f>
        <v>15</v>
      </c>
      <c r="T17" s="173">
        <f>IF(N17="","",ABS(SUMIFS('System(MB51)'!$K:$K,'System(MB51)'!$L:$L,'Checking(ZSERIALS)'!$J17,'System(MB51)'!$O:$O,'Checking(ZSERIALS)'!$L17,'System(MB51)'!$A:$A,'Checking(ZSERIALS)'!T$3)))</f>
        <v>1</v>
      </c>
      <c r="U17" s="173">
        <f>IF(O17="","",ABS(SUMIFS('System(MB51)'!$K:$K,'System(MB51)'!$L:$L,'Checking(ZSERIALS)'!$J17,'System(MB51)'!$O:$O,'Checking(ZSERIALS)'!$L17,'System(MB51)'!$A:$A,'Checking(ZSERIALS)'!U$3)))</f>
        <v>8</v>
      </c>
      <c r="V17" s="165"/>
      <c r="W17" s="173">
        <f>IF($G17="","",INDEX(MLR!$1:$1048576,MATCH($G17,MLR!$J:$J,0),MATCH(W$3,MLR!$1:$1,0)))</f>
        <v>322</v>
      </c>
      <c r="X17" s="173">
        <f>IF($G17="","",INDEX(MLR!$1:$1048576,MATCH($G17,MLR!$J:$J,0),MATCH(X$3,MLR!$1:$1,0)))</f>
        <v>2</v>
      </c>
      <c r="Y17" s="173">
        <f>IF($G17="","",INDEX(MLR!$1:$1048576,MATCH($G17,MLR!$J:$J,0),MATCH(Y$3,MLR!$1:$1,0)))</f>
        <v>12</v>
      </c>
      <c r="Z17" s="173">
        <f>IF($G17="","",INDEX(MLR!$1:$1048576,MATCH($G17,MLR!$J:$J,0),MATCH(Z$3,MLR!$1:$1,0)))</f>
        <v>1</v>
      </c>
      <c r="AA17" s="173">
        <f>IF($G17="","",INDEX(MLR!$1:$1048576,MATCH($G17,MLR!$J:$J,0),MATCH(AA$3,MLR!$1:$1,0)))</f>
        <v>0</v>
      </c>
      <c r="AB17" s="173">
        <f>IF($G17="","",INDEX(MLR!$1:$1048576,MATCH($G17,MLR!$J:$J,0),MATCH(AB$3,MLR!$1:$1,0)))</f>
        <v>0</v>
      </c>
      <c r="AC17" s="173">
        <f>IF($G17="","",INDEX(MLR!$1:$1048576,MATCH($G17,MLR!$J:$J,0),MATCH(AC$3,MLR!$1:$1,0)))</f>
        <v>15</v>
      </c>
      <c r="AD17" s="173">
        <f>IF($G17="","",INDEX(MLR!$1:$1048576,MATCH($G17,MLR!$J:$J,0),MATCH(AD$3,MLR!$1:$1,0)))</f>
        <v>1</v>
      </c>
      <c r="AE17" s="173">
        <f>IF($G17="","",INDEX(MLR!$1:$1048576,MATCH($G17,MLR!$J:$J,0),MATCH(AE$3,MLR!$1:$1,0)))</f>
        <v>8</v>
      </c>
      <c r="AF17" s="174" t="str">
        <f>IF(G17="","",IFERROR(IF(MATCH($G17,MLR!$J:$J,0)&gt;0,"Installed","Not Found"),"Not Found"))</f>
        <v>Installed</v>
      </c>
      <c r="AG17" s="165"/>
      <c r="AH17" s="175" t="str">
        <f t="shared" si="0"/>
        <v>Short</v>
      </c>
      <c r="AI17" s="175" t="str">
        <f t="shared" si="1"/>
        <v>Correct</v>
      </c>
      <c r="AJ17" s="175" t="str">
        <f t="shared" si="2"/>
        <v>Short</v>
      </c>
      <c r="AK17" s="175" t="str">
        <f t="shared" si="3"/>
        <v>Correct</v>
      </c>
      <c r="AL17" s="175" t="str">
        <f t="shared" si="4"/>
        <v>Correct</v>
      </c>
      <c r="AM17" s="175" t="str">
        <f t="shared" si="5"/>
        <v>Correct</v>
      </c>
      <c r="AN17" s="175" t="str">
        <f t="shared" si="6"/>
        <v>Correct</v>
      </c>
      <c r="AO17" s="175" t="str">
        <f t="shared" si="7"/>
        <v>Correct</v>
      </c>
      <c r="AP17" s="175" t="str">
        <f t="shared" si="8"/>
        <v>Correct</v>
      </c>
      <c r="AQ17" s="165"/>
      <c r="AR17" s="173">
        <f t="shared" si="20"/>
        <v>-322</v>
      </c>
      <c r="AS17" s="173">
        <f t="shared" si="21"/>
        <v>0</v>
      </c>
      <c r="AT17" s="173">
        <f t="shared" si="22"/>
        <v>-12</v>
      </c>
      <c r="AU17" s="173">
        <f t="shared" si="23"/>
        <v>0</v>
      </c>
      <c r="AV17" s="173">
        <f t="shared" si="24"/>
        <v>0</v>
      </c>
      <c r="AW17" s="173">
        <f t="shared" si="25"/>
        <v>0</v>
      </c>
      <c r="AX17" s="173">
        <f t="shared" si="26"/>
        <v>0</v>
      </c>
      <c r="AY17" s="173">
        <f t="shared" si="27"/>
        <v>0</v>
      </c>
      <c r="AZ17" s="173">
        <f t="shared" si="28"/>
        <v>0</v>
      </c>
      <c r="BA17" s="165"/>
      <c r="BB17" s="174" t="str">
        <f t="shared" si="19"/>
        <v>With Variance</v>
      </c>
    </row>
    <row r="18" spans="1:54" s="36" customFormat="1" ht="13.8" x14ac:dyDescent="0.3">
      <c r="A18" s="128" t="str">
        <f>_xlfn.XLOOKUP(B18,'Cuttof Mapping'!A:A,'Cuttof Mapping'!D:D)</f>
        <v>2023 Dec 2nd</v>
      </c>
      <c r="B18" s="133">
        <v>45297</v>
      </c>
      <c r="C18" s="86" t="s">
        <v>147</v>
      </c>
      <c r="D18" s="79" t="s">
        <v>63</v>
      </c>
      <c r="E18" s="86">
        <v>4500866</v>
      </c>
      <c r="F18" s="86" t="s">
        <v>91</v>
      </c>
      <c r="G18" s="86" t="s">
        <v>148</v>
      </c>
      <c r="H18" s="86">
        <v>10001035</v>
      </c>
      <c r="I18" s="86" t="s">
        <v>90</v>
      </c>
      <c r="J18" s="86">
        <v>1680000714783</v>
      </c>
      <c r="K18" s="86" t="s">
        <v>54</v>
      </c>
      <c r="L18" s="86" t="s">
        <v>149</v>
      </c>
      <c r="M18" s="173">
        <f>IF(G18="","",ABS(SUMIFS('System(MB51)'!$K:$K,'System(MB51)'!$L:$L,'Checking(ZSERIALS)'!$J18,'System(MB51)'!$O:$O,'Checking(ZSERIALS)'!$L18,'System(MB51)'!$A:$A,'Checking(ZSERIALS)'!M$3)))</f>
        <v>0</v>
      </c>
      <c r="N18" s="173">
        <f>IF(H18="","",ABS(SUMIFS('System(MB51)'!$K:$K,'System(MB51)'!$L:$L,'Checking(ZSERIALS)'!$J18,'System(MB51)'!$O:$O,'Checking(ZSERIALS)'!$L18,'System(MB51)'!$A:$A,'Checking(ZSERIALS)'!N$3)))</f>
        <v>2</v>
      </c>
      <c r="O18" s="173">
        <f>IF(I18="","",ABS(SUMIFS('System(MB51)'!$K:$K,'System(MB51)'!$L:$L,'Checking(ZSERIALS)'!$J18,'System(MB51)'!$O:$O,'Checking(ZSERIALS)'!$L18,'System(MB51)'!$A:$A,'Checking(ZSERIALS)'!O$3)))</f>
        <v>0</v>
      </c>
      <c r="P18" s="173">
        <f>IF(J18="","",ABS(SUMIFS('System(MB51)'!$K:$K,'System(MB51)'!$L:$L,'Checking(ZSERIALS)'!$J18,'System(MB51)'!$O:$O,'Checking(ZSERIALS)'!$L18,'System(MB51)'!$A:$A,'Checking(ZSERIALS)'!P$3)))</f>
        <v>1</v>
      </c>
      <c r="Q18" s="173">
        <f>IF(K18="","",ABS(SUMIFS('System(MB51)'!$K:$K,'System(MB51)'!$L:$L,'Checking(ZSERIALS)'!$J18,'System(MB51)'!$O:$O,'Checking(ZSERIALS)'!$L18,'System(MB51)'!$A:$A,'Checking(ZSERIALS)'!Q$3)))</f>
        <v>0</v>
      </c>
      <c r="R18" s="173">
        <f>IF(L18="","",ABS(SUMIFS('System(MB51)'!$K:$K,'System(MB51)'!$L:$L,'Checking(ZSERIALS)'!$J18,'System(MB51)'!$O:$O,'Checking(ZSERIALS)'!$L18,'System(MB51)'!$A:$A,'Checking(ZSERIALS)'!R$3)))</f>
        <v>0</v>
      </c>
      <c r="S18" s="173">
        <f>IF(M18="","",ABS(SUMIFS('System(MB51)'!$K:$K,'System(MB51)'!$L:$L,'Checking(ZSERIALS)'!$J18,'System(MB51)'!$O:$O,'Checking(ZSERIALS)'!$L18,'System(MB51)'!$A:$A,'Checking(ZSERIALS)'!S$3)))</f>
        <v>5</v>
      </c>
      <c r="T18" s="173">
        <f>IF(N18="","",ABS(SUMIFS('System(MB51)'!$K:$K,'System(MB51)'!$L:$L,'Checking(ZSERIALS)'!$J18,'System(MB51)'!$O:$O,'Checking(ZSERIALS)'!$L18,'System(MB51)'!$A:$A,'Checking(ZSERIALS)'!T$3)))</f>
        <v>1</v>
      </c>
      <c r="U18" s="173">
        <f>IF(O18="","",ABS(SUMIFS('System(MB51)'!$K:$K,'System(MB51)'!$L:$L,'Checking(ZSERIALS)'!$J18,'System(MB51)'!$O:$O,'Checking(ZSERIALS)'!$L18,'System(MB51)'!$A:$A,'Checking(ZSERIALS)'!U$3)))</f>
        <v>0</v>
      </c>
      <c r="V18" s="165"/>
      <c r="W18" s="173">
        <f>IF($G18="","",INDEX(MLR!$1:$1048576,MATCH($G18,MLR!$J:$J,0),MATCH(W$3,MLR!$1:$1,0)))</f>
        <v>163</v>
      </c>
      <c r="X18" s="173">
        <f>IF($G18="","",INDEX(MLR!$1:$1048576,MATCH($G18,MLR!$J:$J,0),MATCH(X$3,MLR!$1:$1,0)))</f>
        <v>2</v>
      </c>
      <c r="Y18" s="173">
        <f>IF($G18="","",INDEX(MLR!$1:$1048576,MATCH($G18,MLR!$J:$J,0),MATCH(Y$3,MLR!$1:$1,0)))</f>
        <v>10</v>
      </c>
      <c r="Z18" s="173">
        <f>IF($G18="","",INDEX(MLR!$1:$1048576,MATCH($G18,MLR!$J:$J,0),MATCH(Z$3,MLR!$1:$1,0)))</f>
        <v>1</v>
      </c>
      <c r="AA18" s="173">
        <f>IF($G18="","",INDEX(MLR!$1:$1048576,MATCH($G18,MLR!$J:$J,0),MATCH(AA$3,MLR!$1:$1,0)))</f>
        <v>0</v>
      </c>
      <c r="AB18" s="173">
        <f>IF($G18="","",INDEX(MLR!$1:$1048576,MATCH($G18,MLR!$J:$J,0),MATCH(AB$3,MLR!$1:$1,0)))</f>
        <v>0</v>
      </c>
      <c r="AC18" s="173">
        <f>IF($G18="","",INDEX(MLR!$1:$1048576,MATCH($G18,MLR!$J:$J,0),MATCH(AC$3,MLR!$1:$1,0)))</f>
        <v>5</v>
      </c>
      <c r="AD18" s="173">
        <f>IF($G18="","",INDEX(MLR!$1:$1048576,MATCH($G18,MLR!$J:$J,0),MATCH(AD$3,MLR!$1:$1,0)))</f>
        <v>1</v>
      </c>
      <c r="AE18" s="173">
        <f>IF($G18="","",INDEX(MLR!$1:$1048576,MATCH($G18,MLR!$J:$J,0),MATCH(AE$3,MLR!$1:$1,0)))</f>
        <v>10</v>
      </c>
      <c r="AF18" s="174" t="str">
        <f>IF(G18="","",IFERROR(IF(MATCH($G18,MLR!$J:$J,0)&gt;0,"Installed","Not Found"),"Not Found"))</f>
        <v>Installed</v>
      </c>
      <c r="AG18" s="165"/>
      <c r="AH18" s="175" t="str">
        <f t="shared" si="0"/>
        <v>Short</v>
      </c>
      <c r="AI18" s="175" t="str">
        <f t="shared" si="1"/>
        <v>Correct</v>
      </c>
      <c r="AJ18" s="175" t="str">
        <f t="shared" si="2"/>
        <v>Short</v>
      </c>
      <c r="AK18" s="175" t="str">
        <f t="shared" si="3"/>
        <v>Correct</v>
      </c>
      <c r="AL18" s="175" t="str">
        <f t="shared" si="4"/>
        <v>Correct</v>
      </c>
      <c r="AM18" s="175" t="str">
        <f t="shared" si="5"/>
        <v>Correct</v>
      </c>
      <c r="AN18" s="175" t="str">
        <f t="shared" si="6"/>
        <v>Correct</v>
      </c>
      <c r="AO18" s="175" t="str">
        <f t="shared" si="7"/>
        <v>Correct</v>
      </c>
      <c r="AP18" s="175" t="str">
        <f t="shared" si="8"/>
        <v>Short</v>
      </c>
      <c r="AQ18" s="165"/>
      <c r="AR18" s="173">
        <f t="shared" si="20"/>
        <v>-163</v>
      </c>
      <c r="AS18" s="173">
        <f t="shared" si="21"/>
        <v>0</v>
      </c>
      <c r="AT18" s="173">
        <f t="shared" si="22"/>
        <v>-10</v>
      </c>
      <c r="AU18" s="173">
        <f t="shared" si="23"/>
        <v>0</v>
      </c>
      <c r="AV18" s="173">
        <f t="shared" si="24"/>
        <v>0</v>
      </c>
      <c r="AW18" s="173">
        <f t="shared" si="25"/>
        <v>0</v>
      </c>
      <c r="AX18" s="173">
        <f t="shared" si="26"/>
        <v>0</v>
      </c>
      <c r="AY18" s="173">
        <f t="shared" si="27"/>
        <v>0</v>
      </c>
      <c r="AZ18" s="173">
        <f t="shared" si="28"/>
        <v>-10</v>
      </c>
      <c r="BA18" s="165"/>
      <c r="BB18" s="174" t="str">
        <f t="shared" si="19"/>
        <v>With Variance</v>
      </c>
    </row>
    <row r="19" spans="1:54" s="36" customFormat="1" ht="13.8" x14ac:dyDescent="0.3">
      <c r="A19" s="128" t="str">
        <f>_xlfn.XLOOKUP(B19,'Cuttof Mapping'!A:A,'Cuttof Mapping'!D:D)</f>
        <v>2023 Dec 2nd</v>
      </c>
      <c r="B19" s="133">
        <v>45297</v>
      </c>
      <c r="C19" s="86" t="s">
        <v>150</v>
      </c>
      <c r="D19" s="79" t="s">
        <v>63</v>
      </c>
      <c r="E19" s="86">
        <v>4500866</v>
      </c>
      <c r="F19" s="86" t="s">
        <v>91</v>
      </c>
      <c r="G19" s="86" t="s">
        <v>151</v>
      </c>
      <c r="H19" s="86">
        <v>10001035</v>
      </c>
      <c r="I19" s="86" t="s">
        <v>90</v>
      </c>
      <c r="J19" s="86">
        <v>1680000699851</v>
      </c>
      <c r="K19" s="86" t="s">
        <v>54</v>
      </c>
      <c r="L19" s="86" t="s">
        <v>152</v>
      </c>
      <c r="M19" s="173">
        <f>IF(G19="","",ABS(SUMIFS('System(MB51)'!$K:$K,'System(MB51)'!$L:$L,'Checking(ZSERIALS)'!$J19,'System(MB51)'!$O:$O,'Checking(ZSERIALS)'!$L19,'System(MB51)'!$A:$A,'Checking(ZSERIALS)'!M$3)))</f>
        <v>0</v>
      </c>
      <c r="N19" s="173">
        <f>IF(H19="","",ABS(SUMIFS('System(MB51)'!$K:$K,'System(MB51)'!$L:$L,'Checking(ZSERIALS)'!$J19,'System(MB51)'!$O:$O,'Checking(ZSERIALS)'!$L19,'System(MB51)'!$A:$A,'Checking(ZSERIALS)'!N$3)))</f>
        <v>0</v>
      </c>
      <c r="O19" s="173">
        <f>IF(I19="","",ABS(SUMIFS('System(MB51)'!$K:$K,'System(MB51)'!$L:$L,'Checking(ZSERIALS)'!$J19,'System(MB51)'!$O:$O,'Checking(ZSERIALS)'!$L19,'System(MB51)'!$A:$A,'Checking(ZSERIALS)'!O$3)))</f>
        <v>0</v>
      </c>
      <c r="P19" s="173">
        <f>IF(J19="","",ABS(SUMIFS('System(MB51)'!$K:$K,'System(MB51)'!$L:$L,'Checking(ZSERIALS)'!$J19,'System(MB51)'!$O:$O,'Checking(ZSERIALS)'!$L19,'System(MB51)'!$A:$A,'Checking(ZSERIALS)'!P$3)))</f>
        <v>0</v>
      </c>
      <c r="Q19" s="173">
        <f>IF(K19="","",ABS(SUMIFS('System(MB51)'!$K:$K,'System(MB51)'!$L:$L,'Checking(ZSERIALS)'!$J19,'System(MB51)'!$O:$O,'Checking(ZSERIALS)'!$L19,'System(MB51)'!$A:$A,'Checking(ZSERIALS)'!Q$3)))</f>
        <v>0</v>
      </c>
      <c r="R19" s="173">
        <f>IF(L19="","",ABS(SUMIFS('System(MB51)'!$K:$K,'System(MB51)'!$L:$L,'Checking(ZSERIALS)'!$J19,'System(MB51)'!$O:$O,'Checking(ZSERIALS)'!$L19,'System(MB51)'!$A:$A,'Checking(ZSERIALS)'!R$3)))</f>
        <v>0</v>
      </c>
      <c r="S19" s="173">
        <f>IF(M19="","",ABS(SUMIFS('System(MB51)'!$K:$K,'System(MB51)'!$L:$L,'Checking(ZSERIALS)'!$J19,'System(MB51)'!$O:$O,'Checking(ZSERIALS)'!$L19,'System(MB51)'!$A:$A,'Checking(ZSERIALS)'!S$3)))</f>
        <v>0</v>
      </c>
      <c r="T19" s="173">
        <f>IF(N19="","",ABS(SUMIFS('System(MB51)'!$K:$K,'System(MB51)'!$L:$L,'Checking(ZSERIALS)'!$J19,'System(MB51)'!$O:$O,'Checking(ZSERIALS)'!$L19,'System(MB51)'!$A:$A,'Checking(ZSERIALS)'!T$3)))</f>
        <v>1</v>
      </c>
      <c r="U19" s="173">
        <f>IF(O19="","",ABS(SUMIFS('System(MB51)'!$K:$K,'System(MB51)'!$L:$L,'Checking(ZSERIALS)'!$J19,'System(MB51)'!$O:$O,'Checking(ZSERIALS)'!$L19,'System(MB51)'!$A:$A,'Checking(ZSERIALS)'!U$3)))</f>
        <v>0</v>
      </c>
      <c r="V19" s="165"/>
      <c r="W19" s="173">
        <f>IF($G19="","",INDEX(MLR!$1:$1048576,MATCH($G19,MLR!$J:$J,0),MATCH(W$3,MLR!$1:$1,0)))</f>
        <v>212</v>
      </c>
      <c r="X19" s="173">
        <f>IF($G19="","",INDEX(MLR!$1:$1048576,MATCH($G19,MLR!$J:$J,0),MATCH(X$3,MLR!$1:$1,0)))</f>
        <v>2</v>
      </c>
      <c r="Y19" s="173">
        <f>IF($G19="","",INDEX(MLR!$1:$1048576,MATCH($G19,MLR!$J:$J,0),MATCH(Y$3,MLR!$1:$1,0)))</f>
        <v>8</v>
      </c>
      <c r="Z19" s="173">
        <f>IF($G19="","",INDEX(MLR!$1:$1048576,MATCH($G19,MLR!$J:$J,0),MATCH(Z$3,MLR!$1:$1,0)))</f>
        <v>1</v>
      </c>
      <c r="AA19" s="173">
        <f>IF($G19="","",INDEX(MLR!$1:$1048576,MATCH($G19,MLR!$J:$J,0),MATCH(AA$3,MLR!$1:$1,0)))</f>
        <v>0</v>
      </c>
      <c r="AB19" s="173">
        <f>IF($G19="","",INDEX(MLR!$1:$1048576,MATCH($G19,MLR!$J:$J,0),MATCH(AB$3,MLR!$1:$1,0)))</f>
        <v>0</v>
      </c>
      <c r="AC19" s="173">
        <f>IF($G19="","",INDEX(MLR!$1:$1048576,MATCH($G19,MLR!$J:$J,0),MATCH(AC$3,MLR!$1:$1,0)))</f>
        <v>10</v>
      </c>
      <c r="AD19" s="173">
        <f>IF($G19="","",INDEX(MLR!$1:$1048576,MATCH($G19,MLR!$J:$J,0),MATCH(AD$3,MLR!$1:$1,0)))</f>
        <v>1</v>
      </c>
      <c r="AE19" s="173">
        <f>IF($G19="","",INDEX(MLR!$1:$1048576,MATCH($G19,MLR!$J:$J,0),MATCH(AE$3,MLR!$1:$1,0)))</f>
        <v>8</v>
      </c>
      <c r="AF19" s="174" t="str">
        <f>IF(G19="","",IFERROR(IF(MATCH($G19,MLR!$J:$J,0)&gt;0,"Installed","Not Found"),"Not Found"))</f>
        <v>Installed</v>
      </c>
      <c r="AG19" s="165"/>
      <c r="AH19" s="175" t="str">
        <f t="shared" si="0"/>
        <v>Short</v>
      </c>
      <c r="AI19" s="175" t="str">
        <f t="shared" si="1"/>
        <v>Short</v>
      </c>
      <c r="AJ19" s="175" t="str">
        <f t="shared" si="2"/>
        <v>Short</v>
      </c>
      <c r="AK19" s="175" t="str">
        <f t="shared" si="3"/>
        <v>Short</v>
      </c>
      <c r="AL19" s="175" t="str">
        <f t="shared" si="4"/>
        <v>Correct</v>
      </c>
      <c r="AM19" s="175" t="str">
        <f t="shared" si="5"/>
        <v>Correct</v>
      </c>
      <c r="AN19" s="175" t="str">
        <f t="shared" si="6"/>
        <v>Short</v>
      </c>
      <c r="AO19" s="175" t="str">
        <f t="shared" si="7"/>
        <v>Correct</v>
      </c>
      <c r="AP19" s="175" t="str">
        <f t="shared" si="8"/>
        <v>Short</v>
      </c>
      <c r="AQ19" s="165"/>
      <c r="AR19" s="173">
        <f t="shared" si="20"/>
        <v>-212</v>
      </c>
      <c r="AS19" s="173">
        <f t="shared" si="21"/>
        <v>-2</v>
      </c>
      <c r="AT19" s="173">
        <f t="shared" si="22"/>
        <v>-8</v>
      </c>
      <c r="AU19" s="173">
        <f t="shared" si="23"/>
        <v>-1</v>
      </c>
      <c r="AV19" s="173">
        <f t="shared" si="24"/>
        <v>0</v>
      </c>
      <c r="AW19" s="173">
        <f t="shared" si="25"/>
        <v>0</v>
      </c>
      <c r="AX19" s="173">
        <f t="shared" si="26"/>
        <v>-10</v>
      </c>
      <c r="AY19" s="173">
        <f t="shared" si="27"/>
        <v>0</v>
      </c>
      <c r="AZ19" s="173">
        <f t="shared" si="28"/>
        <v>-8</v>
      </c>
      <c r="BA19" s="165"/>
      <c r="BB19" s="174" t="str">
        <f t="shared" si="19"/>
        <v>With Variance</v>
      </c>
    </row>
    <row r="20" spans="1:54" s="36" customFormat="1" ht="13.8" x14ac:dyDescent="0.3">
      <c r="A20" s="128" t="str">
        <f>_xlfn.XLOOKUP(B20,'Cuttof Mapping'!A:A,'Cuttof Mapping'!D:D)</f>
        <v>2023 Dec 2nd</v>
      </c>
      <c r="B20" s="133">
        <v>45297</v>
      </c>
      <c r="C20" s="86" t="s">
        <v>153</v>
      </c>
      <c r="D20" s="79" t="s">
        <v>63</v>
      </c>
      <c r="E20" s="86">
        <v>4500866</v>
      </c>
      <c r="F20" s="86" t="s">
        <v>91</v>
      </c>
      <c r="G20" s="86" t="s">
        <v>154</v>
      </c>
      <c r="H20" s="86">
        <v>10001035</v>
      </c>
      <c r="I20" s="86" t="s">
        <v>90</v>
      </c>
      <c r="J20" s="86">
        <v>1680000696855</v>
      </c>
      <c r="K20" s="86" t="s">
        <v>54</v>
      </c>
      <c r="L20" s="86" t="s">
        <v>155</v>
      </c>
      <c r="M20" s="173">
        <f>IF(G20="","",ABS(SUMIFS('System(MB51)'!$K:$K,'System(MB51)'!$L:$L,'Checking(ZSERIALS)'!$J20,'System(MB51)'!$O:$O,'Checking(ZSERIALS)'!$L20,'System(MB51)'!$A:$A,'Checking(ZSERIALS)'!M$3)))</f>
        <v>0</v>
      </c>
      <c r="N20" s="173">
        <f>IF(H20="","",ABS(SUMIFS('System(MB51)'!$K:$K,'System(MB51)'!$L:$L,'Checking(ZSERIALS)'!$J20,'System(MB51)'!$O:$O,'Checking(ZSERIALS)'!$L20,'System(MB51)'!$A:$A,'Checking(ZSERIALS)'!N$3)))</f>
        <v>0</v>
      </c>
      <c r="O20" s="173">
        <f>IF(I20="","",ABS(SUMIFS('System(MB51)'!$K:$K,'System(MB51)'!$L:$L,'Checking(ZSERIALS)'!$J20,'System(MB51)'!$O:$O,'Checking(ZSERIALS)'!$L20,'System(MB51)'!$A:$A,'Checking(ZSERIALS)'!O$3)))</f>
        <v>0</v>
      </c>
      <c r="P20" s="173">
        <f>IF(J20="","",ABS(SUMIFS('System(MB51)'!$K:$K,'System(MB51)'!$L:$L,'Checking(ZSERIALS)'!$J20,'System(MB51)'!$O:$O,'Checking(ZSERIALS)'!$L20,'System(MB51)'!$A:$A,'Checking(ZSERIALS)'!P$3)))</f>
        <v>0</v>
      </c>
      <c r="Q20" s="173">
        <f>IF(K20="","",ABS(SUMIFS('System(MB51)'!$K:$K,'System(MB51)'!$L:$L,'Checking(ZSERIALS)'!$J20,'System(MB51)'!$O:$O,'Checking(ZSERIALS)'!$L20,'System(MB51)'!$A:$A,'Checking(ZSERIALS)'!Q$3)))</f>
        <v>0</v>
      </c>
      <c r="R20" s="173">
        <f>IF(L20="","",ABS(SUMIFS('System(MB51)'!$K:$K,'System(MB51)'!$L:$L,'Checking(ZSERIALS)'!$J20,'System(MB51)'!$O:$O,'Checking(ZSERIALS)'!$L20,'System(MB51)'!$A:$A,'Checking(ZSERIALS)'!R$3)))</f>
        <v>0</v>
      </c>
      <c r="S20" s="173">
        <f>IF(M20="","",ABS(SUMIFS('System(MB51)'!$K:$K,'System(MB51)'!$L:$L,'Checking(ZSERIALS)'!$J20,'System(MB51)'!$O:$O,'Checking(ZSERIALS)'!$L20,'System(MB51)'!$A:$A,'Checking(ZSERIALS)'!S$3)))</f>
        <v>0</v>
      </c>
      <c r="T20" s="173">
        <f>IF(N20="","",ABS(SUMIFS('System(MB51)'!$K:$K,'System(MB51)'!$L:$L,'Checking(ZSERIALS)'!$J20,'System(MB51)'!$O:$O,'Checking(ZSERIALS)'!$L20,'System(MB51)'!$A:$A,'Checking(ZSERIALS)'!T$3)))</f>
        <v>1</v>
      </c>
      <c r="U20" s="173">
        <f>IF(O20="","",ABS(SUMIFS('System(MB51)'!$K:$K,'System(MB51)'!$L:$L,'Checking(ZSERIALS)'!$J20,'System(MB51)'!$O:$O,'Checking(ZSERIALS)'!$L20,'System(MB51)'!$A:$A,'Checking(ZSERIALS)'!U$3)))</f>
        <v>0</v>
      </c>
      <c r="V20" s="165"/>
      <c r="W20" s="173">
        <f>IF($G20="","",INDEX(MLR!$1:$1048576,MATCH($G20,MLR!$J:$J,0),MATCH(W$3,MLR!$1:$1,0)))</f>
        <v>190</v>
      </c>
      <c r="X20" s="173">
        <f>IF($G20="","",INDEX(MLR!$1:$1048576,MATCH($G20,MLR!$J:$J,0),MATCH(X$3,MLR!$1:$1,0)))</f>
        <v>2</v>
      </c>
      <c r="Y20" s="173">
        <f>IF($G20="","",INDEX(MLR!$1:$1048576,MATCH($G20,MLR!$J:$J,0),MATCH(Y$3,MLR!$1:$1,0)))</f>
        <v>6</v>
      </c>
      <c r="Z20" s="173">
        <f>IF($G20="","",INDEX(MLR!$1:$1048576,MATCH($G20,MLR!$J:$J,0),MATCH(Z$3,MLR!$1:$1,0)))</f>
        <v>1</v>
      </c>
      <c r="AA20" s="173">
        <f>IF($G20="","",INDEX(MLR!$1:$1048576,MATCH($G20,MLR!$J:$J,0),MATCH(AA$3,MLR!$1:$1,0)))</f>
        <v>0</v>
      </c>
      <c r="AB20" s="173">
        <f>IF($G20="","",INDEX(MLR!$1:$1048576,MATCH($G20,MLR!$J:$J,0),MATCH(AB$3,MLR!$1:$1,0)))</f>
        <v>0</v>
      </c>
      <c r="AC20" s="173">
        <f>IF($G20="","",INDEX(MLR!$1:$1048576,MATCH($G20,MLR!$J:$J,0),MATCH(AC$3,MLR!$1:$1,0)))</f>
        <v>10</v>
      </c>
      <c r="AD20" s="173">
        <f>IF($G20="","",INDEX(MLR!$1:$1048576,MATCH($G20,MLR!$J:$J,0),MATCH(AD$3,MLR!$1:$1,0)))</f>
        <v>1</v>
      </c>
      <c r="AE20" s="173">
        <f>IF($G20="","",INDEX(MLR!$1:$1048576,MATCH($G20,MLR!$J:$J,0),MATCH(AE$3,MLR!$1:$1,0)))</f>
        <v>8</v>
      </c>
      <c r="AF20" s="174" t="str">
        <f>IF(G20="","",IFERROR(IF(MATCH($G20,MLR!$J:$J,0)&gt;0,"Installed","Not Found"),"Not Found"))</f>
        <v>Installed</v>
      </c>
      <c r="AG20" s="165"/>
      <c r="AH20" s="175" t="str">
        <f t="shared" si="0"/>
        <v>Short</v>
      </c>
      <c r="AI20" s="175" t="str">
        <f t="shared" si="1"/>
        <v>Short</v>
      </c>
      <c r="AJ20" s="175" t="str">
        <f t="shared" si="2"/>
        <v>Short</v>
      </c>
      <c r="AK20" s="175" t="str">
        <f t="shared" si="3"/>
        <v>Short</v>
      </c>
      <c r="AL20" s="175" t="str">
        <f t="shared" si="4"/>
        <v>Correct</v>
      </c>
      <c r="AM20" s="175" t="str">
        <f t="shared" si="5"/>
        <v>Correct</v>
      </c>
      <c r="AN20" s="175" t="str">
        <f t="shared" si="6"/>
        <v>Short</v>
      </c>
      <c r="AO20" s="175" t="str">
        <f t="shared" si="7"/>
        <v>Correct</v>
      </c>
      <c r="AP20" s="175" t="str">
        <f t="shared" si="8"/>
        <v>Short</v>
      </c>
      <c r="AQ20" s="165"/>
      <c r="AR20" s="173">
        <f t="shared" si="20"/>
        <v>-190</v>
      </c>
      <c r="AS20" s="173">
        <f t="shared" si="21"/>
        <v>-2</v>
      </c>
      <c r="AT20" s="173">
        <f t="shared" si="22"/>
        <v>-6</v>
      </c>
      <c r="AU20" s="173">
        <f t="shared" si="23"/>
        <v>-1</v>
      </c>
      <c r="AV20" s="173">
        <f t="shared" si="24"/>
        <v>0</v>
      </c>
      <c r="AW20" s="173">
        <f t="shared" si="25"/>
        <v>0</v>
      </c>
      <c r="AX20" s="173">
        <f t="shared" si="26"/>
        <v>-10</v>
      </c>
      <c r="AY20" s="173">
        <f t="shared" si="27"/>
        <v>0</v>
      </c>
      <c r="AZ20" s="173">
        <f t="shared" si="28"/>
        <v>-8</v>
      </c>
      <c r="BA20" s="165"/>
      <c r="BB20" s="174" t="str">
        <f t="shared" si="19"/>
        <v>With Variance</v>
      </c>
    </row>
    <row r="21" spans="1:54" s="36" customFormat="1" ht="13.8" x14ac:dyDescent="0.3">
      <c r="A21" s="128" t="str">
        <f>_xlfn.XLOOKUP(B21,'Cuttof Mapping'!A:A,'Cuttof Mapping'!D:D)</f>
        <v>2023 Dec 2nd</v>
      </c>
      <c r="B21" s="133">
        <v>45297</v>
      </c>
      <c r="C21" s="86" t="s">
        <v>156</v>
      </c>
      <c r="D21" s="79" t="s">
        <v>63</v>
      </c>
      <c r="E21" s="86">
        <v>4500866</v>
      </c>
      <c r="F21" s="86" t="s">
        <v>91</v>
      </c>
      <c r="G21" s="86" t="s">
        <v>157</v>
      </c>
      <c r="H21" s="86">
        <v>10001035</v>
      </c>
      <c r="I21" s="86" t="s">
        <v>90</v>
      </c>
      <c r="J21" s="86">
        <v>1680000713879</v>
      </c>
      <c r="K21" s="86" t="s">
        <v>54</v>
      </c>
      <c r="L21" s="86" t="s">
        <v>158</v>
      </c>
      <c r="M21" s="173">
        <f>IF(G21="","",ABS(SUMIFS('System(MB51)'!$K:$K,'System(MB51)'!$L:$L,'Checking(ZSERIALS)'!$J21,'System(MB51)'!$O:$O,'Checking(ZSERIALS)'!$L21,'System(MB51)'!$A:$A,'Checking(ZSERIALS)'!M$3)))</f>
        <v>0</v>
      </c>
      <c r="N21" s="173">
        <f>IF(H21="","",ABS(SUMIFS('System(MB51)'!$K:$K,'System(MB51)'!$L:$L,'Checking(ZSERIALS)'!$J21,'System(MB51)'!$O:$O,'Checking(ZSERIALS)'!$L21,'System(MB51)'!$A:$A,'Checking(ZSERIALS)'!N$3)))</f>
        <v>0</v>
      </c>
      <c r="O21" s="173">
        <f>IF(I21="","",ABS(SUMIFS('System(MB51)'!$K:$K,'System(MB51)'!$L:$L,'Checking(ZSERIALS)'!$J21,'System(MB51)'!$O:$O,'Checking(ZSERIALS)'!$L21,'System(MB51)'!$A:$A,'Checking(ZSERIALS)'!O$3)))</f>
        <v>0</v>
      </c>
      <c r="P21" s="173">
        <f>IF(J21="","",ABS(SUMIFS('System(MB51)'!$K:$K,'System(MB51)'!$L:$L,'Checking(ZSERIALS)'!$J21,'System(MB51)'!$O:$O,'Checking(ZSERIALS)'!$L21,'System(MB51)'!$A:$A,'Checking(ZSERIALS)'!P$3)))</f>
        <v>0</v>
      </c>
      <c r="Q21" s="173">
        <f>IF(K21="","",ABS(SUMIFS('System(MB51)'!$K:$K,'System(MB51)'!$L:$L,'Checking(ZSERIALS)'!$J21,'System(MB51)'!$O:$O,'Checking(ZSERIALS)'!$L21,'System(MB51)'!$A:$A,'Checking(ZSERIALS)'!Q$3)))</f>
        <v>0</v>
      </c>
      <c r="R21" s="173">
        <f>IF(L21="","",ABS(SUMIFS('System(MB51)'!$K:$K,'System(MB51)'!$L:$L,'Checking(ZSERIALS)'!$J21,'System(MB51)'!$O:$O,'Checking(ZSERIALS)'!$L21,'System(MB51)'!$A:$A,'Checking(ZSERIALS)'!R$3)))</f>
        <v>0</v>
      </c>
      <c r="S21" s="173">
        <f>IF(M21="","",ABS(SUMIFS('System(MB51)'!$K:$K,'System(MB51)'!$L:$L,'Checking(ZSERIALS)'!$J21,'System(MB51)'!$O:$O,'Checking(ZSERIALS)'!$L21,'System(MB51)'!$A:$A,'Checking(ZSERIALS)'!S$3)))</f>
        <v>0</v>
      </c>
      <c r="T21" s="173">
        <f>IF(N21="","",ABS(SUMIFS('System(MB51)'!$K:$K,'System(MB51)'!$L:$L,'Checking(ZSERIALS)'!$J21,'System(MB51)'!$O:$O,'Checking(ZSERIALS)'!$L21,'System(MB51)'!$A:$A,'Checking(ZSERIALS)'!T$3)))</f>
        <v>1</v>
      </c>
      <c r="U21" s="173">
        <f>IF(O21="","",ABS(SUMIFS('System(MB51)'!$K:$K,'System(MB51)'!$L:$L,'Checking(ZSERIALS)'!$J21,'System(MB51)'!$O:$O,'Checking(ZSERIALS)'!$L21,'System(MB51)'!$A:$A,'Checking(ZSERIALS)'!U$3)))</f>
        <v>0</v>
      </c>
      <c r="V21" s="165"/>
      <c r="W21" s="173">
        <f>IF($G21="","",INDEX(MLR!$1:$1048576,MATCH($G21,MLR!$J:$J,0),MATCH(W$3,MLR!$1:$1,0)))</f>
        <v>244</v>
      </c>
      <c r="X21" s="173">
        <f>IF($G21="","",INDEX(MLR!$1:$1048576,MATCH($G21,MLR!$J:$J,0),MATCH(X$3,MLR!$1:$1,0)))</f>
        <v>2</v>
      </c>
      <c r="Y21" s="173">
        <f>IF($G21="","",INDEX(MLR!$1:$1048576,MATCH($G21,MLR!$J:$J,0),MATCH(Y$3,MLR!$1:$1,0)))</f>
        <v>6</v>
      </c>
      <c r="Z21" s="173">
        <f>IF($G21="","",INDEX(MLR!$1:$1048576,MATCH($G21,MLR!$J:$J,0),MATCH(Z$3,MLR!$1:$1,0)))</f>
        <v>1</v>
      </c>
      <c r="AA21" s="173">
        <f>IF($G21="","",INDEX(MLR!$1:$1048576,MATCH($G21,MLR!$J:$J,0),MATCH(AA$3,MLR!$1:$1,0)))</f>
        <v>0</v>
      </c>
      <c r="AB21" s="173">
        <f>IF($G21="","",INDEX(MLR!$1:$1048576,MATCH($G21,MLR!$J:$J,0),MATCH(AB$3,MLR!$1:$1,0)))</f>
        <v>0</v>
      </c>
      <c r="AC21" s="173">
        <f>IF($G21="","",INDEX(MLR!$1:$1048576,MATCH($G21,MLR!$J:$J,0),MATCH(AC$3,MLR!$1:$1,0)))</f>
        <v>10</v>
      </c>
      <c r="AD21" s="173">
        <f>IF($G21="","",INDEX(MLR!$1:$1048576,MATCH($G21,MLR!$J:$J,0),MATCH(AD$3,MLR!$1:$1,0)))</f>
        <v>1</v>
      </c>
      <c r="AE21" s="173">
        <f>IF($G21="","",INDEX(MLR!$1:$1048576,MATCH($G21,MLR!$J:$J,0),MATCH(AE$3,MLR!$1:$1,0)))</f>
        <v>10</v>
      </c>
      <c r="AF21" s="174" t="str">
        <f>IF(G21="","",IFERROR(IF(MATCH($G21,MLR!$J:$J,0)&gt;0,"Installed","Not Found"),"Not Found"))</f>
        <v>Installed</v>
      </c>
      <c r="AG21" s="165"/>
      <c r="AH21" s="175" t="str">
        <f t="shared" si="0"/>
        <v>Short</v>
      </c>
      <c r="AI21" s="175" t="str">
        <f t="shared" si="1"/>
        <v>Short</v>
      </c>
      <c r="AJ21" s="175" t="str">
        <f t="shared" si="2"/>
        <v>Short</v>
      </c>
      <c r="AK21" s="175" t="str">
        <f t="shared" si="3"/>
        <v>Short</v>
      </c>
      <c r="AL21" s="175" t="str">
        <f t="shared" si="4"/>
        <v>Correct</v>
      </c>
      <c r="AM21" s="175" t="str">
        <f t="shared" si="5"/>
        <v>Correct</v>
      </c>
      <c r="AN21" s="175" t="str">
        <f t="shared" si="6"/>
        <v>Short</v>
      </c>
      <c r="AO21" s="175" t="str">
        <f t="shared" si="7"/>
        <v>Correct</v>
      </c>
      <c r="AP21" s="175" t="str">
        <f t="shared" si="8"/>
        <v>Short</v>
      </c>
      <c r="AQ21" s="165"/>
      <c r="AR21" s="173">
        <f t="shared" si="20"/>
        <v>-244</v>
      </c>
      <c r="AS21" s="173">
        <f t="shared" si="21"/>
        <v>-2</v>
      </c>
      <c r="AT21" s="173">
        <f t="shared" si="22"/>
        <v>-6</v>
      </c>
      <c r="AU21" s="173">
        <f t="shared" si="23"/>
        <v>-1</v>
      </c>
      <c r="AV21" s="173">
        <f t="shared" si="24"/>
        <v>0</v>
      </c>
      <c r="AW21" s="173">
        <f t="shared" si="25"/>
        <v>0</v>
      </c>
      <c r="AX21" s="173">
        <f t="shared" si="26"/>
        <v>-10</v>
      </c>
      <c r="AY21" s="173">
        <f t="shared" si="27"/>
        <v>0</v>
      </c>
      <c r="AZ21" s="173">
        <f t="shared" si="28"/>
        <v>-10</v>
      </c>
      <c r="BA21" s="165"/>
      <c r="BB21" s="174" t="str">
        <f t="shared" si="19"/>
        <v>With Variance</v>
      </c>
    </row>
    <row r="22" spans="1:54" s="36" customFormat="1" ht="13.8" x14ac:dyDescent="0.3">
      <c r="A22" s="128" t="str">
        <f>_xlfn.XLOOKUP(B22,'Cuttof Mapping'!A:A,'Cuttof Mapping'!D:D)</f>
        <v>2023 Dec 2nd</v>
      </c>
      <c r="B22" s="133">
        <v>45298</v>
      </c>
      <c r="C22" s="86" t="s">
        <v>159</v>
      </c>
      <c r="D22" s="79" t="s">
        <v>63</v>
      </c>
      <c r="E22" s="86">
        <v>4500866</v>
      </c>
      <c r="F22" s="86" t="s">
        <v>91</v>
      </c>
      <c r="G22" s="86" t="s">
        <v>160</v>
      </c>
      <c r="H22" s="86">
        <v>10001035</v>
      </c>
      <c r="I22" s="86" t="s">
        <v>90</v>
      </c>
      <c r="J22" s="86">
        <v>1680000714781</v>
      </c>
      <c r="K22" s="86" t="s">
        <v>54</v>
      </c>
      <c r="L22" s="86" t="s">
        <v>161</v>
      </c>
      <c r="M22" s="173">
        <f>IF(G22="","",ABS(SUMIFS('System(MB51)'!$K:$K,'System(MB51)'!$L:$L,'Checking(ZSERIALS)'!$J22,'System(MB51)'!$O:$O,'Checking(ZSERIALS)'!$L22,'System(MB51)'!$A:$A,'Checking(ZSERIALS)'!M$3)))</f>
        <v>0</v>
      </c>
      <c r="N22" s="173">
        <f>IF(H22="","",ABS(SUMIFS('System(MB51)'!$K:$K,'System(MB51)'!$L:$L,'Checking(ZSERIALS)'!$J22,'System(MB51)'!$O:$O,'Checking(ZSERIALS)'!$L22,'System(MB51)'!$A:$A,'Checking(ZSERIALS)'!N$3)))</f>
        <v>2</v>
      </c>
      <c r="O22" s="173">
        <f>IF(I22="","",ABS(SUMIFS('System(MB51)'!$K:$K,'System(MB51)'!$L:$L,'Checking(ZSERIALS)'!$J22,'System(MB51)'!$O:$O,'Checking(ZSERIALS)'!$L22,'System(MB51)'!$A:$A,'Checking(ZSERIALS)'!O$3)))</f>
        <v>0</v>
      </c>
      <c r="P22" s="173">
        <f>IF(J22="","",ABS(SUMIFS('System(MB51)'!$K:$K,'System(MB51)'!$L:$L,'Checking(ZSERIALS)'!$J22,'System(MB51)'!$O:$O,'Checking(ZSERIALS)'!$L22,'System(MB51)'!$A:$A,'Checking(ZSERIALS)'!P$3)))</f>
        <v>1</v>
      </c>
      <c r="Q22" s="173">
        <f>IF(K22="","",ABS(SUMIFS('System(MB51)'!$K:$K,'System(MB51)'!$L:$L,'Checking(ZSERIALS)'!$J22,'System(MB51)'!$O:$O,'Checking(ZSERIALS)'!$L22,'System(MB51)'!$A:$A,'Checking(ZSERIALS)'!Q$3)))</f>
        <v>0</v>
      </c>
      <c r="R22" s="173">
        <f>IF(L22="","",ABS(SUMIFS('System(MB51)'!$K:$K,'System(MB51)'!$L:$L,'Checking(ZSERIALS)'!$J22,'System(MB51)'!$O:$O,'Checking(ZSERIALS)'!$L22,'System(MB51)'!$A:$A,'Checking(ZSERIALS)'!R$3)))</f>
        <v>0</v>
      </c>
      <c r="S22" s="173">
        <f>IF(M22="","",ABS(SUMIFS('System(MB51)'!$K:$K,'System(MB51)'!$L:$L,'Checking(ZSERIALS)'!$J22,'System(MB51)'!$O:$O,'Checking(ZSERIALS)'!$L22,'System(MB51)'!$A:$A,'Checking(ZSERIALS)'!S$3)))</f>
        <v>6</v>
      </c>
      <c r="T22" s="173">
        <f>IF(N22="","",ABS(SUMIFS('System(MB51)'!$K:$K,'System(MB51)'!$L:$L,'Checking(ZSERIALS)'!$J22,'System(MB51)'!$O:$O,'Checking(ZSERIALS)'!$L22,'System(MB51)'!$A:$A,'Checking(ZSERIALS)'!T$3)))</f>
        <v>1</v>
      </c>
      <c r="U22" s="173">
        <f>IF(O22="","",ABS(SUMIFS('System(MB51)'!$K:$K,'System(MB51)'!$L:$L,'Checking(ZSERIALS)'!$J22,'System(MB51)'!$O:$O,'Checking(ZSERIALS)'!$L22,'System(MB51)'!$A:$A,'Checking(ZSERIALS)'!U$3)))</f>
        <v>8</v>
      </c>
      <c r="V22" s="165"/>
      <c r="W22" s="173">
        <f>IF($G22="","",INDEX(MLR!$1:$1048576,MATCH($G22,MLR!$J:$J,0),MATCH(W$3,MLR!$1:$1,0)))</f>
        <v>97</v>
      </c>
      <c r="X22" s="173">
        <f>IF($G22="","",INDEX(MLR!$1:$1048576,MATCH($G22,MLR!$J:$J,0),MATCH(X$3,MLR!$1:$1,0)))</f>
        <v>2</v>
      </c>
      <c r="Y22" s="173">
        <f>IF($G22="","",INDEX(MLR!$1:$1048576,MATCH($G22,MLR!$J:$J,0),MATCH(Y$3,MLR!$1:$1,0)))</f>
        <v>8</v>
      </c>
      <c r="Z22" s="173">
        <f>IF($G22="","",INDEX(MLR!$1:$1048576,MATCH($G22,MLR!$J:$J,0),MATCH(Z$3,MLR!$1:$1,0)))</f>
        <v>1</v>
      </c>
      <c r="AA22" s="173">
        <f>IF($G22="","",INDEX(MLR!$1:$1048576,MATCH($G22,MLR!$J:$J,0),MATCH(AA$3,MLR!$1:$1,0)))</f>
        <v>0</v>
      </c>
      <c r="AB22" s="173">
        <f>IF($G22="","",INDEX(MLR!$1:$1048576,MATCH($G22,MLR!$J:$J,0),MATCH(AB$3,MLR!$1:$1,0)))</f>
        <v>0</v>
      </c>
      <c r="AC22" s="173">
        <f>IF($G22="","",INDEX(MLR!$1:$1048576,MATCH($G22,MLR!$J:$J,0),MATCH(AC$3,MLR!$1:$1,0)))</f>
        <v>6</v>
      </c>
      <c r="AD22" s="173">
        <f>IF($G22="","",INDEX(MLR!$1:$1048576,MATCH($G22,MLR!$J:$J,0),MATCH(AD$3,MLR!$1:$1,0)))</f>
        <v>1</v>
      </c>
      <c r="AE22" s="173">
        <f>IF($G22="","",INDEX(MLR!$1:$1048576,MATCH($G22,MLR!$J:$J,0),MATCH(AE$3,MLR!$1:$1,0)))</f>
        <v>8</v>
      </c>
      <c r="AF22" s="174" t="str">
        <f>IF(G22="","",IFERROR(IF(MATCH($G22,MLR!$J:$J,0)&gt;0,"Installed","Not Found"),"Not Found"))</f>
        <v>Installed</v>
      </c>
      <c r="AG22" s="165"/>
      <c r="AH22" s="175" t="str">
        <f t="shared" si="0"/>
        <v>Short</v>
      </c>
      <c r="AI22" s="175" t="str">
        <f t="shared" si="1"/>
        <v>Correct</v>
      </c>
      <c r="AJ22" s="175" t="str">
        <f t="shared" si="2"/>
        <v>Short</v>
      </c>
      <c r="AK22" s="175" t="str">
        <f t="shared" si="3"/>
        <v>Correct</v>
      </c>
      <c r="AL22" s="175" t="str">
        <f t="shared" si="4"/>
        <v>Correct</v>
      </c>
      <c r="AM22" s="175" t="str">
        <f t="shared" si="5"/>
        <v>Correct</v>
      </c>
      <c r="AN22" s="175" t="str">
        <f t="shared" si="6"/>
        <v>Correct</v>
      </c>
      <c r="AO22" s="175" t="str">
        <f t="shared" si="7"/>
        <v>Correct</v>
      </c>
      <c r="AP22" s="175" t="str">
        <f t="shared" si="8"/>
        <v>Correct</v>
      </c>
      <c r="AQ22" s="165"/>
      <c r="AR22" s="173">
        <f t="shared" si="20"/>
        <v>-97</v>
      </c>
      <c r="AS22" s="173">
        <f t="shared" si="21"/>
        <v>0</v>
      </c>
      <c r="AT22" s="173">
        <f t="shared" si="22"/>
        <v>-8</v>
      </c>
      <c r="AU22" s="173">
        <f t="shared" si="23"/>
        <v>0</v>
      </c>
      <c r="AV22" s="173">
        <f t="shared" si="24"/>
        <v>0</v>
      </c>
      <c r="AW22" s="173">
        <f t="shared" si="25"/>
        <v>0</v>
      </c>
      <c r="AX22" s="173">
        <f t="shared" si="26"/>
        <v>0</v>
      </c>
      <c r="AY22" s="173">
        <f t="shared" si="27"/>
        <v>0</v>
      </c>
      <c r="AZ22" s="173">
        <f t="shared" si="28"/>
        <v>0</v>
      </c>
      <c r="BA22" s="165"/>
      <c r="BB22" s="174" t="str">
        <f t="shared" si="19"/>
        <v>With Variance</v>
      </c>
    </row>
    <row r="23" spans="1:54" s="36" customFormat="1" ht="13.8" x14ac:dyDescent="0.3">
      <c r="A23" s="128" t="str">
        <f>_xlfn.XLOOKUP(B23,'Cuttof Mapping'!A:A,'Cuttof Mapping'!D:D)</f>
        <v>2023 Dec 2nd</v>
      </c>
      <c r="B23" s="133">
        <v>45298</v>
      </c>
      <c r="C23" s="86" t="s">
        <v>162</v>
      </c>
      <c r="D23" s="79" t="s">
        <v>63</v>
      </c>
      <c r="E23" s="86">
        <v>4500866</v>
      </c>
      <c r="F23" s="86" t="s">
        <v>91</v>
      </c>
      <c r="G23" s="86" t="s">
        <v>163</v>
      </c>
      <c r="H23" s="86">
        <v>10001035</v>
      </c>
      <c r="I23" s="86" t="s">
        <v>90</v>
      </c>
      <c r="J23" s="86">
        <v>1680000718209</v>
      </c>
      <c r="K23" s="86" t="s">
        <v>54</v>
      </c>
      <c r="L23" s="86" t="s">
        <v>164</v>
      </c>
      <c r="M23" s="173">
        <f>IF(G23="","",ABS(SUMIFS('System(MB51)'!$K:$K,'System(MB51)'!$L:$L,'Checking(ZSERIALS)'!$J23,'System(MB51)'!$O:$O,'Checking(ZSERIALS)'!$L23,'System(MB51)'!$A:$A,'Checking(ZSERIALS)'!M$3)))</f>
        <v>0</v>
      </c>
      <c r="N23" s="173">
        <f>IF(H23="","",ABS(SUMIFS('System(MB51)'!$K:$K,'System(MB51)'!$L:$L,'Checking(ZSERIALS)'!$J23,'System(MB51)'!$O:$O,'Checking(ZSERIALS)'!$L23,'System(MB51)'!$A:$A,'Checking(ZSERIALS)'!N$3)))</f>
        <v>0</v>
      </c>
      <c r="O23" s="173">
        <f>IF(I23="","",ABS(SUMIFS('System(MB51)'!$K:$K,'System(MB51)'!$L:$L,'Checking(ZSERIALS)'!$J23,'System(MB51)'!$O:$O,'Checking(ZSERIALS)'!$L23,'System(MB51)'!$A:$A,'Checking(ZSERIALS)'!O$3)))</f>
        <v>0</v>
      </c>
      <c r="P23" s="173">
        <f>IF(J23="","",ABS(SUMIFS('System(MB51)'!$K:$K,'System(MB51)'!$L:$L,'Checking(ZSERIALS)'!$J23,'System(MB51)'!$O:$O,'Checking(ZSERIALS)'!$L23,'System(MB51)'!$A:$A,'Checking(ZSERIALS)'!P$3)))</f>
        <v>0</v>
      </c>
      <c r="Q23" s="173">
        <f>IF(K23="","",ABS(SUMIFS('System(MB51)'!$K:$K,'System(MB51)'!$L:$L,'Checking(ZSERIALS)'!$J23,'System(MB51)'!$O:$O,'Checking(ZSERIALS)'!$L23,'System(MB51)'!$A:$A,'Checking(ZSERIALS)'!Q$3)))</f>
        <v>0</v>
      </c>
      <c r="R23" s="173">
        <f>IF(L23="","",ABS(SUMIFS('System(MB51)'!$K:$K,'System(MB51)'!$L:$L,'Checking(ZSERIALS)'!$J23,'System(MB51)'!$O:$O,'Checking(ZSERIALS)'!$L23,'System(MB51)'!$A:$A,'Checking(ZSERIALS)'!R$3)))</f>
        <v>0</v>
      </c>
      <c r="S23" s="173">
        <f>IF(M23="","",ABS(SUMIFS('System(MB51)'!$K:$K,'System(MB51)'!$L:$L,'Checking(ZSERIALS)'!$J23,'System(MB51)'!$O:$O,'Checking(ZSERIALS)'!$L23,'System(MB51)'!$A:$A,'Checking(ZSERIALS)'!S$3)))</f>
        <v>0</v>
      </c>
      <c r="T23" s="173">
        <f>IF(N23="","",ABS(SUMIFS('System(MB51)'!$K:$K,'System(MB51)'!$L:$L,'Checking(ZSERIALS)'!$J23,'System(MB51)'!$O:$O,'Checking(ZSERIALS)'!$L23,'System(MB51)'!$A:$A,'Checking(ZSERIALS)'!T$3)))</f>
        <v>1</v>
      </c>
      <c r="U23" s="173">
        <f>IF(O23="","",ABS(SUMIFS('System(MB51)'!$K:$K,'System(MB51)'!$L:$L,'Checking(ZSERIALS)'!$J23,'System(MB51)'!$O:$O,'Checking(ZSERIALS)'!$L23,'System(MB51)'!$A:$A,'Checking(ZSERIALS)'!U$3)))</f>
        <v>0</v>
      </c>
      <c r="V23" s="165"/>
      <c r="W23" s="173">
        <f>IF($G23="","",INDEX(MLR!$1:$1048576,MATCH($G23,MLR!$J:$J,0),MATCH(W$3,MLR!$1:$1,0)))</f>
        <v>164</v>
      </c>
      <c r="X23" s="173">
        <f>IF($G23="","",INDEX(MLR!$1:$1048576,MATCH($G23,MLR!$J:$J,0),MATCH(X$3,MLR!$1:$1,0)))</f>
        <v>2</v>
      </c>
      <c r="Y23" s="173">
        <f>IF($G23="","",INDEX(MLR!$1:$1048576,MATCH($G23,MLR!$J:$J,0),MATCH(Y$3,MLR!$1:$1,0)))</f>
        <v>10</v>
      </c>
      <c r="Z23" s="173">
        <f>IF($G23="","",INDEX(MLR!$1:$1048576,MATCH($G23,MLR!$J:$J,0),MATCH(Z$3,MLR!$1:$1,0)))</f>
        <v>1</v>
      </c>
      <c r="AA23" s="173">
        <f>IF($G23="","",INDEX(MLR!$1:$1048576,MATCH($G23,MLR!$J:$J,0),MATCH(AA$3,MLR!$1:$1,0)))</f>
        <v>0</v>
      </c>
      <c r="AB23" s="173">
        <f>IF($G23="","",INDEX(MLR!$1:$1048576,MATCH($G23,MLR!$J:$J,0),MATCH(AB$3,MLR!$1:$1,0)))</f>
        <v>0</v>
      </c>
      <c r="AC23" s="173">
        <f>IF($G23="","",INDEX(MLR!$1:$1048576,MATCH($G23,MLR!$J:$J,0),MATCH(AC$3,MLR!$1:$1,0)))</f>
        <v>10</v>
      </c>
      <c r="AD23" s="173">
        <f>IF($G23="","",INDEX(MLR!$1:$1048576,MATCH($G23,MLR!$J:$J,0),MATCH(AD$3,MLR!$1:$1,0)))</f>
        <v>1</v>
      </c>
      <c r="AE23" s="173">
        <f>IF($G23="","",INDEX(MLR!$1:$1048576,MATCH($G23,MLR!$J:$J,0),MATCH(AE$3,MLR!$1:$1,0)))</f>
        <v>10</v>
      </c>
      <c r="AF23" s="174" t="str">
        <f>IF(G23="","",IFERROR(IF(MATCH($G23,MLR!$J:$J,0)&gt;0,"Installed","Not Found"),"Not Found"))</f>
        <v>Installed</v>
      </c>
      <c r="AG23" s="165"/>
      <c r="AH23" s="175" t="str">
        <f t="shared" si="0"/>
        <v>Short</v>
      </c>
      <c r="AI23" s="175" t="str">
        <f t="shared" si="1"/>
        <v>Short</v>
      </c>
      <c r="AJ23" s="175" t="str">
        <f t="shared" si="2"/>
        <v>Short</v>
      </c>
      <c r="AK23" s="175" t="str">
        <f t="shared" si="3"/>
        <v>Short</v>
      </c>
      <c r="AL23" s="175" t="str">
        <f t="shared" si="4"/>
        <v>Correct</v>
      </c>
      <c r="AM23" s="175" t="str">
        <f t="shared" si="5"/>
        <v>Correct</v>
      </c>
      <c r="AN23" s="175" t="str">
        <f t="shared" si="6"/>
        <v>Short</v>
      </c>
      <c r="AO23" s="175" t="str">
        <f t="shared" si="7"/>
        <v>Correct</v>
      </c>
      <c r="AP23" s="175" t="str">
        <f t="shared" si="8"/>
        <v>Short</v>
      </c>
      <c r="AQ23" s="165"/>
      <c r="AR23" s="173">
        <f t="shared" si="20"/>
        <v>-164</v>
      </c>
      <c r="AS23" s="173">
        <f t="shared" si="21"/>
        <v>-2</v>
      </c>
      <c r="AT23" s="173">
        <f t="shared" si="22"/>
        <v>-10</v>
      </c>
      <c r="AU23" s="173">
        <f t="shared" si="23"/>
        <v>-1</v>
      </c>
      <c r="AV23" s="173">
        <f t="shared" si="24"/>
        <v>0</v>
      </c>
      <c r="AW23" s="173">
        <f t="shared" si="25"/>
        <v>0</v>
      </c>
      <c r="AX23" s="173">
        <f t="shared" si="26"/>
        <v>-10</v>
      </c>
      <c r="AY23" s="173">
        <f t="shared" si="27"/>
        <v>0</v>
      </c>
      <c r="AZ23" s="173">
        <f t="shared" si="28"/>
        <v>-10</v>
      </c>
      <c r="BA23" s="165"/>
      <c r="BB23" s="174" t="str">
        <f t="shared" si="19"/>
        <v>With Variance</v>
      </c>
    </row>
    <row r="24" spans="1:54" s="36" customFormat="1" ht="13.8" x14ac:dyDescent="0.3">
      <c r="A24" s="128" t="str">
        <f>_xlfn.XLOOKUP(B24,'Cuttof Mapping'!A:A,'Cuttof Mapping'!D:D)</f>
        <v>2023 Dec 2nd</v>
      </c>
      <c r="B24" s="133">
        <v>45298</v>
      </c>
      <c r="C24" s="86" t="s">
        <v>165</v>
      </c>
      <c r="D24" s="79" t="s">
        <v>63</v>
      </c>
      <c r="E24" s="86">
        <v>4500866</v>
      </c>
      <c r="F24" s="86" t="s">
        <v>91</v>
      </c>
      <c r="G24" s="86" t="s">
        <v>166</v>
      </c>
      <c r="H24" s="86">
        <v>10001035</v>
      </c>
      <c r="I24" s="86" t="s">
        <v>90</v>
      </c>
      <c r="J24" s="86">
        <v>1680000718039</v>
      </c>
      <c r="K24" s="86" t="s">
        <v>54</v>
      </c>
      <c r="L24" s="86" t="s">
        <v>167</v>
      </c>
      <c r="M24" s="173">
        <f>IF(G24="","",ABS(SUMIFS('System(MB51)'!$K:$K,'System(MB51)'!$L:$L,'Checking(ZSERIALS)'!$J24,'System(MB51)'!$O:$O,'Checking(ZSERIALS)'!$L24,'System(MB51)'!$A:$A,'Checking(ZSERIALS)'!M$3)))</f>
        <v>0</v>
      </c>
      <c r="N24" s="173">
        <f>IF(H24="","",ABS(SUMIFS('System(MB51)'!$K:$K,'System(MB51)'!$L:$L,'Checking(ZSERIALS)'!$J24,'System(MB51)'!$O:$O,'Checking(ZSERIALS)'!$L24,'System(MB51)'!$A:$A,'Checking(ZSERIALS)'!N$3)))</f>
        <v>2</v>
      </c>
      <c r="O24" s="173">
        <f>IF(I24="","",ABS(SUMIFS('System(MB51)'!$K:$K,'System(MB51)'!$L:$L,'Checking(ZSERIALS)'!$J24,'System(MB51)'!$O:$O,'Checking(ZSERIALS)'!$L24,'System(MB51)'!$A:$A,'Checking(ZSERIALS)'!O$3)))</f>
        <v>0</v>
      </c>
      <c r="P24" s="173">
        <f>IF(J24="","",ABS(SUMIFS('System(MB51)'!$K:$K,'System(MB51)'!$L:$L,'Checking(ZSERIALS)'!$J24,'System(MB51)'!$O:$O,'Checking(ZSERIALS)'!$L24,'System(MB51)'!$A:$A,'Checking(ZSERIALS)'!P$3)))</f>
        <v>1</v>
      </c>
      <c r="Q24" s="173">
        <f>IF(K24="","",ABS(SUMIFS('System(MB51)'!$K:$K,'System(MB51)'!$L:$L,'Checking(ZSERIALS)'!$J24,'System(MB51)'!$O:$O,'Checking(ZSERIALS)'!$L24,'System(MB51)'!$A:$A,'Checking(ZSERIALS)'!Q$3)))</f>
        <v>0</v>
      </c>
      <c r="R24" s="173">
        <f>IF(L24="","",ABS(SUMIFS('System(MB51)'!$K:$K,'System(MB51)'!$L:$L,'Checking(ZSERIALS)'!$J24,'System(MB51)'!$O:$O,'Checking(ZSERIALS)'!$L24,'System(MB51)'!$A:$A,'Checking(ZSERIALS)'!R$3)))</f>
        <v>0</v>
      </c>
      <c r="S24" s="173">
        <f>IF(M24="","",ABS(SUMIFS('System(MB51)'!$K:$K,'System(MB51)'!$L:$L,'Checking(ZSERIALS)'!$J24,'System(MB51)'!$O:$O,'Checking(ZSERIALS)'!$L24,'System(MB51)'!$A:$A,'Checking(ZSERIALS)'!S$3)))</f>
        <v>8</v>
      </c>
      <c r="T24" s="173">
        <f>IF(N24="","",ABS(SUMIFS('System(MB51)'!$K:$K,'System(MB51)'!$L:$L,'Checking(ZSERIALS)'!$J24,'System(MB51)'!$O:$O,'Checking(ZSERIALS)'!$L24,'System(MB51)'!$A:$A,'Checking(ZSERIALS)'!T$3)))</f>
        <v>1</v>
      </c>
      <c r="U24" s="173">
        <f>IF(O24="","",ABS(SUMIFS('System(MB51)'!$K:$K,'System(MB51)'!$L:$L,'Checking(ZSERIALS)'!$J24,'System(MB51)'!$O:$O,'Checking(ZSERIALS)'!$L24,'System(MB51)'!$A:$A,'Checking(ZSERIALS)'!U$3)))</f>
        <v>8</v>
      </c>
      <c r="V24" s="165"/>
      <c r="W24" s="173">
        <f>IF($G24="","",INDEX(MLR!$1:$1048576,MATCH($G24,MLR!$J:$J,0),MATCH(W$3,MLR!$1:$1,0)))</f>
        <v>87</v>
      </c>
      <c r="X24" s="173">
        <f>IF($G24="","",INDEX(MLR!$1:$1048576,MATCH($G24,MLR!$J:$J,0),MATCH(X$3,MLR!$1:$1,0)))</f>
        <v>2</v>
      </c>
      <c r="Y24" s="173">
        <f>IF($G24="","",INDEX(MLR!$1:$1048576,MATCH($G24,MLR!$J:$J,0),MATCH(Y$3,MLR!$1:$1,0)))</f>
        <v>6</v>
      </c>
      <c r="Z24" s="173">
        <f>IF($G24="","",INDEX(MLR!$1:$1048576,MATCH($G24,MLR!$J:$J,0),MATCH(Z$3,MLR!$1:$1,0)))</f>
        <v>1</v>
      </c>
      <c r="AA24" s="173">
        <f>IF($G24="","",INDEX(MLR!$1:$1048576,MATCH($G24,MLR!$J:$J,0),MATCH(AA$3,MLR!$1:$1,0)))</f>
        <v>0</v>
      </c>
      <c r="AB24" s="173">
        <f>IF($G24="","",INDEX(MLR!$1:$1048576,MATCH($G24,MLR!$J:$J,0),MATCH(AB$3,MLR!$1:$1,0)))</f>
        <v>0</v>
      </c>
      <c r="AC24" s="173">
        <f>IF($G24="","",INDEX(MLR!$1:$1048576,MATCH($G24,MLR!$J:$J,0),MATCH(AC$3,MLR!$1:$1,0)))</f>
        <v>8</v>
      </c>
      <c r="AD24" s="173">
        <f>IF($G24="","",INDEX(MLR!$1:$1048576,MATCH($G24,MLR!$J:$J,0),MATCH(AD$3,MLR!$1:$1,0)))</f>
        <v>1</v>
      </c>
      <c r="AE24" s="173">
        <f>IF($G24="","",INDEX(MLR!$1:$1048576,MATCH($G24,MLR!$J:$J,0),MATCH(AE$3,MLR!$1:$1,0)))</f>
        <v>8</v>
      </c>
      <c r="AF24" s="174" t="str">
        <f>IF(G24="","",IFERROR(IF(MATCH($G24,MLR!$J:$J,0)&gt;0,"Installed","Not Found"),"Not Found"))</f>
        <v>Installed</v>
      </c>
      <c r="AG24" s="165"/>
      <c r="AH24" s="175" t="str">
        <f t="shared" si="0"/>
        <v>Short</v>
      </c>
      <c r="AI24" s="175" t="str">
        <f t="shared" si="1"/>
        <v>Correct</v>
      </c>
      <c r="AJ24" s="175" t="str">
        <f t="shared" si="2"/>
        <v>Short</v>
      </c>
      <c r="AK24" s="175" t="str">
        <f t="shared" si="3"/>
        <v>Correct</v>
      </c>
      <c r="AL24" s="175" t="str">
        <f t="shared" si="4"/>
        <v>Correct</v>
      </c>
      <c r="AM24" s="175" t="str">
        <f t="shared" si="5"/>
        <v>Correct</v>
      </c>
      <c r="AN24" s="175" t="str">
        <f t="shared" si="6"/>
        <v>Correct</v>
      </c>
      <c r="AO24" s="175" t="str">
        <f t="shared" si="7"/>
        <v>Correct</v>
      </c>
      <c r="AP24" s="175" t="str">
        <f t="shared" si="8"/>
        <v>Correct</v>
      </c>
      <c r="AQ24" s="165"/>
      <c r="AR24" s="173">
        <f t="shared" si="20"/>
        <v>-87</v>
      </c>
      <c r="AS24" s="173">
        <f t="shared" si="21"/>
        <v>0</v>
      </c>
      <c r="AT24" s="173">
        <f t="shared" si="22"/>
        <v>-6</v>
      </c>
      <c r="AU24" s="173">
        <f t="shared" si="23"/>
        <v>0</v>
      </c>
      <c r="AV24" s="173">
        <f t="shared" si="24"/>
        <v>0</v>
      </c>
      <c r="AW24" s="173">
        <f t="shared" si="25"/>
        <v>0</v>
      </c>
      <c r="AX24" s="173">
        <f t="shared" si="26"/>
        <v>0</v>
      </c>
      <c r="AY24" s="173">
        <f t="shared" si="27"/>
        <v>0</v>
      </c>
      <c r="AZ24" s="173">
        <f t="shared" si="28"/>
        <v>0</v>
      </c>
      <c r="BA24" s="165"/>
      <c r="BB24" s="174" t="str">
        <f t="shared" si="19"/>
        <v>With Variance</v>
      </c>
    </row>
    <row r="25" spans="1:54" s="36" customFormat="1" ht="13.8" x14ac:dyDescent="0.3">
      <c r="A25" s="128" t="str">
        <f>_xlfn.XLOOKUP(B25,'Cuttof Mapping'!A:A,'Cuttof Mapping'!D:D)</f>
        <v>2023 Dec 2nd</v>
      </c>
      <c r="B25" s="133">
        <v>45298</v>
      </c>
      <c r="C25" s="86" t="s">
        <v>168</v>
      </c>
      <c r="D25" s="79" t="s">
        <v>63</v>
      </c>
      <c r="E25" s="86">
        <v>4500866</v>
      </c>
      <c r="F25" s="86" t="s">
        <v>91</v>
      </c>
      <c r="G25" s="86" t="s">
        <v>169</v>
      </c>
      <c r="H25" s="86">
        <v>10001035</v>
      </c>
      <c r="I25" s="86" t="s">
        <v>90</v>
      </c>
      <c r="J25" s="86">
        <v>1680000714162</v>
      </c>
      <c r="K25" s="86" t="s">
        <v>54</v>
      </c>
      <c r="L25" s="86" t="s">
        <v>170</v>
      </c>
      <c r="M25" s="173">
        <f>IF(G25="","",ABS(SUMIFS('System(MB51)'!$K:$K,'System(MB51)'!$L:$L,'Checking(ZSERIALS)'!$J25,'System(MB51)'!$O:$O,'Checking(ZSERIALS)'!$L25,'System(MB51)'!$A:$A,'Checking(ZSERIALS)'!M$3)))</f>
        <v>0</v>
      </c>
      <c r="N25" s="173">
        <f>IF(H25="","",ABS(SUMIFS('System(MB51)'!$K:$K,'System(MB51)'!$L:$L,'Checking(ZSERIALS)'!$J25,'System(MB51)'!$O:$O,'Checking(ZSERIALS)'!$L25,'System(MB51)'!$A:$A,'Checking(ZSERIALS)'!N$3)))</f>
        <v>2</v>
      </c>
      <c r="O25" s="173">
        <f>IF(I25="","",ABS(SUMIFS('System(MB51)'!$K:$K,'System(MB51)'!$L:$L,'Checking(ZSERIALS)'!$J25,'System(MB51)'!$O:$O,'Checking(ZSERIALS)'!$L25,'System(MB51)'!$A:$A,'Checking(ZSERIALS)'!O$3)))</f>
        <v>0</v>
      </c>
      <c r="P25" s="173">
        <f>IF(J25="","",ABS(SUMIFS('System(MB51)'!$K:$K,'System(MB51)'!$L:$L,'Checking(ZSERIALS)'!$J25,'System(MB51)'!$O:$O,'Checking(ZSERIALS)'!$L25,'System(MB51)'!$A:$A,'Checking(ZSERIALS)'!P$3)))</f>
        <v>1</v>
      </c>
      <c r="Q25" s="173">
        <f>IF(K25="","",ABS(SUMIFS('System(MB51)'!$K:$K,'System(MB51)'!$L:$L,'Checking(ZSERIALS)'!$J25,'System(MB51)'!$O:$O,'Checking(ZSERIALS)'!$L25,'System(MB51)'!$A:$A,'Checking(ZSERIALS)'!Q$3)))</f>
        <v>0</v>
      </c>
      <c r="R25" s="173">
        <f>IF(L25="","",ABS(SUMIFS('System(MB51)'!$K:$K,'System(MB51)'!$L:$L,'Checking(ZSERIALS)'!$J25,'System(MB51)'!$O:$O,'Checking(ZSERIALS)'!$L25,'System(MB51)'!$A:$A,'Checking(ZSERIALS)'!R$3)))</f>
        <v>0</v>
      </c>
      <c r="S25" s="173">
        <f>IF(M25="","",ABS(SUMIFS('System(MB51)'!$K:$K,'System(MB51)'!$L:$L,'Checking(ZSERIALS)'!$J25,'System(MB51)'!$O:$O,'Checking(ZSERIALS)'!$L25,'System(MB51)'!$A:$A,'Checking(ZSERIALS)'!S$3)))</f>
        <v>2</v>
      </c>
      <c r="T25" s="173">
        <f>IF(N25="","",ABS(SUMIFS('System(MB51)'!$K:$K,'System(MB51)'!$L:$L,'Checking(ZSERIALS)'!$J25,'System(MB51)'!$O:$O,'Checking(ZSERIALS)'!$L25,'System(MB51)'!$A:$A,'Checking(ZSERIALS)'!T$3)))</f>
        <v>1</v>
      </c>
      <c r="U25" s="173">
        <f>IF(O25="","",ABS(SUMIFS('System(MB51)'!$K:$K,'System(MB51)'!$L:$L,'Checking(ZSERIALS)'!$J25,'System(MB51)'!$O:$O,'Checking(ZSERIALS)'!$L25,'System(MB51)'!$A:$A,'Checking(ZSERIALS)'!U$3)))</f>
        <v>0</v>
      </c>
      <c r="V25" s="165"/>
      <c r="W25" s="173">
        <f>IF($G25="","",INDEX(MLR!$1:$1048576,MATCH($G25,MLR!$J:$J,0),MATCH(W$3,MLR!$1:$1,0)))</f>
        <v>162</v>
      </c>
      <c r="X25" s="173">
        <f>IF($G25="","",INDEX(MLR!$1:$1048576,MATCH($G25,MLR!$J:$J,0),MATCH(X$3,MLR!$1:$1,0)))</f>
        <v>2</v>
      </c>
      <c r="Y25" s="173">
        <f>IF($G25="","",INDEX(MLR!$1:$1048576,MATCH($G25,MLR!$J:$J,0),MATCH(Y$3,MLR!$1:$1,0)))</f>
        <v>7</v>
      </c>
      <c r="Z25" s="173">
        <f>IF($G25="","",INDEX(MLR!$1:$1048576,MATCH($G25,MLR!$J:$J,0),MATCH(Z$3,MLR!$1:$1,0)))</f>
        <v>1</v>
      </c>
      <c r="AA25" s="173">
        <f>IF($G25="","",INDEX(MLR!$1:$1048576,MATCH($G25,MLR!$J:$J,0),MATCH(AA$3,MLR!$1:$1,0)))</f>
        <v>0</v>
      </c>
      <c r="AB25" s="173">
        <f>IF($G25="","",INDEX(MLR!$1:$1048576,MATCH($G25,MLR!$J:$J,0),MATCH(AB$3,MLR!$1:$1,0)))</f>
        <v>0</v>
      </c>
      <c r="AC25" s="173">
        <f>IF($G25="","",INDEX(MLR!$1:$1048576,MATCH($G25,MLR!$J:$J,0),MATCH(AC$3,MLR!$1:$1,0)))</f>
        <v>2</v>
      </c>
      <c r="AD25" s="173">
        <f>IF($G25="","",INDEX(MLR!$1:$1048576,MATCH($G25,MLR!$J:$J,0),MATCH(AD$3,MLR!$1:$1,0)))</f>
        <v>1</v>
      </c>
      <c r="AE25" s="173">
        <f>IF($G25="","",INDEX(MLR!$1:$1048576,MATCH($G25,MLR!$J:$J,0),MATCH(AE$3,MLR!$1:$1,0)))</f>
        <v>10</v>
      </c>
      <c r="AF25" s="174" t="str">
        <f>IF(G25="","",IFERROR(IF(MATCH($G25,MLR!$J:$J,0)&gt;0,"Installed","Not Found"),"Not Found"))</f>
        <v>Installed</v>
      </c>
      <c r="AG25" s="165"/>
      <c r="AH25" s="175" t="str">
        <f t="shared" si="0"/>
        <v>Short</v>
      </c>
      <c r="AI25" s="175" t="str">
        <f t="shared" si="1"/>
        <v>Correct</v>
      </c>
      <c r="AJ25" s="175" t="str">
        <f t="shared" si="2"/>
        <v>Short</v>
      </c>
      <c r="AK25" s="175" t="str">
        <f t="shared" si="3"/>
        <v>Correct</v>
      </c>
      <c r="AL25" s="175" t="str">
        <f t="shared" si="4"/>
        <v>Correct</v>
      </c>
      <c r="AM25" s="175" t="str">
        <f t="shared" si="5"/>
        <v>Correct</v>
      </c>
      <c r="AN25" s="175" t="str">
        <f t="shared" si="6"/>
        <v>Correct</v>
      </c>
      <c r="AO25" s="175" t="str">
        <f t="shared" si="7"/>
        <v>Correct</v>
      </c>
      <c r="AP25" s="175" t="str">
        <f t="shared" si="8"/>
        <v>Short</v>
      </c>
      <c r="AQ25" s="165"/>
      <c r="AR25" s="173">
        <f t="shared" si="20"/>
        <v>-162</v>
      </c>
      <c r="AS25" s="173">
        <f t="shared" si="21"/>
        <v>0</v>
      </c>
      <c r="AT25" s="173">
        <f t="shared" si="22"/>
        <v>-7</v>
      </c>
      <c r="AU25" s="173">
        <f t="shared" si="23"/>
        <v>0</v>
      </c>
      <c r="AV25" s="173">
        <f t="shared" si="24"/>
        <v>0</v>
      </c>
      <c r="AW25" s="173">
        <f t="shared" si="25"/>
        <v>0</v>
      </c>
      <c r="AX25" s="173">
        <f t="shared" si="26"/>
        <v>0</v>
      </c>
      <c r="AY25" s="173">
        <f t="shared" si="27"/>
        <v>0</v>
      </c>
      <c r="AZ25" s="173">
        <f t="shared" si="28"/>
        <v>-10</v>
      </c>
      <c r="BA25" s="165"/>
      <c r="BB25" s="174" t="str">
        <f t="shared" si="19"/>
        <v>With Variance</v>
      </c>
    </row>
    <row r="26" spans="1:54" s="36" customFormat="1" ht="13.8" x14ac:dyDescent="0.3">
      <c r="A26" s="128" t="str">
        <f>_xlfn.XLOOKUP(B26,'Cuttof Mapping'!A:A,'Cuttof Mapping'!D:D)</f>
        <v>2023 Dec 2nd</v>
      </c>
      <c r="B26" s="133">
        <v>45298</v>
      </c>
      <c r="C26" s="86" t="s">
        <v>171</v>
      </c>
      <c r="D26" s="79" t="s">
        <v>63</v>
      </c>
      <c r="E26" s="86">
        <v>4500866</v>
      </c>
      <c r="F26" s="86" t="s">
        <v>91</v>
      </c>
      <c r="G26" s="86" t="s">
        <v>172</v>
      </c>
      <c r="H26" s="86">
        <v>10001035</v>
      </c>
      <c r="I26" s="86" t="s">
        <v>90</v>
      </c>
      <c r="J26" s="86">
        <v>1680000719137</v>
      </c>
      <c r="K26" s="86" t="s">
        <v>54</v>
      </c>
      <c r="L26" s="86" t="s">
        <v>173</v>
      </c>
      <c r="M26" s="173">
        <f>IF(G26="","",ABS(SUMIFS('System(MB51)'!$K:$K,'System(MB51)'!$L:$L,'Checking(ZSERIALS)'!$J26,'System(MB51)'!$O:$O,'Checking(ZSERIALS)'!$L26,'System(MB51)'!$A:$A,'Checking(ZSERIALS)'!M$3)))</f>
        <v>0</v>
      </c>
      <c r="N26" s="173">
        <f>IF(H26="","",ABS(SUMIFS('System(MB51)'!$K:$K,'System(MB51)'!$L:$L,'Checking(ZSERIALS)'!$J26,'System(MB51)'!$O:$O,'Checking(ZSERIALS)'!$L26,'System(MB51)'!$A:$A,'Checking(ZSERIALS)'!N$3)))</f>
        <v>2</v>
      </c>
      <c r="O26" s="173">
        <f>IF(I26="","",ABS(SUMIFS('System(MB51)'!$K:$K,'System(MB51)'!$L:$L,'Checking(ZSERIALS)'!$J26,'System(MB51)'!$O:$O,'Checking(ZSERIALS)'!$L26,'System(MB51)'!$A:$A,'Checking(ZSERIALS)'!O$3)))</f>
        <v>0</v>
      </c>
      <c r="P26" s="173">
        <f>IF(J26="","",ABS(SUMIFS('System(MB51)'!$K:$K,'System(MB51)'!$L:$L,'Checking(ZSERIALS)'!$J26,'System(MB51)'!$O:$O,'Checking(ZSERIALS)'!$L26,'System(MB51)'!$A:$A,'Checking(ZSERIALS)'!P$3)))</f>
        <v>1</v>
      </c>
      <c r="Q26" s="173">
        <f>IF(K26="","",ABS(SUMIFS('System(MB51)'!$K:$K,'System(MB51)'!$L:$L,'Checking(ZSERIALS)'!$J26,'System(MB51)'!$O:$O,'Checking(ZSERIALS)'!$L26,'System(MB51)'!$A:$A,'Checking(ZSERIALS)'!Q$3)))</f>
        <v>0</v>
      </c>
      <c r="R26" s="173">
        <f>IF(L26="","",ABS(SUMIFS('System(MB51)'!$K:$K,'System(MB51)'!$L:$L,'Checking(ZSERIALS)'!$J26,'System(MB51)'!$O:$O,'Checking(ZSERIALS)'!$L26,'System(MB51)'!$A:$A,'Checking(ZSERIALS)'!R$3)))</f>
        <v>0</v>
      </c>
      <c r="S26" s="173">
        <f>IF(M26="","",ABS(SUMIFS('System(MB51)'!$K:$K,'System(MB51)'!$L:$L,'Checking(ZSERIALS)'!$J26,'System(MB51)'!$O:$O,'Checking(ZSERIALS)'!$L26,'System(MB51)'!$A:$A,'Checking(ZSERIALS)'!S$3)))</f>
        <v>10</v>
      </c>
      <c r="T26" s="173">
        <f>IF(N26="","",ABS(SUMIFS('System(MB51)'!$K:$K,'System(MB51)'!$L:$L,'Checking(ZSERIALS)'!$J26,'System(MB51)'!$O:$O,'Checking(ZSERIALS)'!$L26,'System(MB51)'!$A:$A,'Checking(ZSERIALS)'!T$3)))</f>
        <v>1</v>
      </c>
      <c r="U26" s="173">
        <f>IF(O26="","",ABS(SUMIFS('System(MB51)'!$K:$K,'System(MB51)'!$L:$L,'Checking(ZSERIALS)'!$J26,'System(MB51)'!$O:$O,'Checking(ZSERIALS)'!$L26,'System(MB51)'!$A:$A,'Checking(ZSERIALS)'!U$3)))</f>
        <v>8</v>
      </c>
      <c r="V26" s="165"/>
      <c r="W26" s="173">
        <f>IF($G26="","",INDEX(MLR!$1:$1048576,MATCH($G26,MLR!$J:$J,0),MATCH(W$3,MLR!$1:$1,0)))</f>
        <v>37</v>
      </c>
      <c r="X26" s="173">
        <f>IF($G26="","",INDEX(MLR!$1:$1048576,MATCH($G26,MLR!$J:$J,0),MATCH(X$3,MLR!$1:$1,0)))</f>
        <v>2</v>
      </c>
      <c r="Y26" s="173">
        <f>IF($G26="","",INDEX(MLR!$1:$1048576,MATCH($G26,MLR!$J:$J,0),MATCH(Y$3,MLR!$1:$1,0)))</f>
        <v>6</v>
      </c>
      <c r="Z26" s="173">
        <f>IF($G26="","",INDEX(MLR!$1:$1048576,MATCH($G26,MLR!$J:$J,0),MATCH(Z$3,MLR!$1:$1,0)))</f>
        <v>1</v>
      </c>
      <c r="AA26" s="173">
        <f>IF($G26="","",INDEX(MLR!$1:$1048576,MATCH($G26,MLR!$J:$J,0),MATCH(AA$3,MLR!$1:$1,0)))</f>
        <v>0</v>
      </c>
      <c r="AB26" s="173">
        <f>IF($G26="","",INDEX(MLR!$1:$1048576,MATCH($G26,MLR!$J:$J,0),MATCH(AB$3,MLR!$1:$1,0)))</f>
        <v>0</v>
      </c>
      <c r="AC26" s="173">
        <f>IF($G26="","",INDEX(MLR!$1:$1048576,MATCH($G26,MLR!$J:$J,0),MATCH(AC$3,MLR!$1:$1,0)))</f>
        <v>10</v>
      </c>
      <c r="AD26" s="173">
        <f>IF($G26="","",INDEX(MLR!$1:$1048576,MATCH($G26,MLR!$J:$J,0),MATCH(AD$3,MLR!$1:$1,0)))</f>
        <v>1</v>
      </c>
      <c r="AE26" s="173">
        <f>IF($G26="","",INDEX(MLR!$1:$1048576,MATCH($G26,MLR!$J:$J,0),MATCH(AE$3,MLR!$1:$1,0)))</f>
        <v>10</v>
      </c>
      <c r="AF26" s="174" t="str">
        <f>IF(G26="","",IFERROR(IF(MATCH($G26,MLR!$J:$J,0)&gt;0,"Installed","Not Found"),"Not Found"))</f>
        <v>Installed</v>
      </c>
      <c r="AG26" s="165"/>
      <c r="AH26" s="175" t="str">
        <f t="shared" si="0"/>
        <v>Short</v>
      </c>
      <c r="AI26" s="175" t="str">
        <f t="shared" si="1"/>
        <v>Correct</v>
      </c>
      <c r="AJ26" s="175" t="str">
        <f t="shared" si="2"/>
        <v>Short</v>
      </c>
      <c r="AK26" s="175" t="str">
        <f t="shared" si="3"/>
        <v>Correct</v>
      </c>
      <c r="AL26" s="175" t="str">
        <f t="shared" si="4"/>
        <v>Correct</v>
      </c>
      <c r="AM26" s="175" t="str">
        <f t="shared" si="5"/>
        <v>Correct</v>
      </c>
      <c r="AN26" s="175" t="str">
        <f t="shared" si="6"/>
        <v>Correct</v>
      </c>
      <c r="AO26" s="175" t="str">
        <f t="shared" si="7"/>
        <v>Correct</v>
      </c>
      <c r="AP26" s="175" t="str">
        <f t="shared" si="8"/>
        <v>Short</v>
      </c>
      <c r="AQ26" s="165"/>
      <c r="AR26" s="173">
        <f t="shared" si="20"/>
        <v>-37</v>
      </c>
      <c r="AS26" s="173">
        <f t="shared" si="21"/>
        <v>0</v>
      </c>
      <c r="AT26" s="173">
        <f t="shared" si="22"/>
        <v>-6</v>
      </c>
      <c r="AU26" s="173">
        <f t="shared" si="23"/>
        <v>0</v>
      </c>
      <c r="AV26" s="173">
        <f t="shared" si="24"/>
        <v>0</v>
      </c>
      <c r="AW26" s="173">
        <f t="shared" si="25"/>
        <v>0</v>
      </c>
      <c r="AX26" s="173">
        <f t="shared" si="26"/>
        <v>0</v>
      </c>
      <c r="AY26" s="173">
        <f t="shared" si="27"/>
        <v>0</v>
      </c>
      <c r="AZ26" s="173">
        <f t="shared" si="28"/>
        <v>-2</v>
      </c>
      <c r="BA26" s="165"/>
      <c r="BB26" s="174" t="str">
        <f t="shared" si="19"/>
        <v>With Variance</v>
      </c>
    </row>
    <row r="27" spans="1:54" s="36" customFormat="1" ht="13.8" x14ac:dyDescent="0.3">
      <c r="A27" s="128" t="str">
        <f>_xlfn.XLOOKUP(B27,'Cuttof Mapping'!A:A,'Cuttof Mapping'!D:D)</f>
        <v>2023 Dec 2nd</v>
      </c>
      <c r="B27" s="133">
        <v>45298</v>
      </c>
      <c r="C27" s="86" t="s">
        <v>174</v>
      </c>
      <c r="D27" s="79" t="s">
        <v>63</v>
      </c>
      <c r="E27" s="86">
        <v>4500866</v>
      </c>
      <c r="F27" s="86" t="s">
        <v>91</v>
      </c>
      <c r="G27" s="86" t="s">
        <v>175</v>
      </c>
      <c r="H27" s="86">
        <v>10001035</v>
      </c>
      <c r="I27" s="86" t="s">
        <v>90</v>
      </c>
      <c r="J27" s="86">
        <v>1680000720228</v>
      </c>
      <c r="K27" s="86" t="s">
        <v>54</v>
      </c>
      <c r="L27" s="86" t="s">
        <v>176</v>
      </c>
      <c r="M27" s="173">
        <f>IF(G27="","",ABS(SUMIFS('System(MB51)'!$K:$K,'System(MB51)'!$L:$L,'Checking(ZSERIALS)'!$J27,'System(MB51)'!$O:$O,'Checking(ZSERIALS)'!$L27,'System(MB51)'!$A:$A,'Checking(ZSERIALS)'!M$3)))</f>
        <v>0</v>
      </c>
      <c r="N27" s="173">
        <f>IF(H27="","",ABS(SUMIFS('System(MB51)'!$K:$K,'System(MB51)'!$L:$L,'Checking(ZSERIALS)'!$J27,'System(MB51)'!$O:$O,'Checking(ZSERIALS)'!$L27,'System(MB51)'!$A:$A,'Checking(ZSERIALS)'!N$3)))</f>
        <v>2</v>
      </c>
      <c r="O27" s="173">
        <f>IF(I27="","",ABS(SUMIFS('System(MB51)'!$K:$K,'System(MB51)'!$L:$L,'Checking(ZSERIALS)'!$J27,'System(MB51)'!$O:$O,'Checking(ZSERIALS)'!$L27,'System(MB51)'!$A:$A,'Checking(ZSERIALS)'!O$3)))</f>
        <v>0</v>
      </c>
      <c r="P27" s="173">
        <f>IF(J27="","",ABS(SUMIFS('System(MB51)'!$K:$K,'System(MB51)'!$L:$L,'Checking(ZSERIALS)'!$J27,'System(MB51)'!$O:$O,'Checking(ZSERIALS)'!$L27,'System(MB51)'!$A:$A,'Checking(ZSERIALS)'!P$3)))</f>
        <v>1</v>
      </c>
      <c r="Q27" s="173">
        <f>IF(K27="","",ABS(SUMIFS('System(MB51)'!$K:$K,'System(MB51)'!$L:$L,'Checking(ZSERIALS)'!$J27,'System(MB51)'!$O:$O,'Checking(ZSERIALS)'!$L27,'System(MB51)'!$A:$A,'Checking(ZSERIALS)'!Q$3)))</f>
        <v>0</v>
      </c>
      <c r="R27" s="173">
        <f>IF(L27="","",ABS(SUMIFS('System(MB51)'!$K:$K,'System(MB51)'!$L:$L,'Checking(ZSERIALS)'!$J27,'System(MB51)'!$O:$O,'Checking(ZSERIALS)'!$L27,'System(MB51)'!$A:$A,'Checking(ZSERIALS)'!R$3)))</f>
        <v>0</v>
      </c>
      <c r="S27" s="173">
        <f>IF(M27="","",ABS(SUMIFS('System(MB51)'!$K:$K,'System(MB51)'!$L:$L,'Checking(ZSERIALS)'!$J27,'System(MB51)'!$O:$O,'Checking(ZSERIALS)'!$L27,'System(MB51)'!$A:$A,'Checking(ZSERIALS)'!S$3)))</f>
        <v>10</v>
      </c>
      <c r="T27" s="173">
        <f>IF(N27="","",ABS(SUMIFS('System(MB51)'!$K:$K,'System(MB51)'!$L:$L,'Checking(ZSERIALS)'!$J27,'System(MB51)'!$O:$O,'Checking(ZSERIALS)'!$L27,'System(MB51)'!$A:$A,'Checking(ZSERIALS)'!T$3)))</f>
        <v>1</v>
      </c>
      <c r="U27" s="173">
        <f>IF(O27="","",ABS(SUMIFS('System(MB51)'!$K:$K,'System(MB51)'!$L:$L,'Checking(ZSERIALS)'!$J27,'System(MB51)'!$O:$O,'Checking(ZSERIALS)'!$L27,'System(MB51)'!$A:$A,'Checking(ZSERIALS)'!U$3)))</f>
        <v>8</v>
      </c>
      <c r="V27" s="165"/>
      <c r="W27" s="173">
        <f>IF($G27="","",INDEX(MLR!$1:$1048576,MATCH($G27,MLR!$J:$J,0),MATCH(W$3,MLR!$1:$1,0)))</f>
        <v>65</v>
      </c>
      <c r="X27" s="173">
        <f>IF($G27="","",INDEX(MLR!$1:$1048576,MATCH($G27,MLR!$J:$J,0),MATCH(X$3,MLR!$1:$1,0)))</f>
        <v>2</v>
      </c>
      <c r="Y27" s="173">
        <f>IF($G27="","",INDEX(MLR!$1:$1048576,MATCH($G27,MLR!$J:$J,0),MATCH(Y$3,MLR!$1:$1,0)))</f>
        <v>6</v>
      </c>
      <c r="Z27" s="173">
        <f>IF($G27="","",INDEX(MLR!$1:$1048576,MATCH($G27,MLR!$J:$J,0),MATCH(Z$3,MLR!$1:$1,0)))</f>
        <v>1</v>
      </c>
      <c r="AA27" s="173">
        <f>IF($G27="","",INDEX(MLR!$1:$1048576,MATCH($G27,MLR!$J:$J,0),MATCH(AA$3,MLR!$1:$1,0)))</f>
        <v>0</v>
      </c>
      <c r="AB27" s="173">
        <f>IF($G27="","",INDEX(MLR!$1:$1048576,MATCH($G27,MLR!$J:$J,0),MATCH(AB$3,MLR!$1:$1,0)))</f>
        <v>0</v>
      </c>
      <c r="AC27" s="173">
        <f>IF($G27="","",INDEX(MLR!$1:$1048576,MATCH($G27,MLR!$J:$J,0),MATCH(AC$3,MLR!$1:$1,0)))</f>
        <v>10</v>
      </c>
      <c r="AD27" s="173">
        <f>IF($G27="","",INDEX(MLR!$1:$1048576,MATCH($G27,MLR!$J:$J,0),MATCH(AD$3,MLR!$1:$1,0)))</f>
        <v>1</v>
      </c>
      <c r="AE27" s="173">
        <f>IF($G27="","",INDEX(MLR!$1:$1048576,MATCH($G27,MLR!$J:$J,0),MATCH(AE$3,MLR!$1:$1,0)))</f>
        <v>8</v>
      </c>
      <c r="AF27" s="174" t="str">
        <f>IF(G27="","",IFERROR(IF(MATCH($G27,MLR!$J:$J,0)&gt;0,"Installed","Not Found"),"Not Found"))</f>
        <v>Installed</v>
      </c>
      <c r="AG27" s="165"/>
      <c r="AH27" s="175" t="str">
        <f t="shared" si="0"/>
        <v>Short</v>
      </c>
      <c r="AI27" s="175" t="str">
        <f t="shared" si="1"/>
        <v>Correct</v>
      </c>
      <c r="AJ27" s="175" t="str">
        <f t="shared" si="2"/>
        <v>Short</v>
      </c>
      <c r="AK27" s="175" t="str">
        <f t="shared" si="3"/>
        <v>Correct</v>
      </c>
      <c r="AL27" s="175" t="str">
        <f t="shared" si="4"/>
        <v>Correct</v>
      </c>
      <c r="AM27" s="175" t="str">
        <f t="shared" si="5"/>
        <v>Correct</v>
      </c>
      <c r="AN27" s="175" t="str">
        <f t="shared" si="6"/>
        <v>Correct</v>
      </c>
      <c r="AO27" s="175" t="str">
        <f t="shared" si="7"/>
        <v>Correct</v>
      </c>
      <c r="AP27" s="175" t="str">
        <f t="shared" si="8"/>
        <v>Correct</v>
      </c>
      <c r="AQ27" s="165"/>
      <c r="AR27" s="173">
        <f t="shared" si="20"/>
        <v>-65</v>
      </c>
      <c r="AS27" s="173">
        <f t="shared" si="21"/>
        <v>0</v>
      </c>
      <c r="AT27" s="173">
        <f t="shared" si="22"/>
        <v>-6</v>
      </c>
      <c r="AU27" s="173">
        <f t="shared" si="23"/>
        <v>0</v>
      </c>
      <c r="AV27" s="173">
        <f t="shared" si="24"/>
        <v>0</v>
      </c>
      <c r="AW27" s="173">
        <f t="shared" si="25"/>
        <v>0</v>
      </c>
      <c r="AX27" s="173">
        <f t="shared" si="26"/>
        <v>0</v>
      </c>
      <c r="AY27" s="173">
        <f t="shared" si="27"/>
        <v>0</v>
      </c>
      <c r="AZ27" s="173">
        <f t="shared" si="28"/>
        <v>0</v>
      </c>
      <c r="BA27" s="165"/>
      <c r="BB27" s="174" t="str">
        <f t="shared" si="19"/>
        <v>With Variance</v>
      </c>
    </row>
    <row r="28" spans="1:54" s="36" customFormat="1" ht="13.8" x14ac:dyDescent="0.3">
      <c r="A28" s="128" t="str">
        <f>_xlfn.XLOOKUP(B28,'Cuttof Mapping'!A:A,'Cuttof Mapping'!D:D)</f>
        <v>2023 Dec 2nd</v>
      </c>
      <c r="B28" s="133">
        <v>45299</v>
      </c>
      <c r="C28" s="86" t="s">
        <v>177</v>
      </c>
      <c r="D28" s="79" t="s">
        <v>63</v>
      </c>
      <c r="E28" s="86">
        <v>4500866</v>
      </c>
      <c r="F28" s="86" t="s">
        <v>91</v>
      </c>
      <c r="G28" s="86" t="s">
        <v>178</v>
      </c>
      <c r="H28" s="86">
        <v>10001035</v>
      </c>
      <c r="I28" s="86" t="s">
        <v>90</v>
      </c>
      <c r="J28" s="86">
        <v>1680000709015</v>
      </c>
      <c r="K28" s="86" t="s">
        <v>54</v>
      </c>
      <c r="L28" s="86" t="s">
        <v>179</v>
      </c>
      <c r="M28" s="173">
        <f>IF(G28="","",ABS(SUMIFS('System(MB51)'!$K:$K,'System(MB51)'!$L:$L,'Checking(ZSERIALS)'!$J28,'System(MB51)'!$O:$O,'Checking(ZSERIALS)'!$L28,'System(MB51)'!$A:$A,'Checking(ZSERIALS)'!M$3)))</f>
        <v>0</v>
      </c>
      <c r="N28" s="173">
        <f>IF(H28="","",ABS(SUMIFS('System(MB51)'!$K:$K,'System(MB51)'!$L:$L,'Checking(ZSERIALS)'!$J28,'System(MB51)'!$O:$O,'Checking(ZSERIALS)'!$L28,'System(MB51)'!$A:$A,'Checking(ZSERIALS)'!N$3)))</f>
        <v>0</v>
      </c>
      <c r="O28" s="173">
        <f>IF(I28="","",ABS(SUMIFS('System(MB51)'!$K:$K,'System(MB51)'!$L:$L,'Checking(ZSERIALS)'!$J28,'System(MB51)'!$O:$O,'Checking(ZSERIALS)'!$L28,'System(MB51)'!$A:$A,'Checking(ZSERIALS)'!O$3)))</f>
        <v>0</v>
      </c>
      <c r="P28" s="173">
        <f>IF(J28="","",ABS(SUMIFS('System(MB51)'!$K:$K,'System(MB51)'!$L:$L,'Checking(ZSERIALS)'!$J28,'System(MB51)'!$O:$O,'Checking(ZSERIALS)'!$L28,'System(MB51)'!$A:$A,'Checking(ZSERIALS)'!P$3)))</f>
        <v>0</v>
      </c>
      <c r="Q28" s="173">
        <f>IF(K28="","",ABS(SUMIFS('System(MB51)'!$K:$K,'System(MB51)'!$L:$L,'Checking(ZSERIALS)'!$J28,'System(MB51)'!$O:$O,'Checking(ZSERIALS)'!$L28,'System(MB51)'!$A:$A,'Checking(ZSERIALS)'!Q$3)))</f>
        <v>0</v>
      </c>
      <c r="R28" s="173">
        <f>IF(L28="","",ABS(SUMIFS('System(MB51)'!$K:$K,'System(MB51)'!$L:$L,'Checking(ZSERIALS)'!$J28,'System(MB51)'!$O:$O,'Checking(ZSERIALS)'!$L28,'System(MB51)'!$A:$A,'Checking(ZSERIALS)'!R$3)))</f>
        <v>0</v>
      </c>
      <c r="S28" s="173">
        <f>IF(M28="","",ABS(SUMIFS('System(MB51)'!$K:$K,'System(MB51)'!$L:$L,'Checking(ZSERIALS)'!$J28,'System(MB51)'!$O:$O,'Checking(ZSERIALS)'!$L28,'System(MB51)'!$A:$A,'Checking(ZSERIALS)'!S$3)))</f>
        <v>0</v>
      </c>
      <c r="T28" s="173">
        <f>IF(N28="","",ABS(SUMIFS('System(MB51)'!$K:$K,'System(MB51)'!$L:$L,'Checking(ZSERIALS)'!$J28,'System(MB51)'!$O:$O,'Checking(ZSERIALS)'!$L28,'System(MB51)'!$A:$A,'Checking(ZSERIALS)'!T$3)))</f>
        <v>1</v>
      </c>
      <c r="U28" s="173">
        <f>IF(O28="","",ABS(SUMIFS('System(MB51)'!$K:$K,'System(MB51)'!$L:$L,'Checking(ZSERIALS)'!$J28,'System(MB51)'!$O:$O,'Checking(ZSERIALS)'!$L28,'System(MB51)'!$A:$A,'Checking(ZSERIALS)'!U$3)))</f>
        <v>0</v>
      </c>
      <c r="V28" s="165"/>
      <c r="W28" s="173">
        <f>IF($G28="","",INDEX(MLR!$1:$1048576,MATCH($G28,MLR!$J:$J,0),MATCH(W$3,MLR!$1:$1,0)))</f>
        <v>430</v>
      </c>
      <c r="X28" s="173">
        <f>IF($G28="","",INDEX(MLR!$1:$1048576,MATCH($G28,MLR!$J:$J,0),MATCH(X$3,MLR!$1:$1,0)))</f>
        <v>2</v>
      </c>
      <c r="Y28" s="173">
        <f>IF($G28="","",INDEX(MLR!$1:$1048576,MATCH($G28,MLR!$J:$J,0),MATCH(Y$3,MLR!$1:$1,0)))</f>
        <v>10</v>
      </c>
      <c r="Z28" s="173">
        <f>IF($G28="","",INDEX(MLR!$1:$1048576,MATCH($G28,MLR!$J:$J,0),MATCH(Z$3,MLR!$1:$1,0)))</f>
        <v>1</v>
      </c>
      <c r="AA28" s="173">
        <f>IF($G28="","",INDEX(MLR!$1:$1048576,MATCH($G28,MLR!$J:$J,0),MATCH(AA$3,MLR!$1:$1,0)))</f>
        <v>0</v>
      </c>
      <c r="AB28" s="173">
        <f>IF($G28="","",INDEX(MLR!$1:$1048576,MATCH($G28,MLR!$J:$J,0),MATCH(AB$3,MLR!$1:$1,0)))</f>
        <v>0</v>
      </c>
      <c r="AC28" s="173">
        <f>IF($G28="","",INDEX(MLR!$1:$1048576,MATCH($G28,MLR!$J:$J,0),MATCH(AC$3,MLR!$1:$1,0)))</f>
        <v>10</v>
      </c>
      <c r="AD28" s="173">
        <f>IF($G28="","",INDEX(MLR!$1:$1048576,MATCH($G28,MLR!$J:$J,0),MATCH(AD$3,MLR!$1:$1,0)))</f>
        <v>1</v>
      </c>
      <c r="AE28" s="173">
        <f>IF($G28="","",INDEX(MLR!$1:$1048576,MATCH($G28,MLR!$J:$J,0),MATCH(AE$3,MLR!$1:$1,0)))</f>
        <v>10</v>
      </c>
      <c r="AF28" s="174" t="str">
        <f>IF(G28="","",IFERROR(IF(MATCH($G28,MLR!$J:$J,0)&gt;0,"Installed","Not Found"),"Not Found"))</f>
        <v>Installed</v>
      </c>
      <c r="AG28" s="165"/>
      <c r="AH28" s="175" t="str">
        <f t="shared" si="0"/>
        <v>Short</v>
      </c>
      <c r="AI28" s="175" t="str">
        <f t="shared" si="1"/>
        <v>Short</v>
      </c>
      <c r="AJ28" s="175" t="str">
        <f t="shared" si="2"/>
        <v>Short</v>
      </c>
      <c r="AK28" s="175" t="str">
        <f t="shared" si="3"/>
        <v>Short</v>
      </c>
      <c r="AL28" s="175" t="str">
        <f t="shared" si="4"/>
        <v>Correct</v>
      </c>
      <c r="AM28" s="175" t="str">
        <f t="shared" si="5"/>
        <v>Correct</v>
      </c>
      <c r="AN28" s="175" t="str">
        <f t="shared" si="6"/>
        <v>Short</v>
      </c>
      <c r="AO28" s="175" t="str">
        <f t="shared" si="7"/>
        <v>Correct</v>
      </c>
      <c r="AP28" s="175" t="str">
        <f t="shared" si="8"/>
        <v>Short</v>
      </c>
      <c r="AQ28" s="165"/>
      <c r="AR28" s="173">
        <f t="shared" si="20"/>
        <v>-430</v>
      </c>
      <c r="AS28" s="173">
        <f t="shared" si="21"/>
        <v>-2</v>
      </c>
      <c r="AT28" s="173">
        <f t="shared" si="22"/>
        <v>-10</v>
      </c>
      <c r="AU28" s="173">
        <f t="shared" si="23"/>
        <v>-1</v>
      </c>
      <c r="AV28" s="173">
        <f t="shared" si="24"/>
        <v>0</v>
      </c>
      <c r="AW28" s="173">
        <f t="shared" si="25"/>
        <v>0</v>
      </c>
      <c r="AX28" s="173">
        <f t="shared" si="26"/>
        <v>-10</v>
      </c>
      <c r="AY28" s="173">
        <f t="shared" si="27"/>
        <v>0</v>
      </c>
      <c r="AZ28" s="173">
        <f t="shared" si="28"/>
        <v>-10</v>
      </c>
      <c r="BA28" s="165"/>
      <c r="BB28" s="174" t="str">
        <f t="shared" si="19"/>
        <v>With Variance</v>
      </c>
    </row>
    <row r="29" spans="1:54" s="36" customFormat="1" ht="13.8" x14ac:dyDescent="0.3">
      <c r="A29" s="128" t="str">
        <f>_xlfn.XLOOKUP(B29,'Cuttof Mapping'!A:A,'Cuttof Mapping'!D:D)</f>
        <v>2023 Dec 2nd</v>
      </c>
      <c r="B29" s="133">
        <v>45299</v>
      </c>
      <c r="C29" s="86" t="s">
        <v>180</v>
      </c>
      <c r="D29" s="79" t="s">
        <v>63</v>
      </c>
      <c r="E29" s="86">
        <v>4500866</v>
      </c>
      <c r="F29" s="86" t="s">
        <v>91</v>
      </c>
      <c r="G29" s="86" t="s">
        <v>181</v>
      </c>
      <c r="H29" s="86">
        <v>10001035</v>
      </c>
      <c r="I29" s="86" t="s">
        <v>90</v>
      </c>
      <c r="J29" s="86">
        <v>1680000719107</v>
      </c>
      <c r="K29" s="86" t="s">
        <v>54</v>
      </c>
      <c r="L29" s="86" t="s">
        <v>182</v>
      </c>
      <c r="M29" s="173">
        <f>IF(G29="","",ABS(SUMIFS('System(MB51)'!$K:$K,'System(MB51)'!$L:$L,'Checking(ZSERIALS)'!$J29,'System(MB51)'!$O:$O,'Checking(ZSERIALS)'!$L29,'System(MB51)'!$A:$A,'Checking(ZSERIALS)'!M$3)))</f>
        <v>0</v>
      </c>
      <c r="N29" s="173">
        <f>IF(H29="","",ABS(SUMIFS('System(MB51)'!$K:$K,'System(MB51)'!$L:$L,'Checking(ZSERIALS)'!$J29,'System(MB51)'!$O:$O,'Checking(ZSERIALS)'!$L29,'System(MB51)'!$A:$A,'Checking(ZSERIALS)'!N$3)))</f>
        <v>2</v>
      </c>
      <c r="O29" s="173">
        <f>IF(I29="","",ABS(SUMIFS('System(MB51)'!$K:$K,'System(MB51)'!$L:$L,'Checking(ZSERIALS)'!$J29,'System(MB51)'!$O:$O,'Checking(ZSERIALS)'!$L29,'System(MB51)'!$A:$A,'Checking(ZSERIALS)'!O$3)))</f>
        <v>0</v>
      </c>
      <c r="P29" s="173">
        <f>IF(J29="","",ABS(SUMIFS('System(MB51)'!$K:$K,'System(MB51)'!$L:$L,'Checking(ZSERIALS)'!$J29,'System(MB51)'!$O:$O,'Checking(ZSERIALS)'!$L29,'System(MB51)'!$A:$A,'Checking(ZSERIALS)'!P$3)))</f>
        <v>1</v>
      </c>
      <c r="Q29" s="173">
        <f>IF(K29="","",ABS(SUMIFS('System(MB51)'!$K:$K,'System(MB51)'!$L:$L,'Checking(ZSERIALS)'!$J29,'System(MB51)'!$O:$O,'Checking(ZSERIALS)'!$L29,'System(MB51)'!$A:$A,'Checking(ZSERIALS)'!Q$3)))</f>
        <v>0</v>
      </c>
      <c r="R29" s="173">
        <f>IF(L29="","",ABS(SUMIFS('System(MB51)'!$K:$K,'System(MB51)'!$L:$L,'Checking(ZSERIALS)'!$J29,'System(MB51)'!$O:$O,'Checking(ZSERIALS)'!$L29,'System(MB51)'!$A:$A,'Checking(ZSERIALS)'!R$3)))</f>
        <v>0</v>
      </c>
      <c r="S29" s="173">
        <f>IF(M29="","",ABS(SUMIFS('System(MB51)'!$K:$K,'System(MB51)'!$L:$L,'Checking(ZSERIALS)'!$J29,'System(MB51)'!$O:$O,'Checking(ZSERIALS)'!$L29,'System(MB51)'!$A:$A,'Checking(ZSERIALS)'!S$3)))</f>
        <v>10</v>
      </c>
      <c r="T29" s="173">
        <f>IF(N29="","",ABS(SUMIFS('System(MB51)'!$K:$K,'System(MB51)'!$L:$L,'Checking(ZSERIALS)'!$J29,'System(MB51)'!$O:$O,'Checking(ZSERIALS)'!$L29,'System(MB51)'!$A:$A,'Checking(ZSERIALS)'!T$3)))</f>
        <v>1</v>
      </c>
      <c r="U29" s="173">
        <f>IF(O29="","",ABS(SUMIFS('System(MB51)'!$K:$K,'System(MB51)'!$L:$L,'Checking(ZSERIALS)'!$J29,'System(MB51)'!$O:$O,'Checking(ZSERIALS)'!$L29,'System(MB51)'!$A:$A,'Checking(ZSERIALS)'!U$3)))</f>
        <v>10</v>
      </c>
      <c r="V29" s="165"/>
      <c r="W29" s="173">
        <f>IF($G29="","",INDEX(MLR!$1:$1048576,MATCH($G29,MLR!$J:$J,0),MATCH(W$3,MLR!$1:$1,0)))</f>
        <v>102</v>
      </c>
      <c r="X29" s="173">
        <f>IF($G29="","",INDEX(MLR!$1:$1048576,MATCH($G29,MLR!$J:$J,0),MATCH(X$3,MLR!$1:$1,0)))</f>
        <v>2</v>
      </c>
      <c r="Y29" s="173">
        <f>IF($G29="","",INDEX(MLR!$1:$1048576,MATCH($G29,MLR!$J:$J,0),MATCH(Y$3,MLR!$1:$1,0)))</f>
        <v>6</v>
      </c>
      <c r="Z29" s="173">
        <f>IF($G29="","",INDEX(MLR!$1:$1048576,MATCH($G29,MLR!$J:$J,0),MATCH(Z$3,MLR!$1:$1,0)))</f>
        <v>1</v>
      </c>
      <c r="AA29" s="173">
        <f>IF($G29="","",INDEX(MLR!$1:$1048576,MATCH($G29,MLR!$J:$J,0),MATCH(AA$3,MLR!$1:$1,0)))</f>
        <v>1</v>
      </c>
      <c r="AB29" s="173">
        <f>IF($G29="","",INDEX(MLR!$1:$1048576,MATCH($G29,MLR!$J:$J,0),MATCH(AB$3,MLR!$1:$1,0)))</f>
        <v>0</v>
      </c>
      <c r="AC29" s="173">
        <f>IF($G29="","",INDEX(MLR!$1:$1048576,MATCH($G29,MLR!$J:$J,0),MATCH(AC$3,MLR!$1:$1,0)))</f>
        <v>10</v>
      </c>
      <c r="AD29" s="173">
        <f>IF($G29="","",INDEX(MLR!$1:$1048576,MATCH($G29,MLR!$J:$J,0),MATCH(AD$3,MLR!$1:$1,0)))</f>
        <v>1</v>
      </c>
      <c r="AE29" s="173">
        <f>IF($G29="","",INDEX(MLR!$1:$1048576,MATCH($G29,MLR!$J:$J,0),MATCH(AE$3,MLR!$1:$1,0)))</f>
        <v>8</v>
      </c>
      <c r="AF29" s="174" t="str">
        <f>IF(G29="","",IFERROR(IF(MATCH($G29,MLR!$J:$J,0)&gt;0,"Installed","Not Found"),"Not Found"))</f>
        <v>Installed</v>
      </c>
      <c r="AG29" s="165"/>
      <c r="AH29" s="175" t="str">
        <f t="shared" si="0"/>
        <v>Short</v>
      </c>
      <c r="AI29" s="175" t="str">
        <f t="shared" si="1"/>
        <v>Correct</v>
      </c>
      <c r="AJ29" s="175" t="str">
        <f t="shared" si="2"/>
        <v>Short</v>
      </c>
      <c r="AK29" s="175" t="str">
        <f t="shared" si="3"/>
        <v>Correct</v>
      </c>
      <c r="AL29" s="175" t="str">
        <f t="shared" si="4"/>
        <v>Short</v>
      </c>
      <c r="AM29" s="175" t="str">
        <f t="shared" si="5"/>
        <v>Correct</v>
      </c>
      <c r="AN29" s="175" t="str">
        <f t="shared" si="6"/>
        <v>Correct</v>
      </c>
      <c r="AO29" s="175" t="str">
        <f t="shared" si="7"/>
        <v>Correct</v>
      </c>
      <c r="AP29" s="175" t="str">
        <f t="shared" si="8"/>
        <v>Over</v>
      </c>
      <c r="AQ29" s="165"/>
      <c r="AR29" s="173">
        <f t="shared" si="20"/>
        <v>-102</v>
      </c>
      <c r="AS29" s="173">
        <f t="shared" si="21"/>
        <v>0</v>
      </c>
      <c r="AT29" s="173">
        <f t="shared" si="22"/>
        <v>-6</v>
      </c>
      <c r="AU29" s="173">
        <f t="shared" si="23"/>
        <v>0</v>
      </c>
      <c r="AV29" s="173">
        <f t="shared" si="24"/>
        <v>-1</v>
      </c>
      <c r="AW29" s="173">
        <f t="shared" si="25"/>
        <v>0</v>
      </c>
      <c r="AX29" s="173">
        <f t="shared" si="26"/>
        <v>0</v>
      </c>
      <c r="AY29" s="173">
        <f t="shared" si="27"/>
        <v>0</v>
      </c>
      <c r="AZ29" s="173">
        <f t="shared" si="28"/>
        <v>2</v>
      </c>
      <c r="BA29" s="165"/>
      <c r="BB29" s="174" t="str">
        <f t="shared" si="19"/>
        <v>With Variance</v>
      </c>
    </row>
    <row r="30" spans="1:54" s="36" customFormat="1" ht="13.8" x14ac:dyDescent="0.3">
      <c r="A30" s="128" t="str">
        <f>_xlfn.XLOOKUP(B30,'Cuttof Mapping'!A:A,'Cuttof Mapping'!D:D)</f>
        <v>2023 Dec 2nd</v>
      </c>
      <c r="B30" s="133">
        <v>45299</v>
      </c>
      <c r="C30" s="86" t="s">
        <v>183</v>
      </c>
      <c r="D30" s="79" t="s">
        <v>63</v>
      </c>
      <c r="E30" s="86">
        <v>4500866</v>
      </c>
      <c r="F30" s="86" t="s">
        <v>91</v>
      </c>
      <c r="G30" s="86" t="s">
        <v>184</v>
      </c>
      <c r="H30" s="86">
        <v>10001035</v>
      </c>
      <c r="I30" s="86" t="s">
        <v>90</v>
      </c>
      <c r="J30" s="86">
        <v>1680000718727</v>
      </c>
      <c r="K30" s="86" t="s">
        <v>54</v>
      </c>
      <c r="L30" s="86" t="s">
        <v>185</v>
      </c>
      <c r="M30" s="173">
        <f>IF(G30="","",ABS(SUMIFS('System(MB51)'!$K:$K,'System(MB51)'!$L:$L,'Checking(ZSERIALS)'!$J30,'System(MB51)'!$O:$O,'Checking(ZSERIALS)'!$L30,'System(MB51)'!$A:$A,'Checking(ZSERIALS)'!M$3)))</f>
        <v>0</v>
      </c>
      <c r="N30" s="173">
        <f>IF(H30="","",ABS(SUMIFS('System(MB51)'!$K:$K,'System(MB51)'!$L:$L,'Checking(ZSERIALS)'!$J30,'System(MB51)'!$O:$O,'Checking(ZSERIALS)'!$L30,'System(MB51)'!$A:$A,'Checking(ZSERIALS)'!N$3)))</f>
        <v>2</v>
      </c>
      <c r="O30" s="173">
        <f>IF(I30="","",ABS(SUMIFS('System(MB51)'!$K:$K,'System(MB51)'!$L:$L,'Checking(ZSERIALS)'!$J30,'System(MB51)'!$O:$O,'Checking(ZSERIALS)'!$L30,'System(MB51)'!$A:$A,'Checking(ZSERIALS)'!O$3)))</f>
        <v>0</v>
      </c>
      <c r="P30" s="173">
        <f>IF(J30="","",ABS(SUMIFS('System(MB51)'!$K:$K,'System(MB51)'!$L:$L,'Checking(ZSERIALS)'!$J30,'System(MB51)'!$O:$O,'Checking(ZSERIALS)'!$L30,'System(MB51)'!$A:$A,'Checking(ZSERIALS)'!P$3)))</f>
        <v>1</v>
      </c>
      <c r="Q30" s="173">
        <f>IF(K30="","",ABS(SUMIFS('System(MB51)'!$K:$K,'System(MB51)'!$L:$L,'Checking(ZSERIALS)'!$J30,'System(MB51)'!$O:$O,'Checking(ZSERIALS)'!$L30,'System(MB51)'!$A:$A,'Checking(ZSERIALS)'!Q$3)))</f>
        <v>0</v>
      </c>
      <c r="R30" s="173">
        <f>IF(L30="","",ABS(SUMIFS('System(MB51)'!$K:$K,'System(MB51)'!$L:$L,'Checking(ZSERIALS)'!$J30,'System(MB51)'!$O:$O,'Checking(ZSERIALS)'!$L30,'System(MB51)'!$A:$A,'Checking(ZSERIALS)'!R$3)))</f>
        <v>0</v>
      </c>
      <c r="S30" s="173">
        <f>IF(M30="","",ABS(SUMIFS('System(MB51)'!$K:$K,'System(MB51)'!$L:$L,'Checking(ZSERIALS)'!$J30,'System(MB51)'!$O:$O,'Checking(ZSERIALS)'!$L30,'System(MB51)'!$A:$A,'Checking(ZSERIALS)'!S$3)))</f>
        <v>8</v>
      </c>
      <c r="T30" s="173">
        <f>IF(N30="","",ABS(SUMIFS('System(MB51)'!$K:$K,'System(MB51)'!$L:$L,'Checking(ZSERIALS)'!$J30,'System(MB51)'!$O:$O,'Checking(ZSERIALS)'!$L30,'System(MB51)'!$A:$A,'Checking(ZSERIALS)'!T$3)))</f>
        <v>1</v>
      </c>
      <c r="U30" s="173">
        <f>IF(O30="","",ABS(SUMIFS('System(MB51)'!$K:$K,'System(MB51)'!$L:$L,'Checking(ZSERIALS)'!$J30,'System(MB51)'!$O:$O,'Checking(ZSERIALS)'!$L30,'System(MB51)'!$A:$A,'Checking(ZSERIALS)'!U$3)))</f>
        <v>8</v>
      </c>
      <c r="V30" s="165"/>
      <c r="W30" s="173">
        <f>IF($G30="","",INDEX(MLR!$1:$1048576,MATCH($G30,MLR!$J:$J,0),MATCH(W$3,MLR!$1:$1,0)))</f>
        <v>129</v>
      </c>
      <c r="X30" s="173">
        <f>IF($G30="","",INDEX(MLR!$1:$1048576,MATCH($G30,MLR!$J:$J,0),MATCH(X$3,MLR!$1:$1,0)))</f>
        <v>2</v>
      </c>
      <c r="Y30" s="173">
        <f>IF($G30="","",INDEX(MLR!$1:$1048576,MATCH($G30,MLR!$J:$J,0),MATCH(Y$3,MLR!$1:$1,0)))</f>
        <v>6</v>
      </c>
      <c r="Z30" s="173">
        <f>IF($G30="","",INDEX(MLR!$1:$1048576,MATCH($G30,MLR!$J:$J,0),MATCH(Z$3,MLR!$1:$1,0)))</f>
        <v>1</v>
      </c>
      <c r="AA30" s="173">
        <f>IF($G30="","",INDEX(MLR!$1:$1048576,MATCH($G30,MLR!$J:$J,0),MATCH(AA$3,MLR!$1:$1,0)))</f>
        <v>1</v>
      </c>
      <c r="AB30" s="173">
        <f>IF($G30="","",INDEX(MLR!$1:$1048576,MATCH($G30,MLR!$J:$J,0),MATCH(AB$3,MLR!$1:$1,0)))</f>
        <v>0</v>
      </c>
      <c r="AC30" s="173">
        <f>IF($G30="","",INDEX(MLR!$1:$1048576,MATCH($G30,MLR!$J:$J,0),MATCH(AC$3,MLR!$1:$1,0)))</f>
        <v>8</v>
      </c>
      <c r="AD30" s="173">
        <f>IF($G30="","",INDEX(MLR!$1:$1048576,MATCH($G30,MLR!$J:$J,0),MATCH(AD$3,MLR!$1:$1,0)))</f>
        <v>1</v>
      </c>
      <c r="AE30" s="173">
        <f>IF($G30="","",INDEX(MLR!$1:$1048576,MATCH($G30,MLR!$J:$J,0),MATCH(AE$3,MLR!$1:$1,0)))</f>
        <v>10</v>
      </c>
      <c r="AF30" s="174" t="str">
        <f>IF(G30="","",IFERROR(IF(MATCH($G30,MLR!$J:$J,0)&gt;0,"Installed","Not Found"),"Not Found"))</f>
        <v>Installed</v>
      </c>
      <c r="AG30" s="165"/>
      <c r="AH30" s="175" t="str">
        <f t="shared" si="0"/>
        <v>Short</v>
      </c>
      <c r="AI30" s="175" t="str">
        <f t="shared" si="1"/>
        <v>Correct</v>
      </c>
      <c r="AJ30" s="175" t="str">
        <f t="shared" si="2"/>
        <v>Short</v>
      </c>
      <c r="AK30" s="175" t="str">
        <f t="shared" si="3"/>
        <v>Correct</v>
      </c>
      <c r="AL30" s="175" t="str">
        <f t="shared" si="4"/>
        <v>Short</v>
      </c>
      <c r="AM30" s="175" t="str">
        <f t="shared" si="5"/>
        <v>Correct</v>
      </c>
      <c r="AN30" s="175" t="str">
        <f t="shared" si="6"/>
        <v>Correct</v>
      </c>
      <c r="AO30" s="175" t="str">
        <f t="shared" si="7"/>
        <v>Correct</v>
      </c>
      <c r="AP30" s="175" t="str">
        <f t="shared" si="8"/>
        <v>Short</v>
      </c>
      <c r="AQ30" s="165"/>
      <c r="AR30" s="173">
        <f t="shared" si="20"/>
        <v>-129</v>
      </c>
      <c r="AS30" s="173">
        <f t="shared" si="21"/>
        <v>0</v>
      </c>
      <c r="AT30" s="173">
        <f t="shared" si="22"/>
        <v>-6</v>
      </c>
      <c r="AU30" s="173">
        <f t="shared" si="23"/>
        <v>0</v>
      </c>
      <c r="AV30" s="173">
        <f t="shared" si="24"/>
        <v>-1</v>
      </c>
      <c r="AW30" s="173">
        <f t="shared" si="25"/>
        <v>0</v>
      </c>
      <c r="AX30" s="173">
        <f t="shared" si="26"/>
        <v>0</v>
      </c>
      <c r="AY30" s="173">
        <f t="shared" si="27"/>
        <v>0</v>
      </c>
      <c r="AZ30" s="173">
        <f t="shared" si="28"/>
        <v>-2</v>
      </c>
      <c r="BA30" s="165"/>
      <c r="BB30" s="174" t="str">
        <f t="shared" si="19"/>
        <v>With Variance</v>
      </c>
    </row>
    <row r="31" spans="1:54" s="36" customFormat="1" ht="13.8" x14ac:dyDescent="0.3">
      <c r="A31" s="128" t="str">
        <f>_xlfn.XLOOKUP(B31,'Cuttof Mapping'!A:A,'Cuttof Mapping'!D:D)</f>
        <v>2023 Dec 2nd</v>
      </c>
      <c r="B31" s="133">
        <v>45299</v>
      </c>
      <c r="C31" s="86" t="s">
        <v>186</v>
      </c>
      <c r="D31" s="79" t="s">
        <v>63</v>
      </c>
      <c r="E31" s="86">
        <v>4500866</v>
      </c>
      <c r="F31" s="86" t="s">
        <v>91</v>
      </c>
      <c r="G31" s="86" t="s">
        <v>187</v>
      </c>
      <c r="H31" s="86">
        <v>10001035</v>
      </c>
      <c r="I31" s="86" t="s">
        <v>90</v>
      </c>
      <c r="J31" s="86">
        <v>1680000713096</v>
      </c>
      <c r="K31" s="86" t="s">
        <v>54</v>
      </c>
      <c r="L31" s="86" t="s">
        <v>188</v>
      </c>
      <c r="M31" s="173">
        <f>IF(G31="","",ABS(SUMIFS('System(MB51)'!$K:$K,'System(MB51)'!$L:$L,'Checking(ZSERIALS)'!$J31,'System(MB51)'!$O:$O,'Checking(ZSERIALS)'!$L31,'System(MB51)'!$A:$A,'Checking(ZSERIALS)'!M$3)))</f>
        <v>0</v>
      </c>
      <c r="N31" s="173">
        <f>IF(H31="","",ABS(SUMIFS('System(MB51)'!$K:$K,'System(MB51)'!$L:$L,'Checking(ZSERIALS)'!$J31,'System(MB51)'!$O:$O,'Checking(ZSERIALS)'!$L31,'System(MB51)'!$A:$A,'Checking(ZSERIALS)'!N$3)))</f>
        <v>0</v>
      </c>
      <c r="O31" s="173">
        <f>IF(I31="","",ABS(SUMIFS('System(MB51)'!$K:$K,'System(MB51)'!$L:$L,'Checking(ZSERIALS)'!$J31,'System(MB51)'!$O:$O,'Checking(ZSERIALS)'!$L31,'System(MB51)'!$A:$A,'Checking(ZSERIALS)'!O$3)))</f>
        <v>0</v>
      </c>
      <c r="P31" s="173">
        <f>IF(J31="","",ABS(SUMIFS('System(MB51)'!$K:$K,'System(MB51)'!$L:$L,'Checking(ZSERIALS)'!$J31,'System(MB51)'!$O:$O,'Checking(ZSERIALS)'!$L31,'System(MB51)'!$A:$A,'Checking(ZSERIALS)'!P$3)))</f>
        <v>1</v>
      </c>
      <c r="Q31" s="173">
        <f>IF(K31="","",ABS(SUMIFS('System(MB51)'!$K:$K,'System(MB51)'!$L:$L,'Checking(ZSERIALS)'!$J31,'System(MB51)'!$O:$O,'Checking(ZSERIALS)'!$L31,'System(MB51)'!$A:$A,'Checking(ZSERIALS)'!Q$3)))</f>
        <v>0</v>
      </c>
      <c r="R31" s="173">
        <f>IF(L31="","",ABS(SUMIFS('System(MB51)'!$K:$K,'System(MB51)'!$L:$L,'Checking(ZSERIALS)'!$J31,'System(MB51)'!$O:$O,'Checking(ZSERIALS)'!$L31,'System(MB51)'!$A:$A,'Checking(ZSERIALS)'!R$3)))</f>
        <v>0</v>
      </c>
      <c r="S31" s="173">
        <f>IF(M31="","",ABS(SUMIFS('System(MB51)'!$K:$K,'System(MB51)'!$L:$L,'Checking(ZSERIALS)'!$J31,'System(MB51)'!$O:$O,'Checking(ZSERIALS)'!$L31,'System(MB51)'!$A:$A,'Checking(ZSERIALS)'!S$3)))</f>
        <v>0</v>
      </c>
      <c r="T31" s="173">
        <f>IF(N31="","",ABS(SUMIFS('System(MB51)'!$K:$K,'System(MB51)'!$L:$L,'Checking(ZSERIALS)'!$J31,'System(MB51)'!$O:$O,'Checking(ZSERIALS)'!$L31,'System(MB51)'!$A:$A,'Checking(ZSERIALS)'!T$3)))</f>
        <v>0</v>
      </c>
      <c r="U31" s="173">
        <f>IF(O31="","",ABS(SUMIFS('System(MB51)'!$K:$K,'System(MB51)'!$L:$L,'Checking(ZSERIALS)'!$J31,'System(MB51)'!$O:$O,'Checking(ZSERIALS)'!$L31,'System(MB51)'!$A:$A,'Checking(ZSERIALS)'!U$3)))</f>
        <v>0</v>
      </c>
      <c r="V31" s="165"/>
      <c r="W31" s="173">
        <f>IF($G31="","",INDEX(MLR!$1:$1048576,MATCH($G31,MLR!$J:$J,0),MATCH(W$3,MLR!$1:$1,0)))</f>
        <v>57</v>
      </c>
      <c r="X31" s="173">
        <f>IF($G31="","",INDEX(MLR!$1:$1048576,MATCH($G31,MLR!$J:$J,0),MATCH(X$3,MLR!$1:$1,0)))</f>
        <v>2</v>
      </c>
      <c r="Y31" s="173">
        <f>IF($G31="","",INDEX(MLR!$1:$1048576,MATCH($G31,MLR!$J:$J,0),MATCH(Y$3,MLR!$1:$1,0)))</f>
        <v>2</v>
      </c>
      <c r="Z31" s="173">
        <f>IF($G31="","",INDEX(MLR!$1:$1048576,MATCH($G31,MLR!$J:$J,0),MATCH(Z$3,MLR!$1:$1,0)))</f>
        <v>1</v>
      </c>
      <c r="AA31" s="173">
        <f>IF($G31="","",INDEX(MLR!$1:$1048576,MATCH($G31,MLR!$J:$J,0),MATCH(AA$3,MLR!$1:$1,0)))</f>
        <v>0</v>
      </c>
      <c r="AB31" s="173">
        <f>IF($G31="","",INDEX(MLR!$1:$1048576,MATCH($G31,MLR!$J:$J,0),MATCH(AB$3,MLR!$1:$1,0)))</f>
        <v>0</v>
      </c>
      <c r="AC31" s="173">
        <f>IF($G31="","",INDEX(MLR!$1:$1048576,MATCH($G31,MLR!$J:$J,0),MATCH(AC$3,MLR!$1:$1,0)))</f>
        <v>3</v>
      </c>
      <c r="AD31" s="173">
        <f>IF($G31="","",INDEX(MLR!$1:$1048576,MATCH($G31,MLR!$J:$J,0),MATCH(AD$3,MLR!$1:$1,0)))</f>
        <v>1</v>
      </c>
      <c r="AE31" s="173">
        <f>IF($G31="","",INDEX(MLR!$1:$1048576,MATCH($G31,MLR!$J:$J,0),MATCH(AE$3,MLR!$1:$1,0)))</f>
        <v>8</v>
      </c>
      <c r="AF31" s="174" t="str">
        <f>IF(G31="","",IFERROR(IF(MATCH($G31,MLR!$J:$J,0)&gt;0,"Installed","Not Found"),"Not Found"))</f>
        <v>Installed</v>
      </c>
      <c r="AG31" s="165"/>
      <c r="AH31" s="175" t="str">
        <f t="shared" ref="AH31:AH34" si="29">IF(G31="","",IF(W31=M31,"Correct",IF(W31&gt;M31,"Short",IF(W31&lt;M31,"Over","Err."))))</f>
        <v>Short</v>
      </c>
      <c r="AI31" s="175" t="str">
        <f t="shared" ref="AI31:AI34" si="30">IF(H31="","",IF(X31=N31,"Correct",IF(X31&gt;N31,"Short",IF(X31&lt;N31,"Over","Err."))))</f>
        <v>Short</v>
      </c>
      <c r="AJ31" s="175" t="str">
        <f t="shared" ref="AJ31:AJ34" si="31">IF(I31="","",IF(Y31=O31,"Correct",IF(Y31&gt;O31,"Short",IF(Y31&lt;O31,"Over","Err."))))</f>
        <v>Short</v>
      </c>
      <c r="AK31" s="175" t="str">
        <f t="shared" ref="AK31:AK34" si="32">IF(J31="","",IF(Z31=P31,"Correct",IF(Z31&gt;P31,"Short",IF(Z31&lt;P31,"Over","Err."))))</f>
        <v>Correct</v>
      </c>
      <c r="AL31" s="175" t="str">
        <f t="shared" ref="AL31:AL34" si="33">IF(K31="","",IF(AA31=Q31,"Correct",IF(AA31&gt;Q31,"Short",IF(AA31&lt;Q31,"Over","Err."))))</f>
        <v>Correct</v>
      </c>
      <c r="AM31" s="175" t="str">
        <f t="shared" ref="AM31:AM34" si="34">IF(L31="","",IF(AB31=R31,"Correct",IF(AB31&gt;R31,"Short",IF(AB31&lt;R31,"Over","Err."))))</f>
        <v>Correct</v>
      </c>
      <c r="AN31" s="175" t="str">
        <f t="shared" ref="AN31:AN34" si="35">IF(M31="","",IF(AC31=S31,"Correct",IF(AC31&gt;S31,"Short",IF(AC31&lt;S31,"Over","Err."))))</f>
        <v>Short</v>
      </c>
      <c r="AO31" s="175" t="str">
        <f t="shared" ref="AO31:AO34" si="36">IF(N31="","",IF(AD31=T31,"Correct",IF(AD31&gt;T31,"Short",IF(AD31&lt;T31,"Over","Err."))))</f>
        <v>Short</v>
      </c>
      <c r="AP31" s="175" t="str">
        <f t="shared" ref="AP31:AP34" si="37">IF(O31="","",IF(AE31=U31,"Correct",IF(AE31&gt;U31,"Short",IF(AE31&lt;U31,"Over","Err."))))</f>
        <v>Short</v>
      </c>
      <c r="AQ31" s="165"/>
      <c r="AR31" s="173">
        <f t="shared" si="20"/>
        <v>-57</v>
      </c>
      <c r="AS31" s="173">
        <f t="shared" si="21"/>
        <v>-2</v>
      </c>
      <c r="AT31" s="173">
        <f t="shared" si="22"/>
        <v>-2</v>
      </c>
      <c r="AU31" s="173">
        <f t="shared" si="23"/>
        <v>0</v>
      </c>
      <c r="AV31" s="173">
        <f t="shared" si="24"/>
        <v>0</v>
      </c>
      <c r="AW31" s="173">
        <f t="shared" si="25"/>
        <v>0</v>
      </c>
      <c r="AX31" s="173">
        <f t="shared" si="26"/>
        <v>-3</v>
      </c>
      <c r="AY31" s="173">
        <f t="shared" si="27"/>
        <v>-1</v>
      </c>
      <c r="AZ31" s="173">
        <f t="shared" si="28"/>
        <v>-8</v>
      </c>
      <c r="BA31" s="165"/>
      <c r="BB31" s="174" t="str">
        <f t="shared" si="19"/>
        <v>With Variance</v>
      </c>
    </row>
    <row r="32" spans="1:54" s="36" customFormat="1" ht="13.8" x14ac:dyDescent="0.3">
      <c r="A32" s="128" t="str">
        <f>_xlfn.XLOOKUP(B32,'Cuttof Mapping'!A:A,'Cuttof Mapping'!D:D)</f>
        <v>2023 Dec 2nd</v>
      </c>
      <c r="B32" s="133">
        <v>45299</v>
      </c>
      <c r="C32" s="86" t="s">
        <v>189</v>
      </c>
      <c r="D32" s="79" t="s">
        <v>63</v>
      </c>
      <c r="E32" s="86">
        <v>4500866</v>
      </c>
      <c r="F32" s="86" t="s">
        <v>91</v>
      </c>
      <c r="G32" s="86" t="s">
        <v>190</v>
      </c>
      <c r="H32" s="86">
        <v>10001035</v>
      </c>
      <c r="I32" s="86" t="s">
        <v>90</v>
      </c>
      <c r="J32" s="86">
        <v>1680000695259</v>
      </c>
      <c r="K32" s="86" t="s">
        <v>54</v>
      </c>
      <c r="L32" s="86" t="s">
        <v>191</v>
      </c>
      <c r="M32" s="173">
        <f>IF(G32="","",ABS(SUMIFS('System(MB51)'!$K:$K,'System(MB51)'!$L:$L,'Checking(ZSERIALS)'!$J32,'System(MB51)'!$O:$O,'Checking(ZSERIALS)'!$L32,'System(MB51)'!$A:$A,'Checking(ZSERIALS)'!M$3)))</f>
        <v>0</v>
      </c>
      <c r="N32" s="173">
        <f>IF(H32="","",ABS(SUMIFS('System(MB51)'!$K:$K,'System(MB51)'!$L:$L,'Checking(ZSERIALS)'!$J32,'System(MB51)'!$O:$O,'Checking(ZSERIALS)'!$L32,'System(MB51)'!$A:$A,'Checking(ZSERIALS)'!N$3)))</f>
        <v>2</v>
      </c>
      <c r="O32" s="173">
        <f>IF(I32="","",ABS(SUMIFS('System(MB51)'!$K:$K,'System(MB51)'!$L:$L,'Checking(ZSERIALS)'!$J32,'System(MB51)'!$O:$O,'Checking(ZSERIALS)'!$L32,'System(MB51)'!$A:$A,'Checking(ZSERIALS)'!O$3)))</f>
        <v>0</v>
      </c>
      <c r="P32" s="173">
        <f>IF(J32="","",ABS(SUMIFS('System(MB51)'!$K:$K,'System(MB51)'!$L:$L,'Checking(ZSERIALS)'!$J32,'System(MB51)'!$O:$O,'Checking(ZSERIALS)'!$L32,'System(MB51)'!$A:$A,'Checking(ZSERIALS)'!P$3)))</f>
        <v>1</v>
      </c>
      <c r="Q32" s="173">
        <f>IF(K32="","",ABS(SUMIFS('System(MB51)'!$K:$K,'System(MB51)'!$L:$L,'Checking(ZSERIALS)'!$J32,'System(MB51)'!$O:$O,'Checking(ZSERIALS)'!$L32,'System(MB51)'!$A:$A,'Checking(ZSERIALS)'!Q$3)))</f>
        <v>0</v>
      </c>
      <c r="R32" s="173">
        <f>IF(L32="","",ABS(SUMIFS('System(MB51)'!$K:$K,'System(MB51)'!$L:$L,'Checking(ZSERIALS)'!$J32,'System(MB51)'!$O:$O,'Checking(ZSERIALS)'!$L32,'System(MB51)'!$A:$A,'Checking(ZSERIALS)'!R$3)))</f>
        <v>0</v>
      </c>
      <c r="S32" s="173">
        <f>IF(M32="","",ABS(SUMIFS('System(MB51)'!$K:$K,'System(MB51)'!$L:$L,'Checking(ZSERIALS)'!$J32,'System(MB51)'!$O:$O,'Checking(ZSERIALS)'!$L32,'System(MB51)'!$A:$A,'Checking(ZSERIALS)'!S$3)))</f>
        <v>8</v>
      </c>
      <c r="T32" s="173">
        <f>IF(N32="","",ABS(SUMIFS('System(MB51)'!$K:$K,'System(MB51)'!$L:$L,'Checking(ZSERIALS)'!$J32,'System(MB51)'!$O:$O,'Checking(ZSERIALS)'!$L32,'System(MB51)'!$A:$A,'Checking(ZSERIALS)'!T$3)))</f>
        <v>1</v>
      </c>
      <c r="U32" s="173">
        <f>IF(O32="","",ABS(SUMIFS('System(MB51)'!$K:$K,'System(MB51)'!$L:$L,'Checking(ZSERIALS)'!$J32,'System(MB51)'!$O:$O,'Checking(ZSERIALS)'!$L32,'System(MB51)'!$A:$A,'Checking(ZSERIALS)'!U$3)))</f>
        <v>8</v>
      </c>
      <c r="V32" s="165"/>
      <c r="W32" s="173">
        <f>IF($G32="","",INDEX(MLR!$1:$1048576,MATCH($G32,MLR!$J:$J,0),MATCH(W$3,MLR!$1:$1,0)))</f>
        <v>31</v>
      </c>
      <c r="X32" s="173">
        <f>IF($G32="","",INDEX(MLR!$1:$1048576,MATCH($G32,MLR!$J:$J,0),MATCH(X$3,MLR!$1:$1,0)))</f>
        <v>2</v>
      </c>
      <c r="Y32" s="173">
        <f>IF($G32="","",INDEX(MLR!$1:$1048576,MATCH($G32,MLR!$J:$J,0),MATCH(Y$3,MLR!$1:$1,0)))</f>
        <v>6</v>
      </c>
      <c r="Z32" s="173">
        <f>IF($G32="","",INDEX(MLR!$1:$1048576,MATCH($G32,MLR!$J:$J,0),MATCH(Z$3,MLR!$1:$1,0)))</f>
        <v>1</v>
      </c>
      <c r="AA32" s="173">
        <f>IF($G32="","",INDEX(MLR!$1:$1048576,MATCH($G32,MLR!$J:$J,0),MATCH(AA$3,MLR!$1:$1,0)))</f>
        <v>0</v>
      </c>
      <c r="AB32" s="173">
        <f>IF($G32="","",INDEX(MLR!$1:$1048576,MATCH($G32,MLR!$J:$J,0),MATCH(AB$3,MLR!$1:$1,0)))</f>
        <v>0</v>
      </c>
      <c r="AC32" s="173">
        <f>IF($G32="","",INDEX(MLR!$1:$1048576,MATCH($G32,MLR!$J:$J,0),MATCH(AC$3,MLR!$1:$1,0)))</f>
        <v>8</v>
      </c>
      <c r="AD32" s="173">
        <f>IF($G32="","",INDEX(MLR!$1:$1048576,MATCH($G32,MLR!$J:$J,0),MATCH(AD$3,MLR!$1:$1,0)))</f>
        <v>1</v>
      </c>
      <c r="AE32" s="173">
        <f>IF($G32="","",INDEX(MLR!$1:$1048576,MATCH($G32,MLR!$J:$J,0),MATCH(AE$3,MLR!$1:$1,0)))</f>
        <v>8</v>
      </c>
      <c r="AF32" s="174" t="str">
        <f>IF(G32="","",IFERROR(IF(MATCH($G32,MLR!$J:$J,0)&gt;0,"Installed","Not Found"),"Not Found"))</f>
        <v>Installed</v>
      </c>
      <c r="AG32" s="165"/>
      <c r="AH32" s="175" t="str">
        <f t="shared" si="29"/>
        <v>Short</v>
      </c>
      <c r="AI32" s="175" t="str">
        <f t="shared" si="30"/>
        <v>Correct</v>
      </c>
      <c r="AJ32" s="175" t="str">
        <f t="shared" si="31"/>
        <v>Short</v>
      </c>
      <c r="AK32" s="175" t="str">
        <f t="shared" si="32"/>
        <v>Correct</v>
      </c>
      <c r="AL32" s="175" t="str">
        <f t="shared" si="33"/>
        <v>Correct</v>
      </c>
      <c r="AM32" s="175" t="str">
        <f t="shared" si="34"/>
        <v>Correct</v>
      </c>
      <c r="AN32" s="175" t="str">
        <f t="shared" si="35"/>
        <v>Correct</v>
      </c>
      <c r="AO32" s="175" t="str">
        <f t="shared" si="36"/>
        <v>Correct</v>
      </c>
      <c r="AP32" s="175" t="str">
        <f t="shared" si="37"/>
        <v>Correct</v>
      </c>
      <c r="AQ32" s="165"/>
      <c r="AR32" s="173">
        <f t="shared" si="20"/>
        <v>-31</v>
      </c>
      <c r="AS32" s="173">
        <f t="shared" si="21"/>
        <v>0</v>
      </c>
      <c r="AT32" s="173">
        <f t="shared" si="22"/>
        <v>-6</v>
      </c>
      <c r="AU32" s="173">
        <f t="shared" si="23"/>
        <v>0</v>
      </c>
      <c r="AV32" s="173">
        <f t="shared" si="24"/>
        <v>0</v>
      </c>
      <c r="AW32" s="173">
        <f t="shared" si="25"/>
        <v>0</v>
      </c>
      <c r="AX32" s="173">
        <f t="shared" si="26"/>
        <v>0</v>
      </c>
      <c r="AY32" s="173">
        <f t="shared" si="27"/>
        <v>0</v>
      </c>
      <c r="AZ32" s="173">
        <f t="shared" si="28"/>
        <v>0</v>
      </c>
      <c r="BA32" s="165"/>
      <c r="BB32" s="174" t="str">
        <f t="shared" si="19"/>
        <v>With Variance</v>
      </c>
    </row>
    <row r="33" spans="1:54" s="36" customFormat="1" ht="13.8" x14ac:dyDescent="0.3">
      <c r="A33" s="128" t="str">
        <f>_xlfn.XLOOKUP(B33,'Cuttof Mapping'!A:A,'Cuttof Mapping'!D:D)</f>
        <v>2023 Dec 2nd</v>
      </c>
      <c r="B33" s="133">
        <v>45300</v>
      </c>
      <c r="C33" s="86" t="s">
        <v>192</v>
      </c>
      <c r="D33" s="79" t="s">
        <v>63</v>
      </c>
      <c r="E33" s="86">
        <v>4500866</v>
      </c>
      <c r="F33" s="86" t="s">
        <v>91</v>
      </c>
      <c r="G33" s="86" t="s">
        <v>193</v>
      </c>
      <c r="H33" s="86">
        <v>10001003</v>
      </c>
      <c r="I33" s="86" t="s">
        <v>89</v>
      </c>
      <c r="J33" s="86">
        <v>1680000720549</v>
      </c>
      <c r="K33" s="86" t="s">
        <v>54</v>
      </c>
      <c r="L33" s="86" t="s">
        <v>194</v>
      </c>
      <c r="M33" s="173">
        <f>IF(G33="","",ABS(SUMIFS('System(MB51)'!$K:$K,'System(MB51)'!$L:$L,'Checking(ZSERIALS)'!$J33,'System(MB51)'!$O:$O,'Checking(ZSERIALS)'!$L33,'System(MB51)'!$A:$A,'Checking(ZSERIALS)'!M$3)))</f>
        <v>0</v>
      </c>
      <c r="N33" s="173">
        <f>IF(H33="","",ABS(SUMIFS('System(MB51)'!$K:$K,'System(MB51)'!$L:$L,'Checking(ZSERIALS)'!$J33,'System(MB51)'!$O:$O,'Checking(ZSERIALS)'!$L33,'System(MB51)'!$A:$A,'Checking(ZSERIALS)'!N$3)))</f>
        <v>0</v>
      </c>
      <c r="O33" s="173">
        <f>IF(I33="","",ABS(SUMIFS('System(MB51)'!$K:$K,'System(MB51)'!$L:$L,'Checking(ZSERIALS)'!$J33,'System(MB51)'!$O:$O,'Checking(ZSERIALS)'!$L33,'System(MB51)'!$A:$A,'Checking(ZSERIALS)'!O$3)))</f>
        <v>0</v>
      </c>
      <c r="P33" s="173">
        <f>IF(J33="","",ABS(SUMIFS('System(MB51)'!$K:$K,'System(MB51)'!$L:$L,'Checking(ZSERIALS)'!$J33,'System(MB51)'!$O:$O,'Checking(ZSERIALS)'!$L33,'System(MB51)'!$A:$A,'Checking(ZSERIALS)'!P$3)))</f>
        <v>0</v>
      </c>
      <c r="Q33" s="173">
        <f>IF(K33="","",ABS(SUMIFS('System(MB51)'!$K:$K,'System(MB51)'!$L:$L,'Checking(ZSERIALS)'!$J33,'System(MB51)'!$O:$O,'Checking(ZSERIALS)'!$L33,'System(MB51)'!$A:$A,'Checking(ZSERIALS)'!Q$3)))</f>
        <v>0</v>
      </c>
      <c r="R33" s="173">
        <f>IF(L33="","",ABS(SUMIFS('System(MB51)'!$K:$K,'System(MB51)'!$L:$L,'Checking(ZSERIALS)'!$J33,'System(MB51)'!$O:$O,'Checking(ZSERIALS)'!$L33,'System(MB51)'!$A:$A,'Checking(ZSERIALS)'!R$3)))</f>
        <v>0</v>
      </c>
      <c r="S33" s="173">
        <f>IF(M33="","",ABS(SUMIFS('System(MB51)'!$K:$K,'System(MB51)'!$L:$L,'Checking(ZSERIALS)'!$J33,'System(MB51)'!$O:$O,'Checking(ZSERIALS)'!$L33,'System(MB51)'!$A:$A,'Checking(ZSERIALS)'!S$3)))</f>
        <v>0</v>
      </c>
      <c r="T33" s="173">
        <f>IF(N33="","",ABS(SUMIFS('System(MB51)'!$K:$K,'System(MB51)'!$L:$L,'Checking(ZSERIALS)'!$J33,'System(MB51)'!$O:$O,'Checking(ZSERIALS)'!$L33,'System(MB51)'!$A:$A,'Checking(ZSERIALS)'!T$3)))</f>
        <v>1</v>
      </c>
      <c r="U33" s="173">
        <f>IF(O33="","",ABS(SUMIFS('System(MB51)'!$K:$K,'System(MB51)'!$L:$L,'Checking(ZSERIALS)'!$J33,'System(MB51)'!$O:$O,'Checking(ZSERIALS)'!$L33,'System(MB51)'!$A:$A,'Checking(ZSERIALS)'!U$3)))</f>
        <v>0</v>
      </c>
      <c r="V33" s="165"/>
      <c r="W33" s="173">
        <f>IF($G33="","",INDEX(MLR!$1:$1048576,MATCH($G33,MLR!$J:$J,0),MATCH(W$3,MLR!$1:$1,0)))</f>
        <v>309</v>
      </c>
      <c r="X33" s="173">
        <f>IF($G33="","",INDEX(MLR!$1:$1048576,MATCH($G33,MLR!$J:$J,0),MATCH(X$3,MLR!$1:$1,0)))</f>
        <v>2</v>
      </c>
      <c r="Y33" s="173">
        <f>IF($G33="","",INDEX(MLR!$1:$1048576,MATCH($G33,MLR!$J:$J,0),MATCH(Y$3,MLR!$1:$1,0)))</f>
        <v>14</v>
      </c>
      <c r="Z33" s="173">
        <f>IF($G33="","",INDEX(MLR!$1:$1048576,MATCH($G33,MLR!$J:$J,0),MATCH(Z$3,MLR!$1:$1,0)))</f>
        <v>1</v>
      </c>
      <c r="AA33" s="173">
        <f>IF($G33="","",INDEX(MLR!$1:$1048576,MATCH($G33,MLR!$J:$J,0),MATCH(AA$3,MLR!$1:$1,0)))</f>
        <v>0</v>
      </c>
      <c r="AB33" s="173">
        <f>IF($G33="","",INDEX(MLR!$1:$1048576,MATCH($G33,MLR!$J:$J,0),MATCH(AB$3,MLR!$1:$1,0)))</f>
        <v>0</v>
      </c>
      <c r="AC33" s="173">
        <f>IF($G33="","",INDEX(MLR!$1:$1048576,MATCH($G33,MLR!$J:$J,0),MATCH(AC$3,MLR!$1:$1,0)))</f>
        <v>10</v>
      </c>
      <c r="AD33" s="173">
        <f>IF($G33="","",INDEX(MLR!$1:$1048576,MATCH($G33,MLR!$J:$J,0),MATCH(AD$3,MLR!$1:$1,0)))</f>
        <v>1</v>
      </c>
      <c r="AE33" s="173">
        <f>IF($G33="","",INDEX(MLR!$1:$1048576,MATCH($G33,MLR!$J:$J,0),MATCH(AE$3,MLR!$1:$1,0)))</f>
        <v>8</v>
      </c>
      <c r="AF33" s="174" t="str">
        <f>IF(G33="","",IFERROR(IF(MATCH($G33,MLR!$J:$J,0)&gt;0,"Installed","Not Found"),"Not Found"))</f>
        <v>Installed</v>
      </c>
      <c r="AG33" s="165"/>
      <c r="AH33" s="175" t="str">
        <f t="shared" si="29"/>
        <v>Short</v>
      </c>
      <c r="AI33" s="175" t="str">
        <f t="shared" si="30"/>
        <v>Short</v>
      </c>
      <c r="AJ33" s="175" t="str">
        <f t="shared" si="31"/>
        <v>Short</v>
      </c>
      <c r="AK33" s="175" t="str">
        <f t="shared" si="32"/>
        <v>Short</v>
      </c>
      <c r="AL33" s="175" t="str">
        <f t="shared" si="33"/>
        <v>Correct</v>
      </c>
      <c r="AM33" s="175" t="str">
        <f t="shared" si="34"/>
        <v>Correct</v>
      </c>
      <c r="AN33" s="175" t="str">
        <f t="shared" si="35"/>
        <v>Short</v>
      </c>
      <c r="AO33" s="175" t="str">
        <f t="shared" si="36"/>
        <v>Correct</v>
      </c>
      <c r="AP33" s="175" t="str">
        <f t="shared" si="37"/>
        <v>Short</v>
      </c>
      <c r="AQ33" s="165"/>
      <c r="AR33" s="173">
        <f t="shared" si="20"/>
        <v>-309</v>
      </c>
      <c r="AS33" s="173">
        <f t="shared" si="21"/>
        <v>-2</v>
      </c>
      <c r="AT33" s="173">
        <f t="shared" si="22"/>
        <v>-14</v>
      </c>
      <c r="AU33" s="173">
        <f t="shared" si="23"/>
        <v>-1</v>
      </c>
      <c r="AV33" s="173">
        <f t="shared" si="24"/>
        <v>0</v>
      </c>
      <c r="AW33" s="173">
        <f t="shared" si="25"/>
        <v>0</v>
      </c>
      <c r="AX33" s="173">
        <f t="shared" si="26"/>
        <v>-10</v>
      </c>
      <c r="AY33" s="173">
        <f t="shared" si="27"/>
        <v>0</v>
      </c>
      <c r="AZ33" s="173">
        <f t="shared" si="28"/>
        <v>-8</v>
      </c>
      <c r="BA33" s="165"/>
      <c r="BB33" s="174" t="str">
        <f t="shared" si="19"/>
        <v>With Variance</v>
      </c>
    </row>
    <row r="34" spans="1:54" s="36" customFormat="1" ht="13.8" x14ac:dyDescent="0.3">
      <c r="A34" s="128" t="str">
        <f>_xlfn.XLOOKUP(B34,'Cuttof Mapping'!A:A,'Cuttof Mapping'!D:D)</f>
        <v>2023 Dec 2nd</v>
      </c>
      <c r="B34" s="133">
        <v>45300</v>
      </c>
      <c r="C34" s="86" t="s">
        <v>195</v>
      </c>
      <c r="D34" s="79" t="s">
        <v>63</v>
      </c>
      <c r="E34" s="86">
        <v>4500866</v>
      </c>
      <c r="F34" s="86" t="s">
        <v>91</v>
      </c>
      <c r="G34" s="86" t="s">
        <v>196</v>
      </c>
      <c r="H34" s="86">
        <v>10001035</v>
      </c>
      <c r="I34" s="86" t="s">
        <v>90</v>
      </c>
      <c r="J34" s="86">
        <v>1680000721575</v>
      </c>
      <c r="K34" s="86" t="s">
        <v>54</v>
      </c>
      <c r="L34" s="86" t="s">
        <v>197</v>
      </c>
      <c r="M34" s="173">
        <f>IF(G34="","",ABS(SUMIFS('System(MB51)'!$K:$K,'System(MB51)'!$L:$L,'Checking(ZSERIALS)'!$J34,'System(MB51)'!$O:$O,'Checking(ZSERIALS)'!$L34,'System(MB51)'!$A:$A,'Checking(ZSERIALS)'!M$3)))</f>
        <v>0</v>
      </c>
      <c r="N34" s="173">
        <f>IF(H34="","",ABS(SUMIFS('System(MB51)'!$K:$K,'System(MB51)'!$L:$L,'Checking(ZSERIALS)'!$J34,'System(MB51)'!$O:$O,'Checking(ZSERIALS)'!$L34,'System(MB51)'!$A:$A,'Checking(ZSERIALS)'!N$3)))</f>
        <v>2</v>
      </c>
      <c r="O34" s="173">
        <f>IF(I34="","",ABS(SUMIFS('System(MB51)'!$K:$K,'System(MB51)'!$L:$L,'Checking(ZSERIALS)'!$J34,'System(MB51)'!$O:$O,'Checking(ZSERIALS)'!$L34,'System(MB51)'!$A:$A,'Checking(ZSERIALS)'!O$3)))</f>
        <v>0</v>
      </c>
      <c r="P34" s="173">
        <f>IF(J34="","",ABS(SUMIFS('System(MB51)'!$K:$K,'System(MB51)'!$L:$L,'Checking(ZSERIALS)'!$J34,'System(MB51)'!$O:$O,'Checking(ZSERIALS)'!$L34,'System(MB51)'!$A:$A,'Checking(ZSERIALS)'!P$3)))</f>
        <v>1</v>
      </c>
      <c r="Q34" s="173">
        <f>IF(K34="","",ABS(SUMIFS('System(MB51)'!$K:$K,'System(MB51)'!$L:$L,'Checking(ZSERIALS)'!$J34,'System(MB51)'!$O:$O,'Checking(ZSERIALS)'!$L34,'System(MB51)'!$A:$A,'Checking(ZSERIALS)'!Q$3)))</f>
        <v>0</v>
      </c>
      <c r="R34" s="173">
        <f>IF(L34="","",ABS(SUMIFS('System(MB51)'!$K:$K,'System(MB51)'!$L:$L,'Checking(ZSERIALS)'!$J34,'System(MB51)'!$O:$O,'Checking(ZSERIALS)'!$L34,'System(MB51)'!$A:$A,'Checking(ZSERIALS)'!R$3)))</f>
        <v>0</v>
      </c>
      <c r="S34" s="173">
        <f>IF(M34="","",ABS(SUMIFS('System(MB51)'!$K:$K,'System(MB51)'!$L:$L,'Checking(ZSERIALS)'!$J34,'System(MB51)'!$O:$O,'Checking(ZSERIALS)'!$L34,'System(MB51)'!$A:$A,'Checking(ZSERIALS)'!S$3)))</f>
        <v>10</v>
      </c>
      <c r="T34" s="173">
        <f>IF(N34="","",ABS(SUMIFS('System(MB51)'!$K:$K,'System(MB51)'!$L:$L,'Checking(ZSERIALS)'!$J34,'System(MB51)'!$O:$O,'Checking(ZSERIALS)'!$L34,'System(MB51)'!$A:$A,'Checking(ZSERIALS)'!T$3)))</f>
        <v>1</v>
      </c>
      <c r="U34" s="173">
        <f>IF(O34="","",ABS(SUMIFS('System(MB51)'!$K:$K,'System(MB51)'!$L:$L,'Checking(ZSERIALS)'!$J34,'System(MB51)'!$O:$O,'Checking(ZSERIALS)'!$L34,'System(MB51)'!$A:$A,'Checking(ZSERIALS)'!U$3)))</f>
        <v>10</v>
      </c>
      <c r="V34" s="165"/>
      <c r="W34" s="173">
        <f>IF($G34="","",INDEX(MLR!$1:$1048576,MATCH($G34,MLR!$J:$J,0),MATCH(W$3,MLR!$1:$1,0)))</f>
        <v>116</v>
      </c>
      <c r="X34" s="173">
        <f>IF($G34="","",INDEX(MLR!$1:$1048576,MATCH($G34,MLR!$J:$J,0),MATCH(X$3,MLR!$1:$1,0)))</f>
        <v>2</v>
      </c>
      <c r="Y34" s="173">
        <f>IF($G34="","",INDEX(MLR!$1:$1048576,MATCH($G34,MLR!$J:$J,0),MATCH(Y$3,MLR!$1:$1,0)))</f>
        <v>8</v>
      </c>
      <c r="Z34" s="173">
        <f>IF($G34="","",INDEX(MLR!$1:$1048576,MATCH($G34,MLR!$J:$J,0),MATCH(Z$3,MLR!$1:$1,0)))</f>
        <v>1</v>
      </c>
      <c r="AA34" s="173">
        <f>IF($G34="","",INDEX(MLR!$1:$1048576,MATCH($G34,MLR!$J:$J,0),MATCH(AA$3,MLR!$1:$1,0)))</f>
        <v>0</v>
      </c>
      <c r="AB34" s="173">
        <f>IF($G34="","",INDEX(MLR!$1:$1048576,MATCH($G34,MLR!$J:$J,0),MATCH(AB$3,MLR!$1:$1,0)))</f>
        <v>0</v>
      </c>
      <c r="AC34" s="173">
        <f>IF($G34="","",INDEX(MLR!$1:$1048576,MATCH($G34,MLR!$J:$J,0),MATCH(AC$3,MLR!$1:$1,0)))</f>
        <v>10</v>
      </c>
      <c r="AD34" s="173">
        <f>IF($G34="","",INDEX(MLR!$1:$1048576,MATCH($G34,MLR!$J:$J,0),MATCH(AD$3,MLR!$1:$1,0)))</f>
        <v>1</v>
      </c>
      <c r="AE34" s="173">
        <f>IF($G34="","",INDEX(MLR!$1:$1048576,MATCH($G34,MLR!$J:$J,0),MATCH(AE$3,MLR!$1:$1,0)))</f>
        <v>8</v>
      </c>
      <c r="AF34" s="174" t="str">
        <f>IF(G34="","",IFERROR(IF(MATCH($G34,MLR!$J:$J,0)&gt;0,"Installed","Not Found"),"Not Found"))</f>
        <v>Installed</v>
      </c>
      <c r="AG34" s="165"/>
      <c r="AH34" s="175" t="str">
        <f t="shared" si="29"/>
        <v>Short</v>
      </c>
      <c r="AI34" s="175" t="str">
        <f t="shared" si="30"/>
        <v>Correct</v>
      </c>
      <c r="AJ34" s="175" t="str">
        <f t="shared" si="31"/>
        <v>Short</v>
      </c>
      <c r="AK34" s="175" t="str">
        <f t="shared" si="32"/>
        <v>Correct</v>
      </c>
      <c r="AL34" s="175" t="str">
        <f t="shared" si="33"/>
        <v>Correct</v>
      </c>
      <c r="AM34" s="175" t="str">
        <f t="shared" si="34"/>
        <v>Correct</v>
      </c>
      <c r="AN34" s="175" t="str">
        <f t="shared" si="35"/>
        <v>Correct</v>
      </c>
      <c r="AO34" s="175" t="str">
        <f t="shared" si="36"/>
        <v>Correct</v>
      </c>
      <c r="AP34" s="175" t="str">
        <f t="shared" si="37"/>
        <v>Over</v>
      </c>
      <c r="AQ34" s="165"/>
      <c r="AR34" s="173">
        <f t="shared" si="20"/>
        <v>-116</v>
      </c>
      <c r="AS34" s="173">
        <f t="shared" si="21"/>
        <v>0</v>
      </c>
      <c r="AT34" s="173">
        <f t="shared" si="22"/>
        <v>-8</v>
      </c>
      <c r="AU34" s="173">
        <f t="shared" si="23"/>
        <v>0</v>
      </c>
      <c r="AV34" s="173">
        <f t="shared" si="24"/>
        <v>0</v>
      </c>
      <c r="AW34" s="173">
        <f t="shared" si="25"/>
        <v>0</v>
      </c>
      <c r="AX34" s="173">
        <f t="shared" si="26"/>
        <v>0</v>
      </c>
      <c r="AY34" s="173">
        <f t="shared" si="27"/>
        <v>0</v>
      </c>
      <c r="AZ34" s="173">
        <f t="shared" si="28"/>
        <v>2</v>
      </c>
      <c r="BA34" s="165"/>
      <c r="BB34" s="174" t="str">
        <f t="shared" si="19"/>
        <v>With Variance</v>
      </c>
    </row>
    <row r="35" spans="1:54" s="36" customFormat="1" ht="13.8" x14ac:dyDescent="0.3">
      <c r="A35" s="128" t="str">
        <f>_xlfn.XLOOKUP(B35,'Cuttof Mapping'!A:A,'Cuttof Mapping'!D:D)</f>
        <v>2023 Dec 2nd</v>
      </c>
      <c r="B35" s="133">
        <v>45300</v>
      </c>
      <c r="C35" s="86" t="s">
        <v>198</v>
      </c>
      <c r="D35" s="79" t="s">
        <v>63</v>
      </c>
      <c r="E35" s="86">
        <v>4500866</v>
      </c>
      <c r="F35" s="86" t="s">
        <v>91</v>
      </c>
      <c r="G35" s="86" t="s">
        <v>199</v>
      </c>
      <c r="H35" s="86">
        <v>10001035</v>
      </c>
      <c r="I35" s="86" t="s">
        <v>90</v>
      </c>
      <c r="J35" s="86">
        <v>1680000722982</v>
      </c>
      <c r="K35" s="86" t="s">
        <v>54</v>
      </c>
      <c r="L35" s="86" t="s">
        <v>200</v>
      </c>
      <c r="M35" s="173">
        <f>IF(G35="","",ABS(SUMIFS('System(MB51)'!$K:$K,'System(MB51)'!$L:$L,'Checking(ZSERIALS)'!$J35,'System(MB51)'!$O:$O,'Checking(ZSERIALS)'!$L35,'System(MB51)'!$A:$A,'Checking(ZSERIALS)'!M$3)))</f>
        <v>0</v>
      </c>
      <c r="N35" s="173">
        <f>IF(H35="","",ABS(SUMIFS('System(MB51)'!$K:$K,'System(MB51)'!$L:$L,'Checking(ZSERIALS)'!$J35,'System(MB51)'!$O:$O,'Checking(ZSERIALS)'!$L35,'System(MB51)'!$A:$A,'Checking(ZSERIALS)'!N$3)))</f>
        <v>2</v>
      </c>
      <c r="O35" s="173">
        <f>IF(I35="","",ABS(SUMIFS('System(MB51)'!$K:$K,'System(MB51)'!$L:$L,'Checking(ZSERIALS)'!$J35,'System(MB51)'!$O:$O,'Checking(ZSERIALS)'!$L35,'System(MB51)'!$A:$A,'Checking(ZSERIALS)'!O$3)))</f>
        <v>0</v>
      </c>
      <c r="P35" s="173">
        <f>IF(J35="","",ABS(SUMIFS('System(MB51)'!$K:$K,'System(MB51)'!$L:$L,'Checking(ZSERIALS)'!$J35,'System(MB51)'!$O:$O,'Checking(ZSERIALS)'!$L35,'System(MB51)'!$A:$A,'Checking(ZSERIALS)'!P$3)))</f>
        <v>1</v>
      </c>
      <c r="Q35" s="173">
        <f>IF(K35="","",ABS(SUMIFS('System(MB51)'!$K:$K,'System(MB51)'!$L:$L,'Checking(ZSERIALS)'!$J35,'System(MB51)'!$O:$O,'Checking(ZSERIALS)'!$L35,'System(MB51)'!$A:$A,'Checking(ZSERIALS)'!Q$3)))</f>
        <v>0</v>
      </c>
      <c r="R35" s="173">
        <f>IF(L35="","",ABS(SUMIFS('System(MB51)'!$K:$K,'System(MB51)'!$L:$L,'Checking(ZSERIALS)'!$J35,'System(MB51)'!$O:$O,'Checking(ZSERIALS)'!$L35,'System(MB51)'!$A:$A,'Checking(ZSERIALS)'!R$3)))</f>
        <v>0</v>
      </c>
      <c r="S35" s="173">
        <f>IF(M35="","",ABS(SUMIFS('System(MB51)'!$K:$K,'System(MB51)'!$L:$L,'Checking(ZSERIALS)'!$J35,'System(MB51)'!$O:$O,'Checking(ZSERIALS)'!$L35,'System(MB51)'!$A:$A,'Checking(ZSERIALS)'!S$3)))</f>
        <v>2</v>
      </c>
      <c r="T35" s="173">
        <f>IF(N35="","",ABS(SUMIFS('System(MB51)'!$K:$K,'System(MB51)'!$L:$L,'Checking(ZSERIALS)'!$J35,'System(MB51)'!$O:$O,'Checking(ZSERIALS)'!$L35,'System(MB51)'!$A:$A,'Checking(ZSERIALS)'!T$3)))</f>
        <v>1</v>
      </c>
      <c r="U35" s="173">
        <f>IF(O35="","",ABS(SUMIFS('System(MB51)'!$K:$K,'System(MB51)'!$L:$L,'Checking(ZSERIALS)'!$J35,'System(MB51)'!$O:$O,'Checking(ZSERIALS)'!$L35,'System(MB51)'!$A:$A,'Checking(ZSERIALS)'!U$3)))</f>
        <v>8</v>
      </c>
      <c r="V35" s="165"/>
      <c r="W35" s="173">
        <f>IF($G35="","",INDEX(MLR!$1:$1048576,MATCH($G35,MLR!$J:$J,0),MATCH(W$3,MLR!$1:$1,0)))</f>
        <v>116</v>
      </c>
      <c r="X35" s="173">
        <f>IF($G35="","",INDEX(MLR!$1:$1048576,MATCH($G35,MLR!$J:$J,0),MATCH(X$3,MLR!$1:$1,0)))</f>
        <v>2</v>
      </c>
      <c r="Y35" s="173">
        <f>IF($G35="","",INDEX(MLR!$1:$1048576,MATCH($G35,MLR!$J:$J,0),MATCH(Y$3,MLR!$1:$1,0)))</f>
        <v>6</v>
      </c>
      <c r="Z35" s="173">
        <f>IF($G35="","",INDEX(MLR!$1:$1048576,MATCH($G35,MLR!$J:$J,0),MATCH(Z$3,MLR!$1:$1,0)))</f>
        <v>1</v>
      </c>
      <c r="AA35" s="173">
        <f>IF($G35="","",INDEX(MLR!$1:$1048576,MATCH($G35,MLR!$J:$J,0),MATCH(AA$3,MLR!$1:$1,0)))</f>
        <v>0</v>
      </c>
      <c r="AB35" s="173">
        <f>IF($G35="","",INDEX(MLR!$1:$1048576,MATCH($G35,MLR!$J:$J,0),MATCH(AB$3,MLR!$1:$1,0)))</f>
        <v>0</v>
      </c>
      <c r="AC35" s="173">
        <f>IF($G35="","",INDEX(MLR!$1:$1048576,MATCH($G35,MLR!$J:$J,0),MATCH(AC$3,MLR!$1:$1,0)))</f>
        <v>2</v>
      </c>
      <c r="AD35" s="173">
        <f>IF($G35="","",INDEX(MLR!$1:$1048576,MATCH($G35,MLR!$J:$J,0),MATCH(AD$3,MLR!$1:$1,0)))</f>
        <v>1</v>
      </c>
      <c r="AE35" s="173">
        <f>IF($G35="","",INDEX(MLR!$1:$1048576,MATCH($G35,MLR!$J:$J,0),MATCH(AE$3,MLR!$1:$1,0)))</f>
        <v>8</v>
      </c>
      <c r="AF35" s="174" t="str">
        <f>IF(G35="","",IFERROR(IF(MATCH($G35,MLR!$J:$J,0)&gt;0,"Installed","Not Found"),"Not Found"))</f>
        <v>Installed</v>
      </c>
      <c r="AG35" s="165"/>
      <c r="AH35" s="175" t="str">
        <f t="shared" ref="AH35:AH77" si="38">IF(G35="","",IF(W35=M35,"Correct",IF(W35&gt;M35,"Short",IF(W35&lt;M35,"Over","Err."))))</f>
        <v>Short</v>
      </c>
      <c r="AI35" s="175" t="str">
        <f t="shared" ref="AI35:AI77" si="39">IF(H35="","",IF(X35=N35,"Correct",IF(X35&gt;N35,"Short",IF(X35&lt;N35,"Over","Err."))))</f>
        <v>Correct</v>
      </c>
      <c r="AJ35" s="175" t="str">
        <f t="shared" ref="AJ35:AJ77" si="40">IF(I35="","",IF(Y35=O35,"Correct",IF(Y35&gt;O35,"Short",IF(Y35&lt;O35,"Over","Err."))))</f>
        <v>Short</v>
      </c>
      <c r="AK35" s="175" t="str">
        <f t="shared" ref="AK35:AK77" si="41">IF(J35="","",IF(Z35=P35,"Correct",IF(Z35&gt;P35,"Short",IF(Z35&lt;P35,"Over","Err."))))</f>
        <v>Correct</v>
      </c>
      <c r="AL35" s="175" t="str">
        <f t="shared" ref="AL35:AL77" si="42">IF(K35="","",IF(AA35=Q35,"Correct",IF(AA35&gt;Q35,"Short",IF(AA35&lt;Q35,"Over","Err."))))</f>
        <v>Correct</v>
      </c>
      <c r="AM35" s="175" t="str">
        <f t="shared" ref="AM35:AM77" si="43">IF(L35="","",IF(AB35=R35,"Correct",IF(AB35&gt;R35,"Short",IF(AB35&lt;R35,"Over","Err."))))</f>
        <v>Correct</v>
      </c>
      <c r="AN35" s="175" t="str">
        <f t="shared" ref="AN35:AN77" si="44">IF(M35="","",IF(AC35=S35,"Correct",IF(AC35&gt;S35,"Short",IF(AC35&lt;S35,"Over","Err."))))</f>
        <v>Correct</v>
      </c>
      <c r="AO35" s="175" t="str">
        <f t="shared" ref="AO35:AO77" si="45">IF(N35="","",IF(AD35=T35,"Correct",IF(AD35&gt;T35,"Short",IF(AD35&lt;T35,"Over","Err."))))</f>
        <v>Correct</v>
      </c>
      <c r="AP35" s="175" t="str">
        <f t="shared" ref="AP35:AP77" si="46">IF(O35="","",IF(AE35=U35,"Correct",IF(AE35&gt;U35,"Short",IF(AE35&lt;U35,"Over","Err."))))</f>
        <v>Correct</v>
      </c>
      <c r="AQ35" s="165"/>
      <c r="AR35" s="173">
        <f t="shared" si="20"/>
        <v>-116</v>
      </c>
      <c r="AS35" s="173">
        <f t="shared" si="21"/>
        <v>0</v>
      </c>
      <c r="AT35" s="173">
        <f t="shared" si="22"/>
        <v>-6</v>
      </c>
      <c r="AU35" s="173">
        <f t="shared" si="23"/>
        <v>0</v>
      </c>
      <c r="AV35" s="173">
        <f t="shared" si="24"/>
        <v>0</v>
      </c>
      <c r="AW35" s="173">
        <f t="shared" si="25"/>
        <v>0</v>
      </c>
      <c r="AX35" s="173">
        <f t="shared" si="26"/>
        <v>0</v>
      </c>
      <c r="AY35" s="173">
        <f t="shared" si="27"/>
        <v>0</v>
      </c>
      <c r="AZ35" s="173">
        <f t="shared" si="28"/>
        <v>0</v>
      </c>
      <c r="BA35" s="165"/>
      <c r="BB35" s="174" t="str">
        <f t="shared" si="19"/>
        <v>With Variance</v>
      </c>
    </row>
    <row r="36" spans="1:54" s="36" customFormat="1" ht="13.8" x14ac:dyDescent="0.3">
      <c r="A36" s="128" t="str">
        <f>_xlfn.XLOOKUP(B36,'Cuttof Mapping'!A:A,'Cuttof Mapping'!D:D)</f>
        <v>2023 Dec 2nd</v>
      </c>
      <c r="B36" s="133">
        <v>45300</v>
      </c>
      <c r="C36" s="86" t="s">
        <v>201</v>
      </c>
      <c r="D36" s="79" t="s">
        <v>63</v>
      </c>
      <c r="E36" s="86">
        <v>4500866</v>
      </c>
      <c r="F36" s="86" t="s">
        <v>91</v>
      </c>
      <c r="G36" s="86" t="s">
        <v>202</v>
      </c>
      <c r="H36" s="86">
        <v>10001035</v>
      </c>
      <c r="I36" s="86" t="s">
        <v>90</v>
      </c>
      <c r="J36" s="86">
        <v>1680000724269</v>
      </c>
      <c r="K36" s="86" t="s">
        <v>54</v>
      </c>
      <c r="L36" s="86" t="s">
        <v>203</v>
      </c>
      <c r="M36" s="173">
        <f>IF(G36="","",ABS(SUMIFS('System(MB51)'!$K:$K,'System(MB51)'!$L:$L,'Checking(ZSERIALS)'!$J36,'System(MB51)'!$O:$O,'Checking(ZSERIALS)'!$L36,'System(MB51)'!$A:$A,'Checking(ZSERIALS)'!M$3)))</f>
        <v>0</v>
      </c>
      <c r="N36" s="173">
        <f>IF(H36="","",ABS(SUMIFS('System(MB51)'!$K:$K,'System(MB51)'!$L:$L,'Checking(ZSERIALS)'!$J36,'System(MB51)'!$O:$O,'Checking(ZSERIALS)'!$L36,'System(MB51)'!$A:$A,'Checking(ZSERIALS)'!N$3)))</f>
        <v>0</v>
      </c>
      <c r="O36" s="173">
        <f>IF(I36="","",ABS(SUMIFS('System(MB51)'!$K:$K,'System(MB51)'!$L:$L,'Checking(ZSERIALS)'!$J36,'System(MB51)'!$O:$O,'Checking(ZSERIALS)'!$L36,'System(MB51)'!$A:$A,'Checking(ZSERIALS)'!O$3)))</f>
        <v>0</v>
      </c>
      <c r="P36" s="173">
        <f>IF(J36="","",ABS(SUMIFS('System(MB51)'!$K:$K,'System(MB51)'!$L:$L,'Checking(ZSERIALS)'!$J36,'System(MB51)'!$O:$O,'Checking(ZSERIALS)'!$L36,'System(MB51)'!$A:$A,'Checking(ZSERIALS)'!P$3)))</f>
        <v>0</v>
      </c>
      <c r="Q36" s="173">
        <f>IF(K36="","",ABS(SUMIFS('System(MB51)'!$K:$K,'System(MB51)'!$L:$L,'Checking(ZSERIALS)'!$J36,'System(MB51)'!$O:$O,'Checking(ZSERIALS)'!$L36,'System(MB51)'!$A:$A,'Checking(ZSERIALS)'!Q$3)))</f>
        <v>0</v>
      </c>
      <c r="R36" s="173">
        <f>IF(L36="","",ABS(SUMIFS('System(MB51)'!$K:$K,'System(MB51)'!$L:$L,'Checking(ZSERIALS)'!$J36,'System(MB51)'!$O:$O,'Checking(ZSERIALS)'!$L36,'System(MB51)'!$A:$A,'Checking(ZSERIALS)'!R$3)))</f>
        <v>0</v>
      </c>
      <c r="S36" s="173">
        <f>IF(M36="","",ABS(SUMIFS('System(MB51)'!$K:$K,'System(MB51)'!$L:$L,'Checking(ZSERIALS)'!$J36,'System(MB51)'!$O:$O,'Checking(ZSERIALS)'!$L36,'System(MB51)'!$A:$A,'Checking(ZSERIALS)'!S$3)))</f>
        <v>0</v>
      </c>
      <c r="T36" s="173">
        <f>IF(N36="","",ABS(SUMIFS('System(MB51)'!$K:$K,'System(MB51)'!$L:$L,'Checking(ZSERIALS)'!$J36,'System(MB51)'!$O:$O,'Checking(ZSERIALS)'!$L36,'System(MB51)'!$A:$A,'Checking(ZSERIALS)'!T$3)))</f>
        <v>1</v>
      </c>
      <c r="U36" s="173">
        <f>IF(O36="","",ABS(SUMIFS('System(MB51)'!$K:$K,'System(MB51)'!$L:$L,'Checking(ZSERIALS)'!$J36,'System(MB51)'!$O:$O,'Checking(ZSERIALS)'!$L36,'System(MB51)'!$A:$A,'Checking(ZSERIALS)'!U$3)))</f>
        <v>0</v>
      </c>
      <c r="V36" s="165"/>
      <c r="W36" s="173">
        <f>IF($G36="","",INDEX(MLR!$1:$1048576,MATCH($G36,MLR!$J:$J,0),MATCH(W$3,MLR!$1:$1,0)))</f>
        <v>363</v>
      </c>
      <c r="X36" s="173">
        <f>IF($G36="","",INDEX(MLR!$1:$1048576,MATCH($G36,MLR!$J:$J,0),MATCH(X$3,MLR!$1:$1,0)))</f>
        <v>2</v>
      </c>
      <c r="Y36" s="173">
        <f>IF($G36="","",INDEX(MLR!$1:$1048576,MATCH($G36,MLR!$J:$J,0),MATCH(Y$3,MLR!$1:$1,0)))</f>
        <v>16</v>
      </c>
      <c r="Z36" s="173">
        <f>IF($G36="","",INDEX(MLR!$1:$1048576,MATCH($G36,MLR!$J:$J,0),MATCH(Z$3,MLR!$1:$1,0)))</f>
        <v>1</v>
      </c>
      <c r="AA36" s="173">
        <f>IF($G36="","",INDEX(MLR!$1:$1048576,MATCH($G36,MLR!$J:$J,0),MATCH(AA$3,MLR!$1:$1,0)))</f>
        <v>0</v>
      </c>
      <c r="AB36" s="173">
        <f>IF($G36="","",INDEX(MLR!$1:$1048576,MATCH($G36,MLR!$J:$J,0),MATCH(AB$3,MLR!$1:$1,0)))</f>
        <v>0</v>
      </c>
      <c r="AC36" s="173">
        <f>IF($G36="","",INDEX(MLR!$1:$1048576,MATCH($G36,MLR!$J:$J,0),MATCH(AC$3,MLR!$1:$1,0)))</f>
        <v>10</v>
      </c>
      <c r="AD36" s="173">
        <f>IF($G36="","",INDEX(MLR!$1:$1048576,MATCH($G36,MLR!$J:$J,0),MATCH(AD$3,MLR!$1:$1,0)))</f>
        <v>1</v>
      </c>
      <c r="AE36" s="173">
        <f>IF($G36="","",INDEX(MLR!$1:$1048576,MATCH($G36,MLR!$J:$J,0),MATCH(AE$3,MLR!$1:$1,0)))</f>
        <v>8</v>
      </c>
      <c r="AF36" s="174" t="str">
        <f>IF(G36="","",IFERROR(IF(MATCH($G36,MLR!$J:$J,0)&gt;0,"Installed","Not Found"),"Not Found"))</f>
        <v>Installed</v>
      </c>
      <c r="AG36" s="165"/>
      <c r="AH36" s="175" t="str">
        <f t="shared" si="38"/>
        <v>Short</v>
      </c>
      <c r="AI36" s="175" t="str">
        <f t="shared" si="39"/>
        <v>Short</v>
      </c>
      <c r="AJ36" s="175" t="str">
        <f t="shared" si="40"/>
        <v>Short</v>
      </c>
      <c r="AK36" s="175" t="str">
        <f t="shared" si="41"/>
        <v>Short</v>
      </c>
      <c r="AL36" s="175" t="str">
        <f t="shared" si="42"/>
        <v>Correct</v>
      </c>
      <c r="AM36" s="175" t="str">
        <f t="shared" si="43"/>
        <v>Correct</v>
      </c>
      <c r="AN36" s="175" t="str">
        <f t="shared" si="44"/>
        <v>Short</v>
      </c>
      <c r="AO36" s="175" t="str">
        <f t="shared" si="45"/>
        <v>Correct</v>
      </c>
      <c r="AP36" s="175" t="str">
        <f t="shared" si="46"/>
        <v>Short</v>
      </c>
      <c r="AQ36" s="165"/>
      <c r="AR36" s="173">
        <f t="shared" si="20"/>
        <v>-363</v>
      </c>
      <c r="AS36" s="173">
        <f t="shared" si="21"/>
        <v>-2</v>
      </c>
      <c r="AT36" s="173">
        <f t="shared" si="22"/>
        <v>-16</v>
      </c>
      <c r="AU36" s="173">
        <f t="shared" si="23"/>
        <v>-1</v>
      </c>
      <c r="AV36" s="173">
        <f t="shared" si="24"/>
        <v>0</v>
      </c>
      <c r="AW36" s="173">
        <f t="shared" si="25"/>
        <v>0</v>
      </c>
      <c r="AX36" s="173">
        <f t="shared" si="26"/>
        <v>-10</v>
      </c>
      <c r="AY36" s="173">
        <f t="shared" si="27"/>
        <v>0</v>
      </c>
      <c r="AZ36" s="173">
        <f t="shared" si="28"/>
        <v>-8</v>
      </c>
      <c r="BA36" s="165"/>
      <c r="BB36" s="174" t="str">
        <f t="shared" si="19"/>
        <v>With Variance</v>
      </c>
    </row>
    <row r="37" spans="1:54" s="36" customFormat="1" ht="13.8" x14ac:dyDescent="0.3">
      <c r="A37" s="128" t="str">
        <f>_xlfn.XLOOKUP(B37,'Cuttof Mapping'!A:A,'Cuttof Mapping'!D:D)</f>
        <v>2023 Dec 2nd</v>
      </c>
      <c r="B37" s="133">
        <v>45300</v>
      </c>
      <c r="C37" s="86" t="s">
        <v>204</v>
      </c>
      <c r="D37" s="79" t="s">
        <v>63</v>
      </c>
      <c r="E37" s="86">
        <v>4500866</v>
      </c>
      <c r="F37" s="86" t="s">
        <v>91</v>
      </c>
      <c r="G37" s="86" t="s">
        <v>205</v>
      </c>
      <c r="H37" s="86">
        <v>10001035</v>
      </c>
      <c r="I37" s="86" t="s">
        <v>90</v>
      </c>
      <c r="J37" s="86">
        <v>1680000721883</v>
      </c>
      <c r="K37" s="86" t="s">
        <v>54</v>
      </c>
      <c r="L37" s="86" t="s">
        <v>206</v>
      </c>
      <c r="M37" s="173">
        <f>IF(G37="","",ABS(SUMIFS('System(MB51)'!$K:$K,'System(MB51)'!$L:$L,'Checking(ZSERIALS)'!$J37,'System(MB51)'!$O:$O,'Checking(ZSERIALS)'!$L37,'System(MB51)'!$A:$A,'Checking(ZSERIALS)'!M$3)))</f>
        <v>0</v>
      </c>
      <c r="N37" s="173">
        <f>IF(H37="","",ABS(SUMIFS('System(MB51)'!$K:$K,'System(MB51)'!$L:$L,'Checking(ZSERIALS)'!$J37,'System(MB51)'!$O:$O,'Checking(ZSERIALS)'!$L37,'System(MB51)'!$A:$A,'Checking(ZSERIALS)'!N$3)))</f>
        <v>0</v>
      </c>
      <c r="O37" s="173">
        <f>IF(I37="","",ABS(SUMIFS('System(MB51)'!$K:$K,'System(MB51)'!$L:$L,'Checking(ZSERIALS)'!$J37,'System(MB51)'!$O:$O,'Checking(ZSERIALS)'!$L37,'System(MB51)'!$A:$A,'Checking(ZSERIALS)'!O$3)))</f>
        <v>0</v>
      </c>
      <c r="P37" s="173">
        <f>IF(J37="","",ABS(SUMIFS('System(MB51)'!$K:$K,'System(MB51)'!$L:$L,'Checking(ZSERIALS)'!$J37,'System(MB51)'!$O:$O,'Checking(ZSERIALS)'!$L37,'System(MB51)'!$A:$A,'Checking(ZSERIALS)'!P$3)))</f>
        <v>0</v>
      </c>
      <c r="Q37" s="173">
        <f>IF(K37="","",ABS(SUMIFS('System(MB51)'!$K:$K,'System(MB51)'!$L:$L,'Checking(ZSERIALS)'!$J37,'System(MB51)'!$O:$O,'Checking(ZSERIALS)'!$L37,'System(MB51)'!$A:$A,'Checking(ZSERIALS)'!Q$3)))</f>
        <v>0</v>
      </c>
      <c r="R37" s="173">
        <f>IF(L37="","",ABS(SUMIFS('System(MB51)'!$K:$K,'System(MB51)'!$L:$L,'Checking(ZSERIALS)'!$J37,'System(MB51)'!$O:$O,'Checking(ZSERIALS)'!$L37,'System(MB51)'!$A:$A,'Checking(ZSERIALS)'!R$3)))</f>
        <v>0</v>
      </c>
      <c r="S37" s="173">
        <f>IF(M37="","",ABS(SUMIFS('System(MB51)'!$K:$K,'System(MB51)'!$L:$L,'Checking(ZSERIALS)'!$J37,'System(MB51)'!$O:$O,'Checking(ZSERIALS)'!$L37,'System(MB51)'!$A:$A,'Checking(ZSERIALS)'!S$3)))</f>
        <v>0</v>
      </c>
      <c r="T37" s="173">
        <f>IF(N37="","",ABS(SUMIFS('System(MB51)'!$K:$K,'System(MB51)'!$L:$L,'Checking(ZSERIALS)'!$J37,'System(MB51)'!$O:$O,'Checking(ZSERIALS)'!$L37,'System(MB51)'!$A:$A,'Checking(ZSERIALS)'!T$3)))</f>
        <v>1</v>
      </c>
      <c r="U37" s="173">
        <f>IF(O37="","",ABS(SUMIFS('System(MB51)'!$K:$K,'System(MB51)'!$L:$L,'Checking(ZSERIALS)'!$J37,'System(MB51)'!$O:$O,'Checking(ZSERIALS)'!$L37,'System(MB51)'!$A:$A,'Checking(ZSERIALS)'!U$3)))</f>
        <v>0</v>
      </c>
      <c r="V37" s="165"/>
      <c r="W37" s="173">
        <f>IF($G37="","",INDEX(MLR!$1:$1048576,MATCH($G37,MLR!$J:$J,0),MATCH(W$3,MLR!$1:$1,0)))</f>
        <v>198</v>
      </c>
      <c r="X37" s="173">
        <f>IF($G37="","",INDEX(MLR!$1:$1048576,MATCH($G37,MLR!$J:$J,0),MATCH(X$3,MLR!$1:$1,0)))</f>
        <v>2</v>
      </c>
      <c r="Y37" s="173">
        <f>IF($G37="","",INDEX(MLR!$1:$1048576,MATCH($G37,MLR!$J:$J,0),MATCH(Y$3,MLR!$1:$1,0)))</f>
        <v>10</v>
      </c>
      <c r="Z37" s="173">
        <f>IF($G37="","",INDEX(MLR!$1:$1048576,MATCH($G37,MLR!$J:$J,0),MATCH(Z$3,MLR!$1:$1,0)))</f>
        <v>1</v>
      </c>
      <c r="AA37" s="173">
        <f>IF($G37="","",INDEX(MLR!$1:$1048576,MATCH($G37,MLR!$J:$J,0),MATCH(AA$3,MLR!$1:$1,0)))</f>
        <v>0</v>
      </c>
      <c r="AB37" s="173">
        <f>IF($G37="","",INDEX(MLR!$1:$1048576,MATCH($G37,MLR!$J:$J,0),MATCH(AB$3,MLR!$1:$1,0)))</f>
        <v>0</v>
      </c>
      <c r="AC37" s="173">
        <f>IF($G37="","",INDEX(MLR!$1:$1048576,MATCH($G37,MLR!$J:$J,0),MATCH(AC$3,MLR!$1:$1,0)))</f>
        <v>10</v>
      </c>
      <c r="AD37" s="173">
        <f>IF($G37="","",INDEX(MLR!$1:$1048576,MATCH($G37,MLR!$J:$J,0),MATCH(AD$3,MLR!$1:$1,0)))</f>
        <v>1</v>
      </c>
      <c r="AE37" s="173">
        <f>IF($G37="","",INDEX(MLR!$1:$1048576,MATCH($G37,MLR!$J:$J,0),MATCH(AE$3,MLR!$1:$1,0)))</f>
        <v>8</v>
      </c>
      <c r="AF37" s="174" t="str">
        <f>IF(G37="","",IFERROR(IF(MATCH($G37,MLR!$J:$J,0)&gt;0,"Installed","Not Found"),"Not Found"))</f>
        <v>Installed</v>
      </c>
      <c r="AG37" s="165"/>
      <c r="AH37" s="175" t="str">
        <f t="shared" si="38"/>
        <v>Short</v>
      </c>
      <c r="AI37" s="175" t="str">
        <f t="shared" si="39"/>
        <v>Short</v>
      </c>
      <c r="AJ37" s="175" t="str">
        <f t="shared" si="40"/>
        <v>Short</v>
      </c>
      <c r="AK37" s="175" t="str">
        <f t="shared" si="41"/>
        <v>Short</v>
      </c>
      <c r="AL37" s="175" t="str">
        <f t="shared" si="42"/>
        <v>Correct</v>
      </c>
      <c r="AM37" s="175" t="str">
        <f t="shared" si="43"/>
        <v>Correct</v>
      </c>
      <c r="AN37" s="175" t="str">
        <f t="shared" si="44"/>
        <v>Short</v>
      </c>
      <c r="AO37" s="175" t="str">
        <f t="shared" si="45"/>
        <v>Correct</v>
      </c>
      <c r="AP37" s="175" t="str">
        <f t="shared" si="46"/>
        <v>Short</v>
      </c>
      <c r="AQ37" s="165"/>
      <c r="AR37" s="173">
        <f t="shared" si="20"/>
        <v>-198</v>
      </c>
      <c r="AS37" s="173">
        <f t="shared" si="21"/>
        <v>-2</v>
      </c>
      <c r="AT37" s="173">
        <f t="shared" si="22"/>
        <v>-10</v>
      </c>
      <c r="AU37" s="173">
        <f t="shared" si="23"/>
        <v>-1</v>
      </c>
      <c r="AV37" s="173">
        <f t="shared" si="24"/>
        <v>0</v>
      </c>
      <c r="AW37" s="173">
        <f t="shared" si="25"/>
        <v>0</v>
      </c>
      <c r="AX37" s="173">
        <f t="shared" si="26"/>
        <v>-10</v>
      </c>
      <c r="AY37" s="173">
        <f t="shared" si="27"/>
        <v>0</v>
      </c>
      <c r="AZ37" s="173">
        <f t="shared" si="28"/>
        <v>-8</v>
      </c>
      <c r="BA37" s="165"/>
      <c r="BB37" s="174" t="str">
        <f t="shared" si="19"/>
        <v>With Variance</v>
      </c>
    </row>
    <row r="38" spans="1:54" s="36" customFormat="1" ht="13.8" x14ac:dyDescent="0.3">
      <c r="A38" s="128" t="str">
        <f>_xlfn.XLOOKUP(B38,'Cuttof Mapping'!A:A,'Cuttof Mapping'!D:D)</f>
        <v>2023 Dec 2nd</v>
      </c>
      <c r="B38" s="133">
        <v>45301</v>
      </c>
      <c r="C38" s="86" t="s">
        <v>207</v>
      </c>
      <c r="D38" s="79" t="s">
        <v>63</v>
      </c>
      <c r="E38" s="86">
        <v>4500866</v>
      </c>
      <c r="F38" s="86" t="s">
        <v>91</v>
      </c>
      <c r="G38" s="86" t="s">
        <v>208</v>
      </c>
      <c r="H38" s="86">
        <v>10001035</v>
      </c>
      <c r="I38" s="86" t="s">
        <v>90</v>
      </c>
      <c r="J38" s="86">
        <v>1680000725440</v>
      </c>
      <c r="K38" s="86" t="s">
        <v>54</v>
      </c>
      <c r="L38" s="86" t="s">
        <v>209</v>
      </c>
      <c r="M38" s="173">
        <f>IF(G38="","",ABS(SUMIFS('System(MB51)'!$K:$K,'System(MB51)'!$L:$L,'Checking(ZSERIALS)'!$J38,'System(MB51)'!$O:$O,'Checking(ZSERIALS)'!$L38,'System(MB51)'!$A:$A,'Checking(ZSERIALS)'!M$3)))</f>
        <v>0</v>
      </c>
      <c r="N38" s="173">
        <f>IF(H38="","",ABS(SUMIFS('System(MB51)'!$K:$K,'System(MB51)'!$L:$L,'Checking(ZSERIALS)'!$J38,'System(MB51)'!$O:$O,'Checking(ZSERIALS)'!$L38,'System(MB51)'!$A:$A,'Checking(ZSERIALS)'!N$3)))</f>
        <v>2</v>
      </c>
      <c r="O38" s="173">
        <f>IF(I38="","",ABS(SUMIFS('System(MB51)'!$K:$K,'System(MB51)'!$L:$L,'Checking(ZSERIALS)'!$J38,'System(MB51)'!$O:$O,'Checking(ZSERIALS)'!$L38,'System(MB51)'!$A:$A,'Checking(ZSERIALS)'!O$3)))</f>
        <v>0</v>
      </c>
      <c r="P38" s="173">
        <f>IF(J38="","",ABS(SUMIFS('System(MB51)'!$K:$K,'System(MB51)'!$L:$L,'Checking(ZSERIALS)'!$J38,'System(MB51)'!$O:$O,'Checking(ZSERIALS)'!$L38,'System(MB51)'!$A:$A,'Checking(ZSERIALS)'!P$3)))</f>
        <v>1</v>
      </c>
      <c r="Q38" s="173">
        <f>IF(K38="","",ABS(SUMIFS('System(MB51)'!$K:$K,'System(MB51)'!$L:$L,'Checking(ZSERIALS)'!$J38,'System(MB51)'!$O:$O,'Checking(ZSERIALS)'!$L38,'System(MB51)'!$A:$A,'Checking(ZSERIALS)'!Q$3)))</f>
        <v>0</v>
      </c>
      <c r="R38" s="173">
        <f>IF(L38="","",ABS(SUMIFS('System(MB51)'!$K:$K,'System(MB51)'!$L:$L,'Checking(ZSERIALS)'!$J38,'System(MB51)'!$O:$O,'Checking(ZSERIALS)'!$L38,'System(MB51)'!$A:$A,'Checking(ZSERIALS)'!R$3)))</f>
        <v>0</v>
      </c>
      <c r="S38" s="173">
        <f>IF(M38="","",ABS(SUMIFS('System(MB51)'!$K:$K,'System(MB51)'!$L:$L,'Checking(ZSERIALS)'!$J38,'System(MB51)'!$O:$O,'Checking(ZSERIALS)'!$L38,'System(MB51)'!$A:$A,'Checking(ZSERIALS)'!S$3)))</f>
        <v>8</v>
      </c>
      <c r="T38" s="173">
        <f>IF(N38="","",ABS(SUMIFS('System(MB51)'!$K:$K,'System(MB51)'!$L:$L,'Checking(ZSERIALS)'!$J38,'System(MB51)'!$O:$O,'Checking(ZSERIALS)'!$L38,'System(MB51)'!$A:$A,'Checking(ZSERIALS)'!T$3)))</f>
        <v>1</v>
      </c>
      <c r="U38" s="173">
        <f>IF(O38="","",ABS(SUMIFS('System(MB51)'!$K:$K,'System(MB51)'!$L:$L,'Checking(ZSERIALS)'!$J38,'System(MB51)'!$O:$O,'Checking(ZSERIALS)'!$L38,'System(MB51)'!$A:$A,'Checking(ZSERIALS)'!U$3)))</f>
        <v>8</v>
      </c>
      <c r="V38" s="165"/>
      <c r="W38" s="173">
        <f>IF($G38="","",INDEX(MLR!$1:$1048576,MATCH($G38,MLR!$J:$J,0),MATCH(W$3,MLR!$1:$1,0)))</f>
        <v>139</v>
      </c>
      <c r="X38" s="173">
        <f>IF($G38="","",INDEX(MLR!$1:$1048576,MATCH($G38,MLR!$J:$J,0),MATCH(X$3,MLR!$1:$1,0)))</f>
        <v>2</v>
      </c>
      <c r="Y38" s="173">
        <f>IF($G38="","",INDEX(MLR!$1:$1048576,MATCH($G38,MLR!$J:$J,0),MATCH(Y$3,MLR!$1:$1,0)))</f>
        <v>6</v>
      </c>
      <c r="Z38" s="173">
        <f>IF($G38="","",INDEX(MLR!$1:$1048576,MATCH($G38,MLR!$J:$J,0),MATCH(Z$3,MLR!$1:$1,0)))</f>
        <v>1</v>
      </c>
      <c r="AA38" s="173">
        <f>IF($G38="","",INDEX(MLR!$1:$1048576,MATCH($G38,MLR!$J:$J,0),MATCH(AA$3,MLR!$1:$1,0)))</f>
        <v>0</v>
      </c>
      <c r="AB38" s="173">
        <f>IF($G38="","",INDEX(MLR!$1:$1048576,MATCH($G38,MLR!$J:$J,0),MATCH(AB$3,MLR!$1:$1,0)))</f>
        <v>0</v>
      </c>
      <c r="AC38" s="173">
        <f>IF($G38="","",INDEX(MLR!$1:$1048576,MATCH($G38,MLR!$J:$J,0),MATCH(AC$3,MLR!$1:$1,0)))</f>
        <v>8</v>
      </c>
      <c r="AD38" s="173">
        <f>IF($G38="","",INDEX(MLR!$1:$1048576,MATCH($G38,MLR!$J:$J,0),MATCH(AD$3,MLR!$1:$1,0)))</f>
        <v>1</v>
      </c>
      <c r="AE38" s="173">
        <f>IF($G38="","",INDEX(MLR!$1:$1048576,MATCH($G38,MLR!$J:$J,0),MATCH(AE$3,MLR!$1:$1,0)))</f>
        <v>8</v>
      </c>
      <c r="AF38" s="174" t="str">
        <f>IF(G38="","",IFERROR(IF(MATCH($G38,MLR!$J:$J,0)&gt;0,"Installed","Not Found"),"Not Found"))</f>
        <v>Installed</v>
      </c>
      <c r="AG38" s="165"/>
      <c r="AH38" s="175" t="str">
        <f t="shared" si="38"/>
        <v>Short</v>
      </c>
      <c r="AI38" s="175" t="str">
        <f t="shared" si="39"/>
        <v>Correct</v>
      </c>
      <c r="AJ38" s="175" t="str">
        <f t="shared" si="40"/>
        <v>Short</v>
      </c>
      <c r="AK38" s="175" t="str">
        <f t="shared" si="41"/>
        <v>Correct</v>
      </c>
      <c r="AL38" s="175" t="str">
        <f t="shared" si="42"/>
        <v>Correct</v>
      </c>
      <c r="AM38" s="175" t="str">
        <f t="shared" si="43"/>
        <v>Correct</v>
      </c>
      <c r="AN38" s="175" t="str">
        <f t="shared" si="44"/>
        <v>Correct</v>
      </c>
      <c r="AO38" s="175" t="str">
        <f t="shared" si="45"/>
        <v>Correct</v>
      </c>
      <c r="AP38" s="175" t="str">
        <f t="shared" si="46"/>
        <v>Correct</v>
      </c>
      <c r="AQ38" s="165"/>
      <c r="AR38" s="173">
        <f t="shared" si="20"/>
        <v>-139</v>
      </c>
      <c r="AS38" s="173">
        <f t="shared" si="21"/>
        <v>0</v>
      </c>
      <c r="AT38" s="173">
        <f t="shared" si="22"/>
        <v>-6</v>
      </c>
      <c r="AU38" s="173">
        <f t="shared" si="23"/>
        <v>0</v>
      </c>
      <c r="AV38" s="173">
        <f t="shared" si="24"/>
        <v>0</v>
      </c>
      <c r="AW38" s="173">
        <f t="shared" si="25"/>
        <v>0</v>
      </c>
      <c r="AX38" s="173">
        <f t="shared" si="26"/>
        <v>0</v>
      </c>
      <c r="AY38" s="173">
        <f t="shared" si="27"/>
        <v>0</v>
      </c>
      <c r="AZ38" s="173">
        <f t="shared" si="28"/>
        <v>0</v>
      </c>
      <c r="BA38" s="165"/>
      <c r="BB38" s="174" t="str">
        <f t="shared" si="19"/>
        <v>With Variance</v>
      </c>
    </row>
    <row r="39" spans="1:54" s="36" customFormat="1" ht="13.8" x14ac:dyDescent="0.3">
      <c r="A39" s="128" t="str">
        <f>_xlfn.XLOOKUP(B39,'Cuttof Mapping'!A:A,'Cuttof Mapping'!D:D)</f>
        <v>2023 Dec 2nd</v>
      </c>
      <c r="B39" s="133">
        <v>45301</v>
      </c>
      <c r="C39" s="86" t="s">
        <v>210</v>
      </c>
      <c r="D39" s="79" t="s">
        <v>63</v>
      </c>
      <c r="E39" s="86">
        <v>4500866</v>
      </c>
      <c r="F39" s="86" t="s">
        <v>91</v>
      </c>
      <c r="G39" s="86" t="s">
        <v>211</v>
      </c>
      <c r="H39" s="86">
        <v>10001035</v>
      </c>
      <c r="I39" s="86" t="s">
        <v>90</v>
      </c>
      <c r="J39" s="86">
        <v>1680000724825</v>
      </c>
      <c r="K39" s="86" t="s">
        <v>54</v>
      </c>
      <c r="L39" s="86" t="s">
        <v>212</v>
      </c>
      <c r="M39" s="173">
        <f>IF(G39="","",ABS(SUMIFS('System(MB51)'!$K:$K,'System(MB51)'!$L:$L,'Checking(ZSERIALS)'!$J39,'System(MB51)'!$O:$O,'Checking(ZSERIALS)'!$L39,'System(MB51)'!$A:$A,'Checking(ZSERIALS)'!M$3)))</f>
        <v>0</v>
      </c>
      <c r="N39" s="173">
        <f>IF(H39="","",ABS(SUMIFS('System(MB51)'!$K:$K,'System(MB51)'!$L:$L,'Checking(ZSERIALS)'!$J39,'System(MB51)'!$O:$O,'Checking(ZSERIALS)'!$L39,'System(MB51)'!$A:$A,'Checking(ZSERIALS)'!N$3)))</f>
        <v>2</v>
      </c>
      <c r="O39" s="173">
        <f>IF(I39="","",ABS(SUMIFS('System(MB51)'!$K:$K,'System(MB51)'!$L:$L,'Checking(ZSERIALS)'!$J39,'System(MB51)'!$O:$O,'Checking(ZSERIALS)'!$L39,'System(MB51)'!$A:$A,'Checking(ZSERIALS)'!O$3)))</f>
        <v>0</v>
      </c>
      <c r="P39" s="173">
        <f>IF(J39="","",ABS(SUMIFS('System(MB51)'!$K:$K,'System(MB51)'!$L:$L,'Checking(ZSERIALS)'!$J39,'System(MB51)'!$O:$O,'Checking(ZSERIALS)'!$L39,'System(MB51)'!$A:$A,'Checking(ZSERIALS)'!P$3)))</f>
        <v>1</v>
      </c>
      <c r="Q39" s="173">
        <f>IF(K39="","",ABS(SUMIFS('System(MB51)'!$K:$K,'System(MB51)'!$L:$L,'Checking(ZSERIALS)'!$J39,'System(MB51)'!$O:$O,'Checking(ZSERIALS)'!$L39,'System(MB51)'!$A:$A,'Checking(ZSERIALS)'!Q$3)))</f>
        <v>0</v>
      </c>
      <c r="R39" s="173">
        <f>IF(L39="","",ABS(SUMIFS('System(MB51)'!$K:$K,'System(MB51)'!$L:$L,'Checking(ZSERIALS)'!$J39,'System(MB51)'!$O:$O,'Checking(ZSERIALS)'!$L39,'System(MB51)'!$A:$A,'Checking(ZSERIALS)'!R$3)))</f>
        <v>0</v>
      </c>
      <c r="S39" s="173">
        <f>IF(M39="","",ABS(SUMIFS('System(MB51)'!$K:$K,'System(MB51)'!$L:$L,'Checking(ZSERIALS)'!$J39,'System(MB51)'!$O:$O,'Checking(ZSERIALS)'!$L39,'System(MB51)'!$A:$A,'Checking(ZSERIALS)'!S$3)))</f>
        <v>8</v>
      </c>
      <c r="T39" s="173">
        <f>IF(N39="","",ABS(SUMIFS('System(MB51)'!$K:$K,'System(MB51)'!$L:$L,'Checking(ZSERIALS)'!$J39,'System(MB51)'!$O:$O,'Checking(ZSERIALS)'!$L39,'System(MB51)'!$A:$A,'Checking(ZSERIALS)'!T$3)))</f>
        <v>1</v>
      </c>
      <c r="U39" s="173">
        <f>IF(O39="","",ABS(SUMIFS('System(MB51)'!$K:$K,'System(MB51)'!$L:$L,'Checking(ZSERIALS)'!$J39,'System(MB51)'!$O:$O,'Checking(ZSERIALS)'!$L39,'System(MB51)'!$A:$A,'Checking(ZSERIALS)'!U$3)))</f>
        <v>8</v>
      </c>
      <c r="V39" s="165"/>
      <c r="W39" s="173">
        <f>IF($G39="","",INDEX(MLR!$1:$1048576,MATCH($G39,MLR!$J:$J,0),MATCH(W$3,MLR!$1:$1,0)))</f>
        <v>164</v>
      </c>
      <c r="X39" s="173">
        <f>IF($G39="","",INDEX(MLR!$1:$1048576,MATCH($G39,MLR!$J:$J,0),MATCH(X$3,MLR!$1:$1,0)))</f>
        <v>2</v>
      </c>
      <c r="Y39" s="173">
        <f>IF($G39="","",INDEX(MLR!$1:$1048576,MATCH($G39,MLR!$J:$J,0),MATCH(Y$3,MLR!$1:$1,0)))</f>
        <v>8</v>
      </c>
      <c r="Z39" s="173">
        <f>IF($G39="","",INDEX(MLR!$1:$1048576,MATCH($G39,MLR!$J:$J,0),MATCH(Z$3,MLR!$1:$1,0)))</f>
        <v>1</v>
      </c>
      <c r="AA39" s="173">
        <f>IF($G39="","",INDEX(MLR!$1:$1048576,MATCH($G39,MLR!$J:$J,0),MATCH(AA$3,MLR!$1:$1,0)))</f>
        <v>0</v>
      </c>
      <c r="AB39" s="173">
        <f>IF($G39="","",INDEX(MLR!$1:$1048576,MATCH($G39,MLR!$J:$J,0),MATCH(AB$3,MLR!$1:$1,0)))</f>
        <v>0</v>
      </c>
      <c r="AC39" s="173">
        <f>IF($G39="","",INDEX(MLR!$1:$1048576,MATCH($G39,MLR!$J:$J,0),MATCH(AC$3,MLR!$1:$1,0)))</f>
        <v>8</v>
      </c>
      <c r="AD39" s="173">
        <f>IF($G39="","",INDEX(MLR!$1:$1048576,MATCH($G39,MLR!$J:$J,0),MATCH(AD$3,MLR!$1:$1,0)))</f>
        <v>1</v>
      </c>
      <c r="AE39" s="173">
        <f>IF($G39="","",INDEX(MLR!$1:$1048576,MATCH($G39,MLR!$J:$J,0),MATCH(AE$3,MLR!$1:$1,0)))</f>
        <v>10</v>
      </c>
      <c r="AF39" s="174" t="str">
        <f>IF(G39="","",IFERROR(IF(MATCH($G39,MLR!$J:$J,0)&gt;0,"Installed","Not Found"),"Not Found"))</f>
        <v>Installed</v>
      </c>
      <c r="AG39" s="165"/>
      <c r="AH39" s="175" t="str">
        <f t="shared" si="38"/>
        <v>Short</v>
      </c>
      <c r="AI39" s="175" t="str">
        <f t="shared" si="39"/>
        <v>Correct</v>
      </c>
      <c r="AJ39" s="175" t="str">
        <f t="shared" si="40"/>
        <v>Short</v>
      </c>
      <c r="AK39" s="175" t="str">
        <f t="shared" si="41"/>
        <v>Correct</v>
      </c>
      <c r="AL39" s="175" t="str">
        <f t="shared" si="42"/>
        <v>Correct</v>
      </c>
      <c r="AM39" s="175" t="str">
        <f t="shared" si="43"/>
        <v>Correct</v>
      </c>
      <c r="AN39" s="175" t="str">
        <f t="shared" si="44"/>
        <v>Correct</v>
      </c>
      <c r="AO39" s="175" t="str">
        <f t="shared" si="45"/>
        <v>Correct</v>
      </c>
      <c r="AP39" s="175" t="str">
        <f t="shared" si="46"/>
        <v>Short</v>
      </c>
      <c r="AQ39" s="165"/>
      <c r="AR39" s="173">
        <f t="shared" si="20"/>
        <v>-164</v>
      </c>
      <c r="AS39" s="173">
        <f t="shared" si="21"/>
        <v>0</v>
      </c>
      <c r="AT39" s="173">
        <f t="shared" si="22"/>
        <v>-8</v>
      </c>
      <c r="AU39" s="173">
        <f t="shared" si="23"/>
        <v>0</v>
      </c>
      <c r="AV39" s="173">
        <f t="shared" si="24"/>
        <v>0</v>
      </c>
      <c r="AW39" s="173">
        <f t="shared" si="25"/>
        <v>0</v>
      </c>
      <c r="AX39" s="173">
        <f t="shared" si="26"/>
        <v>0</v>
      </c>
      <c r="AY39" s="173">
        <f t="shared" si="27"/>
        <v>0</v>
      </c>
      <c r="AZ39" s="173">
        <f t="shared" si="28"/>
        <v>-2</v>
      </c>
      <c r="BA39" s="165"/>
      <c r="BB39" s="174" t="str">
        <f t="shared" si="19"/>
        <v>With Variance</v>
      </c>
    </row>
    <row r="40" spans="1:54" s="36" customFormat="1" ht="13.8" x14ac:dyDescent="0.3">
      <c r="A40" s="128" t="str">
        <f>_xlfn.XLOOKUP(B40,'Cuttof Mapping'!A:A,'Cuttof Mapping'!D:D)</f>
        <v>2023 Dec 2nd</v>
      </c>
      <c r="B40" s="133">
        <v>45301</v>
      </c>
      <c r="C40" s="86" t="s">
        <v>213</v>
      </c>
      <c r="D40" s="79" t="s">
        <v>63</v>
      </c>
      <c r="E40" s="86">
        <v>4500866</v>
      </c>
      <c r="F40" s="86" t="s">
        <v>91</v>
      </c>
      <c r="G40" s="86" t="s">
        <v>214</v>
      </c>
      <c r="H40" s="86">
        <v>10001035</v>
      </c>
      <c r="I40" s="86" t="s">
        <v>90</v>
      </c>
      <c r="J40" s="86">
        <v>1680000724851</v>
      </c>
      <c r="K40" s="86" t="s">
        <v>54</v>
      </c>
      <c r="L40" s="86" t="s">
        <v>215</v>
      </c>
      <c r="M40" s="173">
        <f>IF(G40="","",ABS(SUMIFS('System(MB51)'!$K:$K,'System(MB51)'!$L:$L,'Checking(ZSERIALS)'!$J40,'System(MB51)'!$O:$O,'Checking(ZSERIALS)'!$L40,'System(MB51)'!$A:$A,'Checking(ZSERIALS)'!M$3)))</f>
        <v>0</v>
      </c>
      <c r="N40" s="173">
        <f>IF(H40="","",ABS(SUMIFS('System(MB51)'!$K:$K,'System(MB51)'!$L:$L,'Checking(ZSERIALS)'!$J40,'System(MB51)'!$O:$O,'Checking(ZSERIALS)'!$L40,'System(MB51)'!$A:$A,'Checking(ZSERIALS)'!N$3)))</f>
        <v>2</v>
      </c>
      <c r="O40" s="173">
        <f>IF(I40="","",ABS(SUMIFS('System(MB51)'!$K:$K,'System(MB51)'!$L:$L,'Checking(ZSERIALS)'!$J40,'System(MB51)'!$O:$O,'Checking(ZSERIALS)'!$L40,'System(MB51)'!$A:$A,'Checking(ZSERIALS)'!O$3)))</f>
        <v>0</v>
      </c>
      <c r="P40" s="173">
        <f>IF(J40="","",ABS(SUMIFS('System(MB51)'!$K:$K,'System(MB51)'!$L:$L,'Checking(ZSERIALS)'!$J40,'System(MB51)'!$O:$O,'Checking(ZSERIALS)'!$L40,'System(MB51)'!$A:$A,'Checking(ZSERIALS)'!P$3)))</f>
        <v>1</v>
      </c>
      <c r="Q40" s="173">
        <f>IF(K40="","",ABS(SUMIFS('System(MB51)'!$K:$K,'System(MB51)'!$L:$L,'Checking(ZSERIALS)'!$J40,'System(MB51)'!$O:$O,'Checking(ZSERIALS)'!$L40,'System(MB51)'!$A:$A,'Checking(ZSERIALS)'!Q$3)))</f>
        <v>0</v>
      </c>
      <c r="R40" s="173">
        <f>IF(L40="","",ABS(SUMIFS('System(MB51)'!$K:$K,'System(MB51)'!$L:$L,'Checking(ZSERIALS)'!$J40,'System(MB51)'!$O:$O,'Checking(ZSERIALS)'!$L40,'System(MB51)'!$A:$A,'Checking(ZSERIALS)'!R$3)))</f>
        <v>0</v>
      </c>
      <c r="S40" s="173">
        <f>IF(M40="","",ABS(SUMIFS('System(MB51)'!$K:$K,'System(MB51)'!$L:$L,'Checking(ZSERIALS)'!$J40,'System(MB51)'!$O:$O,'Checking(ZSERIALS)'!$L40,'System(MB51)'!$A:$A,'Checking(ZSERIALS)'!S$3)))</f>
        <v>5</v>
      </c>
      <c r="T40" s="173">
        <f>IF(N40="","",ABS(SUMIFS('System(MB51)'!$K:$K,'System(MB51)'!$L:$L,'Checking(ZSERIALS)'!$J40,'System(MB51)'!$O:$O,'Checking(ZSERIALS)'!$L40,'System(MB51)'!$A:$A,'Checking(ZSERIALS)'!T$3)))</f>
        <v>1</v>
      </c>
      <c r="U40" s="173">
        <f>IF(O40="","",ABS(SUMIFS('System(MB51)'!$K:$K,'System(MB51)'!$L:$L,'Checking(ZSERIALS)'!$J40,'System(MB51)'!$O:$O,'Checking(ZSERIALS)'!$L40,'System(MB51)'!$A:$A,'Checking(ZSERIALS)'!U$3)))</f>
        <v>8</v>
      </c>
      <c r="V40" s="165"/>
      <c r="W40" s="173">
        <f>IF($G40="","",INDEX(MLR!$1:$1048576,MATCH($G40,MLR!$J:$J,0),MATCH(W$3,MLR!$1:$1,0)))</f>
        <v>108</v>
      </c>
      <c r="X40" s="173">
        <f>IF($G40="","",INDEX(MLR!$1:$1048576,MATCH($G40,MLR!$J:$J,0),MATCH(X$3,MLR!$1:$1,0)))</f>
        <v>2</v>
      </c>
      <c r="Y40" s="173">
        <f>IF($G40="","",INDEX(MLR!$1:$1048576,MATCH($G40,MLR!$J:$J,0),MATCH(Y$3,MLR!$1:$1,0)))</f>
        <v>8</v>
      </c>
      <c r="Z40" s="173">
        <f>IF($G40="","",INDEX(MLR!$1:$1048576,MATCH($G40,MLR!$J:$J,0),MATCH(Z$3,MLR!$1:$1,0)))</f>
        <v>1</v>
      </c>
      <c r="AA40" s="173">
        <f>IF($G40="","",INDEX(MLR!$1:$1048576,MATCH($G40,MLR!$J:$J,0),MATCH(AA$3,MLR!$1:$1,0)))</f>
        <v>0</v>
      </c>
      <c r="AB40" s="173">
        <f>IF($G40="","",INDEX(MLR!$1:$1048576,MATCH($G40,MLR!$J:$J,0),MATCH(AB$3,MLR!$1:$1,0)))</f>
        <v>0</v>
      </c>
      <c r="AC40" s="173">
        <f>IF($G40="","",INDEX(MLR!$1:$1048576,MATCH($G40,MLR!$J:$J,0),MATCH(AC$3,MLR!$1:$1,0)))</f>
        <v>5</v>
      </c>
      <c r="AD40" s="173">
        <f>IF($G40="","",INDEX(MLR!$1:$1048576,MATCH($G40,MLR!$J:$J,0),MATCH(AD$3,MLR!$1:$1,0)))</f>
        <v>1</v>
      </c>
      <c r="AE40" s="173">
        <f>IF($G40="","",INDEX(MLR!$1:$1048576,MATCH($G40,MLR!$J:$J,0),MATCH(AE$3,MLR!$1:$1,0)))</f>
        <v>8</v>
      </c>
      <c r="AF40" s="174" t="str">
        <f>IF(G40="","",IFERROR(IF(MATCH($G40,MLR!$J:$J,0)&gt;0,"Installed","Not Found"),"Not Found"))</f>
        <v>Installed</v>
      </c>
      <c r="AG40" s="165"/>
      <c r="AH40" s="175" t="str">
        <f t="shared" si="38"/>
        <v>Short</v>
      </c>
      <c r="AI40" s="175" t="str">
        <f t="shared" si="39"/>
        <v>Correct</v>
      </c>
      <c r="AJ40" s="175" t="str">
        <f t="shared" si="40"/>
        <v>Short</v>
      </c>
      <c r="AK40" s="175" t="str">
        <f t="shared" si="41"/>
        <v>Correct</v>
      </c>
      <c r="AL40" s="175" t="str">
        <f t="shared" si="42"/>
        <v>Correct</v>
      </c>
      <c r="AM40" s="175" t="str">
        <f t="shared" si="43"/>
        <v>Correct</v>
      </c>
      <c r="AN40" s="175" t="str">
        <f t="shared" si="44"/>
        <v>Correct</v>
      </c>
      <c r="AO40" s="175" t="str">
        <f t="shared" si="45"/>
        <v>Correct</v>
      </c>
      <c r="AP40" s="175" t="str">
        <f t="shared" si="46"/>
        <v>Correct</v>
      </c>
      <c r="AQ40" s="165"/>
      <c r="AR40" s="173">
        <f t="shared" si="20"/>
        <v>-108</v>
      </c>
      <c r="AS40" s="173">
        <f t="shared" si="21"/>
        <v>0</v>
      </c>
      <c r="AT40" s="173">
        <f t="shared" si="22"/>
        <v>-8</v>
      </c>
      <c r="AU40" s="173">
        <f t="shared" si="23"/>
        <v>0</v>
      </c>
      <c r="AV40" s="173">
        <f t="shared" si="24"/>
        <v>0</v>
      </c>
      <c r="AW40" s="173">
        <f t="shared" si="25"/>
        <v>0</v>
      </c>
      <c r="AX40" s="173">
        <f t="shared" si="26"/>
        <v>0</v>
      </c>
      <c r="AY40" s="173">
        <f t="shared" si="27"/>
        <v>0</v>
      </c>
      <c r="AZ40" s="173">
        <f t="shared" si="28"/>
        <v>0</v>
      </c>
      <c r="BA40" s="165"/>
      <c r="BB40" s="174" t="str">
        <f t="shared" si="19"/>
        <v>With Variance</v>
      </c>
    </row>
    <row r="41" spans="1:54" s="36" customFormat="1" ht="13.8" x14ac:dyDescent="0.3">
      <c r="A41" s="128" t="str">
        <f>_xlfn.XLOOKUP(B41,'Cuttof Mapping'!A:A,'Cuttof Mapping'!D:D)</f>
        <v>2023 Dec 2nd</v>
      </c>
      <c r="B41" s="133">
        <v>45301</v>
      </c>
      <c r="C41" s="86" t="s">
        <v>216</v>
      </c>
      <c r="D41" s="79" t="s">
        <v>63</v>
      </c>
      <c r="E41" s="86">
        <v>4500866</v>
      </c>
      <c r="F41" s="86" t="s">
        <v>91</v>
      </c>
      <c r="G41" s="86" t="s">
        <v>217</v>
      </c>
      <c r="H41" s="86">
        <v>10001035</v>
      </c>
      <c r="I41" s="86" t="s">
        <v>90</v>
      </c>
      <c r="J41" s="86">
        <v>1680000724492</v>
      </c>
      <c r="K41" s="86" t="s">
        <v>54</v>
      </c>
      <c r="L41" s="86" t="s">
        <v>218</v>
      </c>
      <c r="M41" s="173">
        <f>IF(G41="","",ABS(SUMIFS('System(MB51)'!$K:$K,'System(MB51)'!$L:$L,'Checking(ZSERIALS)'!$J41,'System(MB51)'!$O:$O,'Checking(ZSERIALS)'!$L41,'System(MB51)'!$A:$A,'Checking(ZSERIALS)'!M$3)))</f>
        <v>0</v>
      </c>
      <c r="N41" s="173">
        <f>IF(H41="","",ABS(SUMIFS('System(MB51)'!$K:$K,'System(MB51)'!$L:$L,'Checking(ZSERIALS)'!$J41,'System(MB51)'!$O:$O,'Checking(ZSERIALS)'!$L41,'System(MB51)'!$A:$A,'Checking(ZSERIALS)'!N$3)))</f>
        <v>0</v>
      </c>
      <c r="O41" s="173">
        <f>IF(I41="","",ABS(SUMIFS('System(MB51)'!$K:$K,'System(MB51)'!$L:$L,'Checking(ZSERIALS)'!$J41,'System(MB51)'!$O:$O,'Checking(ZSERIALS)'!$L41,'System(MB51)'!$A:$A,'Checking(ZSERIALS)'!O$3)))</f>
        <v>0</v>
      </c>
      <c r="P41" s="173">
        <f>IF(J41="","",ABS(SUMIFS('System(MB51)'!$K:$K,'System(MB51)'!$L:$L,'Checking(ZSERIALS)'!$J41,'System(MB51)'!$O:$O,'Checking(ZSERIALS)'!$L41,'System(MB51)'!$A:$A,'Checking(ZSERIALS)'!P$3)))</f>
        <v>0</v>
      </c>
      <c r="Q41" s="173">
        <f>IF(K41="","",ABS(SUMIFS('System(MB51)'!$K:$K,'System(MB51)'!$L:$L,'Checking(ZSERIALS)'!$J41,'System(MB51)'!$O:$O,'Checking(ZSERIALS)'!$L41,'System(MB51)'!$A:$A,'Checking(ZSERIALS)'!Q$3)))</f>
        <v>0</v>
      </c>
      <c r="R41" s="173">
        <f>IF(L41="","",ABS(SUMIFS('System(MB51)'!$K:$K,'System(MB51)'!$L:$L,'Checking(ZSERIALS)'!$J41,'System(MB51)'!$O:$O,'Checking(ZSERIALS)'!$L41,'System(MB51)'!$A:$A,'Checking(ZSERIALS)'!R$3)))</f>
        <v>0</v>
      </c>
      <c r="S41" s="173">
        <f>IF(M41="","",ABS(SUMIFS('System(MB51)'!$K:$K,'System(MB51)'!$L:$L,'Checking(ZSERIALS)'!$J41,'System(MB51)'!$O:$O,'Checking(ZSERIALS)'!$L41,'System(MB51)'!$A:$A,'Checking(ZSERIALS)'!S$3)))</f>
        <v>0</v>
      </c>
      <c r="T41" s="173">
        <f>IF(N41="","",ABS(SUMIFS('System(MB51)'!$K:$K,'System(MB51)'!$L:$L,'Checking(ZSERIALS)'!$J41,'System(MB51)'!$O:$O,'Checking(ZSERIALS)'!$L41,'System(MB51)'!$A:$A,'Checking(ZSERIALS)'!T$3)))</f>
        <v>1</v>
      </c>
      <c r="U41" s="173">
        <f>IF(O41="","",ABS(SUMIFS('System(MB51)'!$K:$K,'System(MB51)'!$L:$L,'Checking(ZSERIALS)'!$J41,'System(MB51)'!$O:$O,'Checking(ZSERIALS)'!$L41,'System(MB51)'!$A:$A,'Checking(ZSERIALS)'!U$3)))</f>
        <v>0</v>
      </c>
      <c r="V41" s="165"/>
      <c r="W41" s="173">
        <f>IF($G41="","",INDEX(MLR!$1:$1048576,MATCH($G41,MLR!$J:$J,0),MATCH(W$3,MLR!$1:$1,0)))</f>
        <v>324</v>
      </c>
      <c r="X41" s="173">
        <f>IF($G41="","",INDEX(MLR!$1:$1048576,MATCH($G41,MLR!$J:$J,0),MATCH(X$3,MLR!$1:$1,0)))</f>
        <v>2</v>
      </c>
      <c r="Y41" s="173">
        <f>IF($G41="","",INDEX(MLR!$1:$1048576,MATCH($G41,MLR!$J:$J,0),MATCH(Y$3,MLR!$1:$1,0)))</f>
        <v>20</v>
      </c>
      <c r="Z41" s="173">
        <f>IF($G41="","",INDEX(MLR!$1:$1048576,MATCH($G41,MLR!$J:$J,0),MATCH(Z$3,MLR!$1:$1,0)))</f>
        <v>1</v>
      </c>
      <c r="AA41" s="173">
        <f>IF($G41="","",INDEX(MLR!$1:$1048576,MATCH($G41,MLR!$J:$J,0),MATCH(AA$3,MLR!$1:$1,0)))</f>
        <v>0</v>
      </c>
      <c r="AB41" s="173">
        <f>IF($G41="","",INDEX(MLR!$1:$1048576,MATCH($G41,MLR!$J:$J,0),MATCH(AB$3,MLR!$1:$1,0)))</f>
        <v>0</v>
      </c>
      <c r="AC41" s="173">
        <f>IF($G41="","",INDEX(MLR!$1:$1048576,MATCH($G41,MLR!$J:$J,0),MATCH(AC$3,MLR!$1:$1,0)))</f>
        <v>10</v>
      </c>
      <c r="AD41" s="173">
        <f>IF($G41="","",INDEX(MLR!$1:$1048576,MATCH($G41,MLR!$J:$J,0),MATCH(AD$3,MLR!$1:$1,0)))</f>
        <v>1</v>
      </c>
      <c r="AE41" s="173">
        <f>IF($G41="","",INDEX(MLR!$1:$1048576,MATCH($G41,MLR!$J:$J,0),MATCH(AE$3,MLR!$1:$1,0)))</f>
        <v>10</v>
      </c>
      <c r="AF41" s="174" t="str">
        <f>IF(G41="","",IFERROR(IF(MATCH($G41,MLR!$J:$J,0)&gt;0,"Installed","Not Found"),"Not Found"))</f>
        <v>Installed</v>
      </c>
      <c r="AG41" s="165"/>
      <c r="AH41" s="175" t="str">
        <f t="shared" si="38"/>
        <v>Short</v>
      </c>
      <c r="AI41" s="175" t="str">
        <f t="shared" si="39"/>
        <v>Short</v>
      </c>
      <c r="AJ41" s="175" t="str">
        <f t="shared" si="40"/>
        <v>Short</v>
      </c>
      <c r="AK41" s="175" t="str">
        <f t="shared" si="41"/>
        <v>Short</v>
      </c>
      <c r="AL41" s="175" t="str">
        <f t="shared" si="42"/>
        <v>Correct</v>
      </c>
      <c r="AM41" s="175" t="str">
        <f t="shared" si="43"/>
        <v>Correct</v>
      </c>
      <c r="AN41" s="175" t="str">
        <f t="shared" si="44"/>
        <v>Short</v>
      </c>
      <c r="AO41" s="175" t="str">
        <f t="shared" si="45"/>
        <v>Correct</v>
      </c>
      <c r="AP41" s="175" t="str">
        <f t="shared" si="46"/>
        <v>Short</v>
      </c>
      <c r="AQ41" s="165"/>
      <c r="AR41" s="173">
        <f t="shared" si="20"/>
        <v>-324</v>
      </c>
      <c r="AS41" s="173">
        <f t="shared" si="21"/>
        <v>-2</v>
      </c>
      <c r="AT41" s="173">
        <f t="shared" si="22"/>
        <v>-20</v>
      </c>
      <c r="AU41" s="173">
        <f t="shared" si="23"/>
        <v>-1</v>
      </c>
      <c r="AV41" s="173">
        <f t="shared" si="24"/>
        <v>0</v>
      </c>
      <c r="AW41" s="173">
        <f t="shared" si="25"/>
        <v>0</v>
      </c>
      <c r="AX41" s="173">
        <f t="shared" si="26"/>
        <v>-10</v>
      </c>
      <c r="AY41" s="173">
        <f t="shared" si="27"/>
        <v>0</v>
      </c>
      <c r="AZ41" s="173">
        <f t="shared" si="28"/>
        <v>-10</v>
      </c>
      <c r="BA41" s="165"/>
      <c r="BB41" s="174" t="str">
        <f t="shared" si="19"/>
        <v>With Variance</v>
      </c>
    </row>
    <row r="42" spans="1:54" s="36" customFormat="1" ht="13.8" x14ac:dyDescent="0.3">
      <c r="A42" s="128" t="str">
        <f>_xlfn.XLOOKUP(B42,'Cuttof Mapping'!A:A,'Cuttof Mapping'!D:D)</f>
        <v>2023 Dec 2nd</v>
      </c>
      <c r="B42" s="133">
        <v>45301</v>
      </c>
      <c r="C42" s="86" t="s">
        <v>219</v>
      </c>
      <c r="D42" s="79" t="s">
        <v>63</v>
      </c>
      <c r="E42" s="86">
        <v>4500866</v>
      </c>
      <c r="F42" s="86" t="s">
        <v>91</v>
      </c>
      <c r="G42" s="86" t="s">
        <v>220</v>
      </c>
      <c r="H42" s="86">
        <v>10001035</v>
      </c>
      <c r="I42" s="86" t="s">
        <v>90</v>
      </c>
      <c r="J42" s="86">
        <v>1680000725912</v>
      </c>
      <c r="K42" s="86" t="s">
        <v>54</v>
      </c>
      <c r="L42" s="86" t="s">
        <v>221</v>
      </c>
      <c r="M42" s="173">
        <f>IF(G42="","",ABS(SUMIFS('System(MB51)'!$K:$K,'System(MB51)'!$L:$L,'Checking(ZSERIALS)'!$J42,'System(MB51)'!$O:$O,'Checking(ZSERIALS)'!$L42,'System(MB51)'!$A:$A,'Checking(ZSERIALS)'!M$3)))</f>
        <v>0</v>
      </c>
      <c r="N42" s="173">
        <f>IF(H42="","",ABS(SUMIFS('System(MB51)'!$K:$K,'System(MB51)'!$L:$L,'Checking(ZSERIALS)'!$J42,'System(MB51)'!$O:$O,'Checking(ZSERIALS)'!$L42,'System(MB51)'!$A:$A,'Checking(ZSERIALS)'!N$3)))</f>
        <v>0</v>
      </c>
      <c r="O42" s="173">
        <f>IF(I42="","",ABS(SUMIFS('System(MB51)'!$K:$K,'System(MB51)'!$L:$L,'Checking(ZSERIALS)'!$J42,'System(MB51)'!$O:$O,'Checking(ZSERIALS)'!$L42,'System(MB51)'!$A:$A,'Checking(ZSERIALS)'!O$3)))</f>
        <v>0</v>
      </c>
      <c r="P42" s="173">
        <f>IF(J42="","",ABS(SUMIFS('System(MB51)'!$K:$K,'System(MB51)'!$L:$L,'Checking(ZSERIALS)'!$J42,'System(MB51)'!$O:$O,'Checking(ZSERIALS)'!$L42,'System(MB51)'!$A:$A,'Checking(ZSERIALS)'!P$3)))</f>
        <v>0</v>
      </c>
      <c r="Q42" s="173">
        <f>IF(K42="","",ABS(SUMIFS('System(MB51)'!$K:$K,'System(MB51)'!$L:$L,'Checking(ZSERIALS)'!$J42,'System(MB51)'!$O:$O,'Checking(ZSERIALS)'!$L42,'System(MB51)'!$A:$A,'Checking(ZSERIALS)'!Q$3)))</f>
        <v>0</v>
      </c>
      <c r="R42" s="173">
        <f>IF(L42="","",ABS(SUMIFS('System(MB51)'!$K:$K,'System(MB51)'!$L:$L,'Checking(ZSERIALS)'!$J42,'System(MB51)'!$O:$O,'Checking(ZSERIALS)'!$L42,'System(MB51)'!$A:$A,'Checking(ZSERIALS)'!R$3)))</f>
        <v>0</v>
      </c>
      <c r="S42" s="173">
        <f>IF(M42="","",ABS(SUMIFS('System(MB51)'!$K:$K,'System(MB51)'!$L:$L,'Checking(ZSERIALS)'!$J42,'System(MB51)'!$O:$O,'Checking(ZSERIALS)'!$L42,'System(MB51)'!$A:$A,'Checking(ZSERIALS)'!S$3)))</f>
        <v>0</v>
      </c>
      <c r="T42" s="173">
        <f>IF(N42="","",ABS(SUMIFS('System(MB51)'!$K:$K,'System(MB51)'!$L:$L,'Checking(ZSERIALS)'!$J42,'System(MB51)'!$O:$O,'Checking(ZSERIALS)'!$L42,'System(MB51)'!$A:$A,'Checking(ZSERIALS)'!T$3)))</f>
        <v>1</v>
      </c>
      <c r="U42" s="173">
        <f>IF(O42="","",ABS(SUMIFS('System(MB51)'!$K:$K,'System(MB51)'!$L:$L,'Checking(ZSERIALS)'!$J42,'System(MB51)'!$O:$O,'Checking(ZSERIALS)'!$L42,'System(MB51)'!$A:$A,'Checking(ZSERIALS)'!U$3)))</f>
        <v>0</v>
      </c>
      <c r="V42" s="165"/>
      <c r="W42" s="173">
        <f>IF($G42="","",INDEX(MLR!$1:$1048576,MATCH($G42,MLR!$J:$J,0),MATCH(W$3,MLR!$1:$1,0)))</f>
        <v>321</v>
      </c>
      <c r="X42" s="173">
        <f>IF($G42="","",INDEX(MLR!$1:$1048576,MATCH($G42,MLR!$J:$J,0),MATCH(X$3,MLR!$1:$1,0)))</f>
        <v>2</v>
      </c>
      <c r="Y42" s="173">
        <f>IF($G42="","",INDEX(MLR!$1:$1048576,MATCH($G42,MLR!$J:$J,0),MATCH(Y$3,MLR!$1:$1,0)))</f>
        <v>14</v>
      </c>
      <c r="Z42" s="173">
        <f>IF($G42="","",INDEX(MLR!$1:$1048576,MATCH($G42,MLR!$J:$J,0),MATCH(Z$3,MLR!$1:$1,0)))</f>
        <v>1</v>
      </c>
      <c r="AA42" s="173">
        <f>IF($G42="","",INDEX(MLR!$1:$1048576,MATCH($G42,MLR!$J:$J,0),MATCH(AA$3,MLR!$1:$1,0)))</f>
        <v>0</v>
      </c>
      <c r="AB42" s="173">
        <f>IF($G42="","",INDEX(MLR!$1:$1048576,MATCH($G42,MLR!$J:$J,0),MATCH(AB$3,MLR!$1:$1,0)))</f>
        <v>0</v>
      </c>
      <c r="AC42" s="173">
        <f>IF($G42="","",INDEX(MLR!$1:$1048576,MATCH($G42,MLR!$J:$J,0),MATCH(AC$3,MLR!$1:$1,0)))</f>
        <v>10</v>
      </c>
      <c r="AD42" s="173">
        <f>IF($G42="","",INDEX(MLR!$1:$1048576,MATCH($G42,MLR!$J:$J,0),MATCH(AD$3,MLR!$1:$1,0)))</f>
        <v>1</v>
      </c>
      <c r="AE42" s="173">
        <f>IF($G42="","",INDEX(MLR!$1:$1048576,MATCH($G42,MLR!$J:$J,0),MATCH(AE$3,MLR!$1:$1,0)))</f>
        <v>8</v>
      </c>
      <c r="AF42" s="174" t="str">
        <f>IF(G42="","",IFERROR(IF(MATCH($G42,MLR!$J:$J,0)&gt;0,"Installed","Not Found"),"Not Found"))</f>
        <v>Installed</v>
      </c>
      <c r="AG42" s="165"/>
      <c r="AH42" s="175" t="str">
        <f t="shared" si="38"/>
        <v>Short</v>
      </c>
      <c r="AI42" s="175" t="str">
        <f t="shared" si="39"/>
        <v>Short</v>
      </c>
      <c r="AJ42" s="175" t="str">
        <f t="shared" si="40"/>
        <v>Short</v>
      </c>
      <c r="AK42" s="175" t="str">
        <f t="shared" si="41"/>
        <v>Short</v>
      </c>
      <c r="AL42" s="175" t="str">
        <f t="shared" si="42"/>
        <v>Correct</v>
      </c>
      <c r="AM42" s="175" t="str">
        <f t="shared" si="43"/>
        <v>Correct</v>
      </c>
      <c r="AN42" s="175" t="str">
        <f t="shared" si="44"/>
        <v>Short</v>
      </c>
      <c r="AO42" s="175" t="str">
        <f t="shared" si="45"/>
        <v>Correct</v>
      </c>
      <c r="AP42" s="175" t="str">
        <f t="shared" si="46"/>
        <v>Short</v>
      </c>
      <c r="AQ42" s="165"/>
      <c r="AR42" s="173">
        <f t="shared" si="20"/>
        <v>-321</v>
      </c>
      <c r="AS42" s="173">
        <f t="shared" si="21"/>
        <v>-2</v>
      </c>
      <c r="AT42" s="173">
        <f t="shared" si="22"/>
        <v>-14</v>
      </c>
      <c r="AU42" s="173">
        <f t="shared" si="23"/>
        <v>-1</v>
      </c>
      <c r="AV42" s="173">
        <f t="shared" si="24"/>
        <v>0</v>
      </c>
      <c r="AW42" s="173">
        <f t="shared" si="25"/>
        <v>0</v>
      </c>
      <c r="AX42" s="173">
        <f t="shared" si="26"/>
        <v>-10</v>
      </c>
      <c r="AY42" s="173">
        <f t="shared" si="27"/>
        <v>0</v>
      </c>
      <c r="AZ42" s="173">
        <f t="shared" si="28"/>
        <v>-8</v>
      </c>
      <c r="BA42" s="165"/>
      <c r="BB42" s="174" t="str">
        <f t="shared" si="19"/>
        <v>With Variance</v>
      </c>
    </row>
    <row r="43" spans="1:54" s="36" customFormat="1" ht="13.8" x14ac:dyDescent="0.3">
      <c r="A43" s="128" t="str">
        <f>_xlfn.XLOOKUP(B43,'Cuttof Mapping'!A:A,'Cuttof Mapping'!D:D)</f>
        <v>2023 Dec 2nd</v>
      </c>
      <c r="B43" s="133">
        <v>45301</v>
      </c>
      <c r="C43" s="86" t="s">
        <v>222</v>
      </c>
      <c r="D43" s="79" t="s">
        <v>63</v>
      </c>
      <c r="E43" s="86">
        <v>4500866</v>
      </c>
      <c r="F43" s="86" t="s">
        <v>91</v>
      </c>
      <c r="G43" s="86" t="s">
        <v>223</v>
      </c>
      <c r="H43" s="86">
        <v>10001035</v>
      </c>
      <c r="I43" s="86" t="s">
        <v>90</v>
      </c>
      <c r="J43" s="86">
        <v>1680000725443</v>
      </c>
      <c r="K43" s="86" t="s">
        <v>54</v>
      </c>
      <c r="L43" s="86" t="s">
        <v>224</v>
      </c>
      <c r="M43" s="173">
        <f>IF(G43="","",ABS(SUMIFS('System(MB51)'!$K:$K,'System(MB51)'!$L:$L,'Checking(ZSERIALS)'!$J43,'System(MB51)'!$O:$O,'Checking(ZSERIALS)'!$L43,'System(MB51)'!$A:$A,'Checking(ZSERIALS)'!M$3)))</f>
        <v>0</v>
      </c>
      <c r="N43" s="173">
        <f>IF(H43="","",ABS(SUMIFS('System(MB51)'!$K:$K,'System(MB51)'!$L:$L,'Checking(ZSERIALS)'!$J43,'System(MB51)'!$O:$O,'Checking(ZSERIALS)'!$L43,'System(MB51)'!$A:$A,'Checking(ZSERIALS)'!N$3)))</f>
        <v>2</v>
      </c>
      <c r="O43" s="173">
        <f>IF(I43="","",ABS(SUMIFS('System(MB51)'!$K:$K,'System(MB51)'!$L:$L,'Checking(ZSERIALS)'!$J43,'System(MB51)'!$O:$O,'Checking(ZSERIALS)'!$L43,'System(MB51)'!$A:$A,'Checking(ZSERIALS)'!O$3)))</f>
        <v>0</v>
      </c>
      <c r="P43" s="173">
        <f>IF(J43="","",ABS(SUMIFS('System(MB51)'!$K:$K,'System(MB51)'!$L:$L,'Checking(ZSERIALS)'!$J43,'System(MB51)'!$O:$O,'Checking(ZSERIALS)'!$L43,'System(MB51)'!$A:$A,'Checking(ZSERIALS)'!P$3)))</f>
        <v>1</v>
      </c>
      <c r="Q43" s="173">
        <f>IF(K43="","",ABS(SUMIFS('System(MB51)'!$K:$K,'System(MB51)'!$L:$L,'Checking(ZSERIALS)'!$J43,'System(MB51)'!$O:$O,'Checking(ZSERIALS)'!$L43,'System(MB51)'!$A:$A,'Checking(ZSERIALS)'!Q$3)))</f>
        <v>0</v>
      </c>
      <c r="R43" s="173">
        <f>IF(L43="","",ABS(SUMIFS('System(MB51)'!$K:$K,'System(MB51)'!$L:$L,'Checking(ZSERIALS)'!$J43,'System(MB51)'!$O:$O,'Checking(ZSERIALS)'!$L43,'System(MB51)'!$A:$A,'Checking(ZSERIALS)'!R$3)))</f>
        <v>0</v>
      </c>
      <c r="S43" s="173">
        <f>IF(M43="","",ABS(SUMIFS('System(MB51)'!$K:$K,'System(MB51)'!$L:$L,'Checking(ZSERIALS)'!$J43,'System(MB51)'!$O:$O,'Checking(ZSERIALS)'!$L43,'System(MB51)'!$A:$A,'Checking(ZSERIALS)'!S$3)))</f>
        <v>8</v>
      </c>
      <c r="T43" s="173">
        <f>IF(N43="","",ABS(SUMIFS('System(MB51)'!$K:$K,'System(MB51)'!$L:$L,'Checking(ZSERIALS)'!$J43,'System(MB51)'!$O:$O,'Checking(ZSERIALS)'!$L43,'System(MB51)'!$A:$A,'Checking(ZSERIALS)'!T$3)))</f>
        <v>1</v>
      </c>
      <c r="U43" s="173">
        <f>IF(O43="","",ABS(SUMIFS('System(MB51)'!$K:$K,'System(MB51)'!$L:$L,'Checking(ZSERIALS)'!$J43,'System(MB51)'!$O:$O,'Checking(ZSERIALS)'!$L43,'System(MB51)'!$A:$A,'Checking(ZSERIALS)'!U$3)))</f>
        <v>8</v>
      </c>
      <c r="V43" s="165"/>
      <c r="W43" s="173">
        <f>IF($G43="","",INDEX(MLR!$1:$1048576,MATCH($G43,MLR!$J:$J,0),MATCH(W$3,MLR!$1:$1,0)))</f>
        <v>343</v>
      </c>
      <c r="X43" s="173">
        <f>IF($G43="","",INDEX(MLR!$1:$1048576,MATCH($G43,MLR!$J:$J,0),MATCH(X$3,MLR!$1:$1,0)))</f>
        <v>2</v>
      </c>
      <c r="Y43" s="173">
        <f>IF($G43="","",INDEX(MLR!$1:$1048576,MATCH($G43,MLR!$J:$J,0),MATCH(Y$3,MLR!$1:$1,0)))</f>
        <v>12</v>
      </c>
      <c r="Z43" s="173">
        <f>IF($G43="","",INDEX(MLR!$1:$1048576,MATCH($G43,MLR!$J:$J,0),MATCH(Z$3,MLR!$1:$1,0)))</f>
        <v>1</v>
      </c>
      <c r="AA43" s="173">
        <f>IF($G43="","",INDEX(MLR!$1:$1048576,MATCH($G43,MLR!$J:$J,0),MATCH(AA$3,MLR!$1:$1,0)))</f>
        <v>1</v>
      </c>
      <c r="AB43" s="173">
        <f>IF($G43="","",INDEX(MLR!$1:$1048576,MATCH($G43,MLR!$J:$J,0),MATCH(AB$3,MLR!$1:$1,0)))</f>
        <v>0</v>
      </c>
      <c r="AC43" s="173">
        <f>IF($G43="","",INDEX(MLR!$1:$1048576,MATCH($G43,MLR!$J:$J,0),MATCH(AC$3,MLR!$1:$1,0)))</f>
        <v>8</v>
      </c>
      <c r="AD43" s="173">
        <f>IF($G43="","",INDEX(MLR!$1:$1048576,MATCH($G43,MLR!$J:$J,0),MATCH(AD$3,MLR!$1:$1,0)))</f>
        <v>1</v>
      </c>
      <c r="AE43" s="173">
        <f>IF($G43="","",INDEX(MLR!$1:$1048576,MATCH($G43,MLR!$J:$J,0),MATCH(AE$3,MLR!$1:$1,0)))</f>
        <v>10</v>
      </c>
      <c r="AF43" s="174" t="str">
        <f>IF(G43="","",IFERROR(IF(MATCH($G43,MLR!$J:$J,0)&gt;0,"Installed","Not Found"),"Not Found"))</f>
        <v>Installed</v>
      </c>
      <c r="AG43" s="165"/>
      <c r="AH43" s="175" t="str">
        <f t="shared" si="38"/>
        <v>Short</v>
      </c>
      <c r="AI43" s="175" t="str">
        <f t="shared" si="39"/>
        <v>Correct</v>
      </c>
      <c r="AJ43" s="175" t="str">
        <f t="shared" si="40"/>
        <v>Short</v>
      </c>
      <c r="AK43" s="175" t="str">
        <f t="shared" si="41"/>
        <v>Correct</v>
      </c>
      <c r="AL43" s="175" t="str">
        <f t="shared" si="42"/>
        <v>Short</v>
      </c>
      <c r="AM43" s="175" t="str">
        <f t="shared" si="43"/>
        <v>Correct</v>
      </c>
      <c r="AN43" s="175" t="str">
        <f t="shared" si="44"/>
        <v>Correct</v>
      </c>
      <c r="AO43" s="175" t="str">
        <f t="shared" si="45"/>
        <v>Correct</v>
      </c>
      <c r="AP43" s="175" t="str">
        <f t="shared" si="46"/>
        <v>Short</v>
      </c>
      <c r="AQ43" s="165"/>
      <c r="AR43" s="173">
        <f t="shared" si="20"/>
        <v>-343</v>
      </c>
      <c r="AS43" s="173">
        <f t="shared" si="21"/>
        <v>0</v>
      </c>
      <c r="AT43" s="173">
        <f t="shared" si="22"/>
        <v>-12</v>
      </c>
      <c r="AU43" s="173">
        <f t="shared" si="23"/>
        <v>0</v>
      </c>
      <c r="AV43" s="173">
        <f t="shared" si="24"/>
        <v>-1</v>
      </c>
      <c r="AW43" s="173">
        <f t="shared" si="25"/>
        <v>0</v>
      </c>
      <c r="AX43" s="173">
        <f t="shared" si="26"/>
        <v>0</v>
      </c>
      <c r="AY43" s="173">
        <f t="shared" si="27"/>
        <v>0</v>
      </c>
      <c r="AZ43" s="173">
        <f t="shared" si="28"/>
        <v>-2</v>
      </c>
      <c r="BA43" s="165"/>
      <c r="BB43" s="174" t="str">
        <f t="shared" si="19"/>
        <v>With Variance</v>
      </c>
    </row>
    <row r="44" spans="1:54" s="36" customFormat="1" ht="13.8" x14ac:dyDescent="0.3">
      <c r="A44" s="128" t="str">
        <f>_xlfn.XLOOKUP(B44,'Cuttof Mapping'!A:A,'Cuttof Mapping'!D:D)</f>
        <v>2023 Dec 2nd</v>
      </c>
      <c r="B44" s="133">
        <v>45301</v>
      </c>
      <c r="C44" s="86" t="s">
        <v>225</v>
      </c>
      <c r="D44" s="79" t="s">
        <v>63</v>
      </c>
      <c r="E44" s="86">
        <v>4500866</v>
      </c>
      <c r="F44" s="86" t="s">
        <v>91</v>
      </c>
      <c r="G44" s="86" t="s">
        <v>226</v>
      </c>
      <c r="H44" s="86">
        <v>10001035</v>
      </c>
      <c r="I44" s="86" t="s">
        <v>90</v>
      </c>
      <c r="J44" s="86">
        <v>1680000716616</v>
      </c>
      <c r="K44" s="86" t="s">
        <v>54</v>
      </c>
      <c r="L44" s="86" t="s">
        <v>227</v>
      </c>
      <c r="M44" s="173">
        <f>IF(G44="","",ABS(SUMIFS('System(MB51)'!$K:$K,'System(MB51)'!$L:$L,'Checking(ZSERIALS)'!$J44,'System(MB51)'!$O:$O,'Checking(ZSERIALS)'!$L44,'System(MB51)'!$A:$A,'Checking(ZSERIALS)'!M$3)))</f>
        <v>0</v>
      </c>
      <c r="N44" s="173">
        <f>IF(H44="","",ABS(SUMIFS('System(MB51)'!$K:$K,'System(MB51)'!$L:$L,'Checking(ZSERIALS)'!$J44,'System(MB51)'!$O:$O,'Checking(ZSERIALS)'!$L44,'System(MB51)'!$A:$A,'Checking(ZSERIALS)'!N$3)))</f>
        <v>2</v>
      </c>
      <c r="O44" s="173">
        <f>IF(I44="","",ABS(SUMIFS('System(MB51)'!$K:$K,'System(MB51)'!$L:$L,'Checking(ZSERIALS)'!$J44,'System(MB51)'!$O:$O,'Checking(ZSERIALS)'!$L44,'System(MB51)'!$A:$A,'Checking(ZSERIALS)'!O$3)))</f>
        <v>0</v>
      </c>
      <c r="P44" s="173">
        <f>IF(J44="","",ABS(SUMIFS('System(MB51)'!$K:$K,'System(MB51)'!$L:$L,'Checking(ZSERIALS)'!$J44,'System(MB51)'!$O:$O,'Checking(ZSERIALS)'!$L44,'System(MB51)'!$A:$A,'Checking(ZSERIALS)'!P$3)))</f>
        <v>1</v>
      </c>
      <c r="Q44" s="173">
        <f>IF(K44="","",ABS(SUMIFS('System(MB51)'!$K:$K,'System(MB51)'!$L:$L,'Checking(ZSERIALS)'!$J44,'System(MB51)'!$O:$O,'Checking(ZSERIALS)'!$L44,'System(MB51)'!$A:$A,'Checking(ZSERIALS)'!Q$3)))</f>
        <v>0</v>
      </c>
      <c r="R44" s="173">
        <f>IF(L44="","",ABS(SUMIFS('System(MB51)'!$K:$K,'System(MB51)'!$L:$L,'Checking(ZSERIALS)'!$J44,'System(MB51)'!$O:$O,'Checking(ZSERIALS)'!$L44,'System(MB51)'!$A:$A,'Checking(ZSERIALS)'!R$3)))</f>
        <v>0</v>
      </c>
      <c r="S44" s="173">
        <f>IF(M44="","",ABS(SUMIFS('System(MB51)'!$K:$K,'System(MB51)'!$L:$L,'Checking(ZSERIALS)'!$J44,'System(MB51)'!$O:$O,'Checking(ZSERIALS)'!$L44,'System(MB51)'!$A:$A,'Checking(ZSERIALS)'!S$3)))</f>
        <v>5</v>
      </c>
      <c r="T44" s="173">
        <f>IF(N44="","",ABS(SUMIFS('System(MB51)'!$K:$K,'System(MB51)'!$L:$L,'Checking(ZSERIALS)'!$J44,'System(MB51)'!$O:$O,'Checking(ZSERIALS)'!$L44,'System(MB51)'!$A:$A,'Checking(ZSERIALS)'!T$3)))</f>
        <v>1</v>
      </c>
      <c r="U44" s="173">
        <f>IF(O44="","",ABS(SUMIFS('System(MB51)'!$K:$K,'System(MB51)'!$L:$L,'Checking(ZSERIALS)'!$J44,'System(MB51)'!$O:$O,'Checking(ZSERIALS)'!$L44,'System(MB51)'!$A:$A,'Checking(ZSERIALS)'!U$3)))</f>
        <v>8</v>
      </c>
      <c r="V44" s="165"/>
      <c r="W44" s="173">
        <f>IF($G44="","",INDEX(MLR!$1:$1048576,MATCH($G44,MLR!$J:$J,0),MATCH(W$3,MLR!$1:$1,0)))</f>
        <v>197</v>
      </c>
      <c r="X44" s="173">
        <f>IF($G44="","",INDEX(MLR!$1:$1048576,MATCH($G44,MLR!$J:$J,0),MATCH(X$3,MLR!$1:$1,0)))</f>
        <v>2</v>
      </c>
      <c r="Y44" s="173">
        <f>IF($G44="","",INDEX(MLR!$1:$1048576,MATCH($G44,MLR!$J:$J,0),MATCH(Y$3,MLR!$1:$1,0)))</f>
        <v>10</v>
      </c>
      <c r="Z44" s="173">
        <f>IF($G44="","",INDEX(MLR!$1:$1048576,MATCH($G44,MLR!$J:$J,0),MATCH(Z$3,MLR!$1:$1,0)))</f>
        <v>1</v>
      </c>
      <c r="AA44" s="173">
        <f>IF($G44="","",INDEX(MLR!$1:$1048576,MATCH($G44,MLR!$J:$J,0),MATCH(AA$3,MLR!$1:$1,0)))</f>
        <v>0</v>
      </c>
      <c r="AB44" s="173">
        <f>IF($G44="","",INDEX(MLR!$1:$1048576,MATCH($G44,MLR!$J:$J,0),MATCH(AB$3,MLR!$1:$1,0)))</f>
        <v>0</v>
      </c>
      <c r="AC44" s="173">
        <f>IF($G44="","",INDEX(MLR!$1:$1048576,MATCH($G44,MLR!$J:$J,0),MATCH(AC$3,MLR!$1:$1,0)))</f>
        <v>5</v>
      </c>
      <c r="AD44" s="173">
        <f>IF($G44="","",INDEX(MLR!$1:$1048576,MATCH($G44,MLR!$J:$J,0),MATCH(AD$3,MLR!$1:$1,0)))</f>
        <v>1</v>
      </c>
      <c r="AE44" s="173">
        <f>IF($G44="","",INDEX(MLR!$1:$1048576,MATCH($G44,MLR!$J:$J,0),MATCH(AE$3,MLR!$1:$1,0)))</f>
        <v>10</v>
      </c>
      <c r="AF44" s="174" t="str">
        <f>IF(G44="","",IFERROR(IF(MATCH($G44,MLR!$J:$J,0)&gt;0,"Installed","Not Found"),"Not Found"))</f>
        <v>Installed</v>
      </c>
      <c r="AG44" s="165"/>
      <c r="AH44" s="175" t="str">
        <f t="shared" si="38"/>
        <v>Short</v>
      </c>
      <c r="AI44" s="175" t="str">
        <f t="shared" si="39"/>
        <v>Correct</v>
      </c>
      <c r="AJ44" s="175" t="str">
        <f t="shared" si="40"/>
        <v>Short</v>
      </c>
      <c r="AK44" s="175" t="str">
        <f t="shared" si="41"/>
        <v>Correct</v>
      </c>
      <c r="AL44" s="175" t="str">
        <f t="shared" si="42"/>
        <v>Correct</v>
      </c>
      <c r="AM44" s="175" t="str">
        <f t="shared" si="43"/>
        <v>Correct</v>
      </c>
      <c r="AN44" s="175" t="str">
        <f t="shared" si="44"/>
        <v>Correct</v>
      </c>
      <c r="AO44" s="175" t="str">
        <f t="shared" si="45"/>
        <v>Correct</v>
      </c>
      <c r="AP44" s="175" t="str">
        <f t="shared" si="46"/>
        <v>Short</v>
      </c>
      <c r="AQ44" s="165"/>
      <c r="AR44" s="173">
        <f t="shared" si="20"/>
        <v>-197</v>
      </c>
      <c r="AS44" s="173">
        <f t="shared" si="21"/>
        <v>0</v>
      </c>
      <c r="AT44" s="173">
        <f t="shared" si="22"/>
        <v>-10</v>
      </c>
      <c r="AU44" s="173">
        <f t="shared" si="23"/>
        <v>0</v>
      </c>
      <c r="AV44" s="173">
        <f t="shared" si="24"/>
        <v>0</v>
      </c>
      <c r="AW44" s="173">
        <f t="shared" si="25"/>
        <v>0</v>
      </c>
      <c r="AX44" s="173">
        <f t="shared" si="26"/>
        <v>0</v>
      </c>
      <c r="AY44" s="173">
        <f t="shared" si="27"/>
        <v>0</v>
      </c>
      <c r="AZ44" s="173">
        <f t="shared" si="28"/>
        <v>-2</v>
      </c>
      <c r="BA44" s="165"/>
      <c r="BB44" s="174" t="str">
        <f t="shared" si="19"/>
        <v>With Variance</v>
      </c>
    </row>
    <row r="45" spans="1:54" s="36" customFormat="1" ht="13.8" x14ac:dyDescent="0.3">
      <c r="A45" s="128" t="str">
        <f>_xlfn.XLOOKUP(B45,'Cuttof Mapping'!A:A,'Cuttof Mapping'!D:D)</f>
        <v>2023 Dec 2nd</v>
      </c>
      <c r="B45" s="133">
        <v>45301</v>
      </c>
      <c r="C45" s="86" t="s">
        <v>228</v>
      </c>
      <c r="D45" s="79" t="s">
        <v>63</v>
      </c>
      <c r="E45" s="86">
        <v>4500866</v>
      </c>
      <c r="F45" s="86" t="s">
        <v>91</v>
      </c>
      <c r="G45" s="86" t="s">
        <v>229</v>
      </c>
      <c r="H45" s="86">
        <v>10001035</v>
      </c>
      <c r="I45" s="86" t="s">
        <v>90</v>
      </c>
      <c r="J45" s="86">
        <v>1680000715654</v>
      </c>
      <c r="K45" s="86" t="s">
        <v>54</v>
      </c>
      <c r="L45" s="86" t="s">
        <v>230</v>
      </c>
      <c r="M45" s="173">
        <f>IF(G45="","",ABS(SUMIFS('System(MB51)'!$K:$K,'System(MB51)'!$L:$L,'Checking(ZSERIALS)'!$J45,'System(MB51)'!$O:$O,'Checking(ZSERIALS)'!$L45,'System(MB51)'!$A:$A,'Checking(ZSERIALS)'!M$3)))</f>
        <v>0</v>
      </c>
      <c r="N45" s="173">
        <f>IF(H45="","",ABS(SUMIFS('System(MB51)'!$K:$K,'System(MB51)'!$L:$L,'Checking(ZSERIALS)'!$J45,'System(MB51)'!$O:$O,'Checking(ZSERIALS)'!$L45,'System(MB51)'!$A:$A,'Checking(ZSERIALS)'!N$3)))</f>
        <v>2</v>
      </c>
      <c r="O45" s="173">
        <f>IF(I45="","",ABS(SUMIFS('System(MB51)'!$K:$K,'System(MB51)'!$L:$L,'Checking(ZSERIALS)'!$J45,'System(MB51)'!$O:$O,'Checking(ZSERIALS)'!$L45,'System(MB51)'!$A:$A,'Checking(ZSERIALS)'!O$3)))</f>
        <v>0</v>
      </c>
      <c r="P45" s="173">
        <f>IF(J45="","",ABS(SUMIFS('System(MB51)'!$K:$K,'System(MB51)'!$L:$L,'Checking(ZSERIALS)'!$J45,'System(MB51)'!$O:$O,'Checking(ZSERIALS)'!$L45,'System(MB51)'!$A:$A,'Checking(ZSERIALS)'!P$3)))</f>
        <v>1</v>
      </c>
      <c r="Q45" s="173">
        <f>IF(K45="","",ABS(SUMIFS('System(MB51)'!$K:$K,'System(MB51)'!$L:$L,'Checking(ZSERIALS)'!$J45,'System(MB51)'!$O:$O,'Checking(ZSERIALS)'!$L45,'System(MB51)'!$A:$A,'Checking(ZSERIALS)'!Q$3)))</f>
        <v>0</v>
      </c>
      <c r="R45" s="173">
        <f>IF(L45="","",ABS(SUMIFS('System(MB51)'!$K:$K,'System(MB51)'!$L:$L,'Checking(ZSERIALS)'!$J45,'System(MB51)'!$O:$O,'Checking(ZSERIALS)'!$L45,'System(MB51)'!$A:$A,'Checking(ZSERIALS)'!R$3)))</f>
        <v>0</v>
      </c>
      <c r="S45" s="173">
        <f>IF(M45="","",ABS(SUMIFS('System(MB51)'!$K:$K,'System(MB51)'!$L:$L,'Checking(ZSERIALS)'!$J45,'System(MB51)'!$O:$O,'Checking(ZSERIALS)'!$L45,'System(MB51)'!$A:$A,'Checking(ZSERIALS)'!S$3)))</f>
        <v>5</v>
      </c>
      <c r="T45" s="173">
        <f>IF(N45="","",ABS(SUMIFS('System(MB51)'!$K:$K,'System(MB51)'!$L:$L,'Checking(ZSERIALS)'!$J45,'System(MB51)'!$O:$O,'Checking(ZSERIALS)'!$L45,'System(MB51)'!$A:$A,'Checking(ZSERIALS)'!T$3)))</f>
        <v>1</v>
      </c>
      <c r="U45" s="173">
        <f>IF(O45="","",ABS(SUMIFS('System(MB51)'!$K:$K,'System(MB51)'!$L:$L,'Checking(ZSERIALS)'!$J45,'System(MB51)'!$O:$O,'Checking(ZSERIALS)'!$L45,'System(MB51)'!$A:$A,'Checking(ZSERIALS)'!U$3)))</f>
        <v>8</v>
      </c>
      <c r="V45" s="165"/>
      <c r="W45" s="173">
        <f>IF($G45="","",INDEX(MLR!$1:$1048576,MATCH($G45,MLR!$J:$J,0),MATCH(W$3,MLR!$1:$1,0)))</f>
        <v>246</v>
      </c>
      <c r="X45" s="173">
        <f>IF($G45="","",INDEX(MLR!$1:$1048576,MATCH($G45,MLR!$J:$J,0),MATCH(X$3,MLR!$1:$1,0)))</f>
        <v>2</v>
      </c>
      <c r="Y45" s="173">
        <f>IF($G45="","",INDEX(MLR!$1:$1048576,MATCH($G45,MLR!$J:$J,0),MATCH(Y$3,MLR!$1:$1,0)))</f>
        <v>9</v>
      </c>
      <c r="Z45" s="173">
        <f>IF($G45="","",INDEX(MLR!$1:$1048576,MATCH($G45,MLR!$J:$J,0),MATCH(Z$3,MLR!$1:$1,0)))</f>
        <v>1</v>
      </c>
      <c r="AA45" s="173">
        <f>IF($G45="","",INDEX(MLR!$1:$1048576,MATCH($G45,MLR!$J:$J,0),MATCH(AA$3,MLR!$1:$1,0)))</f>
        <v>0</v>
      </c>
      <c r="AB45" s="173">
        <f>IF($G45="","",INDEX(MLR!$1:$1048576,MATCH($G45,MLR!$J:$J,0),MATCH(AB$3,MLR!$1:$1,0)))</f>
        <v>0</v>
      </c>
      <c r="AC45" s="173">
        <f>IF($G45="","",INDEX(MLR!$1:$1048576,MATCH($G45,MLR!$J:$J,0),MATCH(AC$3,MLR!$1:$1,0)))</f>
        <v>5</v>
      </c>
      <c r="AD45" s="173">
        <f>IF($G45="","",INDEX(MLR!$1:$1048576,MATCH($G45,MLR!$J:$J,0),MATCH(AD$3,MLR!$1:$1,0)))</f>
        <v>1</v>
      </c>
      <c r="AE45" s="173">
        <f>IF($G45="","",INDEX(MLR!$1:$1048576,MATCH($G45,MLR!$J:$J,0),MATCH(AE$3,MLR!$1:$1,0)))</f>
        <v>10</v>
      </c>
      <c r="AF45" s="174" t="str">
        <f>IF(G45="","",IFERROR(IF(MATCH($G45,MLR!$J:$J,0)&gt;0,"Installed","Not Found"),"Not Found"))</f>
        <v>Installed</v>
      </c>
      <c r="AG45" s="165"/>
      <c r="AH45" s="175" t="str">
        <f t="shared" si="38"/>
        <v>Short</v>
      </c>
      <c r="AI45" s="175" t="str">
        <f t="shared" si="39"/>
        <v>Correct</v>
      </c>
      <c r="AJ45" s="175" t="str">
        <f t="shared" si="40"/>
        <v>Short</v>
      </c>
      <c r="AK45" s="175" t="str">
        <f t="shared" si="41"/>
        <v>Correct</v>
      </c>
      <c r="AL45" s="175" t="str">
        <f t="shared" si="42"/>
        <v>Correct</v>
      </c>
      <c r="AM45" s="175" t="str">
        <f t="shared" si="43"/>
        <v>Correct</v>
      </c>
      <c r="AN45" s="175" t="str">
        <f t="shared" si="44"/>
        <v>Correct</v>
      </c>
      <c r="AO45" s="175" t="str">
        <f t="shared" si="45"/>
        <v>Correct</v>
      </c>
      <c r="AP45" s="175" t="str">
        <f t="shared" si="46"/>
        <v>Short</v>
      </c>
      <c r="AQ45" s="165"/>
      <c r="AR45" s="173">
        <f t="shared" si="20"/>
        <v>-246</v>
      </c>
      <c r="AS45" s="173">
        <f t="shared" si="21"/>
        <v>0</v>
      </c>
      <c r="AT45" s="173">
        <f t="shared" si="22"/>
        <v>-9</v>
      </c>
      <c r="AU45" s="173">
        <f t="shared" si="23"/>
        <v>0</v>
      </c>
      <c r="AV45" s="173">
        <f t="shared" si="24"/>
        <v>0</v>
      </c>
      <c r="AW45" s="173">
        <f t="shared" si="25"/>
        <v>0</v>
      </c>
      <c r="AX45" s="173">
        <f t="shared" si="26"/>
        <v>0</v>
      </c>
      <c r="AY45" s="173">
        <f t="shared" si="27"/>
        <v>0</v>
      </c>
      <c r="AZ45" s="173">
        <f t="shared" si="28"/>
        <v>-2</v>
      </c>
      <c r="BA45" s="165"/>
      <c r="BB45" s="174" t="str">
        <f t="shared" si="19"/>
        <v>With Variance</v>
      </c>
    </row>
    <row r="46" spans="1:54" s="36" customFormat="1" ht="13.8" x14ac:dyDescent="0.3">
      <c r="A46" s="128" t="str">
        <f>_xlfn.XLOOKUP(B46,'Cuttof Mapping'!A:A,'Cuttof Mapping'!D:D)</f>
        <v>2023 Dec 2nd</v>
      </c>
      <c r="B46" s="133">
        <v>45301</v>
      </c>
      <c r="C46" s="86" t="s">
        <v>231</v>
      </c>
      <c r="D46" s="79" t="s">
        <v>63</v>
      </c>
      <c r="E46" s="86">
        <v>4500866</v>
      </c>
      <c r="F46" s="86" t="s">
        <v>91</v>
      </c>
      <c r="G46" s="86" t="s">
        <v>232</v>
      </c>
      <c r="H46" s="86">
        <v>10001035</v>
      </c>
      <c r="I46" s="86" t="s">
        <v>90</v>
      </c>
      <c r="J46" s="86">
        <v>1680000704179</v>
      </c>
      <c r="K46" s="86" t="s">
        <v>54</v>
      </c>
      <c r="L46" s="86" t="s">
        <v>233</v>
      </c>
      <c r="M46" s="173">
        <f>IF(G46="","",ABS(SUMIFS('System(MB51)'!$K:$K,'System(MB51)'!$L:$L,'Checking(ZSERIALS)'!$J46,'System(MB51)'!$O:$O,'Checking(ZSERIALS)'!$L46,'System(MB51)'!$A:$A,'Checking(ZSERIALS)'!M$3)))</f>
        <v>0</v>
      </c>
      <c r="N46" s="173">
        <f>IF(H46="","",ABS(SUMIFS('System(MB51)'!$K:$K,'System(MB51)'!$L:$L,'Checking(ZSERIALS)'!$J46,'System(MB51)'!$O:$O,'Checking(ZSERIALS)'!$L46,'System(MB51)'!$A:$A,'Checking(ZSERIALS)'!N$3)))</f>
        <v>2</v>
      </c>
      <c r="O46" s="173">
        <f>IF(I46="","",ABS(SUMIFS('System(MB51)'!$K:$K,'System(MB51)'!$L:$L,'Checking(ZSERIALS)'!$J46,'System(MB51)'!$O:$O,'Checking(ZSERIALS)'!$L46,'System(MB51)'!$A:$A,'Checking(ZSERIALS)'!O$3)))</f>
        <v>0</v>
      </c>
      <c r="P46" s="173">
        <f>IF(J46="","",ABS(SUMIFS('System(MB51)'!$K:$K,'System(MB51)'!$L:$L,'Checking(ZSERIALS)'!$J46,'System(MB51)'!$O:$O,'Checking(ZSERIALS)'!$L46,'System(MB51)'!$A:$A,'Checking(ZSERIALS)'!P$3)))</f>
        <v>1</v>
      </c>
      <c r="Q46" s="173">
        <f>IF(K46="","",ABS(SUMIFS('System(MB51)'!$K:$K,'System(MB51)'!$L:$L,'Checking(ZSERIALS)'!$J46,'System(MB51)'!$O:$O,'Checking(ZSERIALS)'!$L46,'System(MB51)'!$A:$A,'Checking(ZSERIALS)'!Q$3)))</f>
        <v>0</v>
      </c>
      <c r="R46" s="173">
        <f>IF(L46="","",ABS(SUMIFS('System(MB51)'!$K:$K,'System(MB51)'!$L:$L,'Checking(ZSERIALS)'!$J46,'System(MB51)'!$O:$O,'Checking(ZSERIALS)'!$L46,'System(MB51)'!$A:$A,'Checking(ZSERIALS)'!R$3)))</f>
        <v>0</v>
      </c>
      <c r="S46" s="173">
        <f>IF(M46="","",ABS(SUMIFS('System(MB51)'!$K:$K,'System(MB51)'!$L:$L,'Checking(ZSERIALS)'!$J46,'System(MB51)'!$O:$O,'Checking(ZSERIALS)'!$L46,'System(MB51)'!$A:$A,'Checking(ZSERIALS)'!S$3)))</f>
        <v>15</v>
      </c>
      <c r="T46" s="173">
        <f>IF(N46="","",ABS(SUMIFS('System(MB51)'!$K:$K,'System(MB51)'!$L:$L,'Checking(ZSERIALS)'!$J46,'System(MB51)'!$O:$O,'Checking(ZSERIALS)'!$L46,'System(MB51)'!$A:$A,'Checking(ZSERIALS)'!T$3)))</f>
        <v>1</v>
      </c>
      <c r="U46" s="173">
        <f>IF(O46="","",ABS(SUMIFS('System(MB51)'!$K:$K,'System(MB51)'!$L:$L,'Checking(ZSERIALS)'!$J46,'System(MB51)'!$O:$O,'Checking(ZSERIALS)'!$L46,'System(MB51)'!$A:$A,'Checking(ZSERIALS)'!U$3)))</f>
        <v>8</v>
      </c>
      <c r="V46" s="165"/>
      <c r="W46" s="173">
        <f>IF($G46="","",INDEX(MLR!$1:$1048576,MATCH($G46,MLR!$J:$J,0),MATCH(W$3,MLR!$1:$1,0)))</f>
        <v>135</v>
      </c>
      <c r="X46" s="173">
        <f>IF($G46="","",INDEX(MLR!$1:$1048576,MATCH($G46,MLR!$J:$J,0),MATCH(X$3,MLR!$1:$1,0)))</f>
        <v>2</v>
      </c>
      <c r="Y46" s="173">
        <f>IF($G46="","",INDEX(MLR!$1:$1048576,MATCH($G46,MLR!$J:$J,0),MATCH(Y$3,MLR!$1:$1,0)))</f>
        <v>6</v>
      </c>
      <c r="Z46" s="173">
        <f>IF($G46="","",INDEX(MLR!$1:$1048576,MATCH($G46,MLR!$J:$J,0),MATCH(Z$3,MLR!$1:$1,0)))</f>
        <v>1</v>
      </c>
      <c r="AA46" s="173">
        <f>IF($G46="","",INDEX(MLR!$1:$1048576,MATCH($G46,MLR!$J:$J,0),MATCH(AA$3,MLR!$1:$1,0)))</f>
        <v>0</v>
      </c>
      <c r="AB46" s="173">
        <f>IF($G46="","",INDEX(MLR!$1:$1048576,MATCH($G46,MLR!$J:$J,0),MATCH(AB$3,MLR!$1:$1,0)))</f>
        <v>0</v>
      </c>
      <c r="AC46" s="173">
        <f>IF($G46="","",INDEX(MLR!$1:$1048576,MATCH($G46,MLR!$J:$J,0),MATCH(AC$3,MLR!$1:$1,0)))</f>
        <v>15</v>
      </c>
      <c r="AD46" s="173">
        <f>IF($G46="","",INDEX(MLR!$1:$1048576,MATCH($G46,MLR!$J:$J,0),MATCH(AD$3,MLR!$1:$1,0)))</f>
        <v>1</v>
      </c>
      <c r="AE46" s="173">
        <f>IF($G46="","",INDEX(MLR!$1:$1048576,MATCH($G46,MLR!$J:$J,0),MATCH(AE$3,MLR!$1:$1,0)))</f>
        <v>0</v>
      </c>
      <c r="AF46" s="174" t="str">
        <f>IF(G46="","",IFERROR(IF(MATCH($G46,MLR!$J:$J,0)&gt;0,"Installed","Not Found"),"Not Found"))</f>
        <v>Installed</v>
      </c>
      <c r="AG46" s="165"/>
      <c r="AH46" s="175" t="str">
        <f t="shared" si="38"/>
        <v>Short</v>
      </c>
      <c r="AI46" s="175" t="str">
        <f t="shared" si="39"/>
        <v>Correct</v>
      </c>
      <c r="AJ46" s="175" t="str">
        <f t="shared" si="40"/>
        <v>Short</v>
      </c>
      <c r="AK46" s="175" t="str">
        <f t="shared" si="41"/>
        <v>Correct</v>
      </c>
      <c r="AL46" s="175" t="str">
        <f t="shared" si="42"/>
        <v>Correct</v>
      </c>
      <c r="AM46" s="175" t="str">
        <f t="shared" si="43"/>
        <v>Correct</v>
      </c>
      <c r="AN46" s="175" t="str">
        <f t="shared" si="44"/>
        <v>Correct</v>
      </c>
      <c r="AO46" s="175" t="str">
        <f t="shared" si="45"/>
        <v>Correct</v>
      </c>
      <c r="AP46" s="175" t="str">
        <f t="shared" si="46"/>
        <v>Over</v>
      </c>
      <c r="AQ46" s="165"/>
      <c r="AR46" s="173">
        <f t="shared" si="20"/>
        <v>-135</v>
      </c>
      <c r="AS46" s="173">
        <f t="shared" si="21"/>
        <v>0</v>
      </c>
      <c r="AT46" s="173">
        <f t="shared" si="22"/>
        <v>-6</v>
      </c>
      <c r="AU46" s="173">
        <f t="shared" si="23"/>
        <v>0</v>
      </c>
      <c r="AV46" s="173">
        <f t="shared" si="24"/>
        <v>0</v>
      </c>
      <c r="AW46" s="173">
        <f t="shared" si="25"/>
        <v>0</v>
      </c>
      <c r="AX46" s="173">
        <f t="shared" si="26"/>
        <v>0</v>
      </c>
      <c r="AY46" s="173">
        <f t="shared" si="27"/>
        <v>0</v>
      </c>
      <c r="AZ46" s="173">
        <f t="shared" si="28"/>
        <v>8</v>
      </c>
      <c r="BA46" s="165"/>
      <c r="BB46" s="174" t="str">
        <f t="shared" si="19"/>
        <v>With Variance</v>
      </c>
    </row>
    <row r="47" spans="1:54" s="36" customFormat="1" ht="13.8" x14ac:dyDescent="0.3">
      <c r="A47" s="128" t="str">
        <f>_xlfn.XLOOKUP(B47,'Cuttof Mapping'!A:A,'Cuttof Mapping'!D:D)</f>
        <v>2023 Dec 2nd</v>
      </c>
      <c r="B47" s="133">
        <v>45301</v>
      </c>
      <c r="C47" s="86" t="s">
        <v>234</v>
      </c>
      <c r="D47" s="79" t="s">
        <v>63</v>
      </c>
      <c r="E47" s="86">
        <v>4500866</v>
      </c>
      <c r="F47" s="86" t="s">
        <v>91</v>
      </c>
      <c r="G47" s="86" t="s">
        <v>235</v>
      </c>
      <c r="H47" s="86">
        <v>10001035</v>
      </c>
      <c r="I47" s="86" t="s">
        <v>90</v>
      </c>
      <c r="J47" s="86">
        <v>1680000726826</v>
      </c>
      <c r="K47" s="86" t="s">
        <v>54</v>
      </c>
      <c r="L47" s="86" t="s">
        <v>236</v>
      </c>
      <c r="M47" s="173">
        <f>IF(G47="","",ABS(SUMIFS('System(MB51)'!$K:$K,'System(MB51)'!$L:$L,'Checking(ZSERIALS)'!$J47,'System(MB51)'!$O:$O,'Checking(ZSERIALS)'!$L47,'System(MB51)'!$A:$A,'Checking(ZSERIALS)'!M$3)))</f>
        <v>0</v>
      </c>
      <c r="N47" s="173">
        <f>IF(H47="","",ABS(SUMIFS('System(MB51)'!$K:$K,'System(MB51)'!$L:$L,'Checking(ZSERIALS)'!$J47,'System(MB51)'!$O:$O,'Checking(ZSERIALS)'!$L47,'System(MB51)'!$A:$A,'Checking(ZSERIALS)'!N$3)))</f>
        <v>0</v>
      </c>
      <c r="O47" s="173">
        <f>IF(I47="","",ABS(SUMIFS('System(MB51)'!$K:$K,'System(MB51)'!$L:$L,'Checking(ZSERIALS)'!$J47,'System(MB51)'!$O:$O,'Checking(ZSERIALS)'!$L47,'System(MB51)'!$A:$A,'Checking(ZSERIALS)'!O$3)))</f>
        <v>0</v>
      </c>
      <c r="P47" s="173">
        <f>IF(J47="","",ABS(SUMIFS('System(MB51)'!$K:$K,'System(MB51)'!$L:$L,'Checking(ZSERIALS)'!$J47,'System(MB51)'!$O:$O,'Checking(ZSERIALS)'!$L47,'System(MB51)'!$A:$A,'Checking(ZSERIALS)'!P$3)))</f>
        <v>0</v>
      </c>
      <c r="Q47" s="173">
        <f>IF(K47="","",ABS(SUMIFS('System(MB51)'!$K:$K,'System(MB51)'!$L:$L,'Checking(ZSERIALS)'!$J47,'System(MB51)'!$O:$O,'Checking(ZSERIALS)'!$L47,'System(MB51)'!$A:$A,'Checking(ZSERIALS)'!Q$3)))</f>
        <v>0</v>
      </c>
      <c r="R47" s="173">
        <f>IF(L47="","",ABS(SUMIFS('System(MB51)'!$K:$K,'System(MB51)'!$L:$L,'Checking(ZSERIALS)'!$J47,'System(MB51)'!$O:$O,'Checking(ZSERIALS)'!$L47,'System(MB51)'!$A:$A,'Checking(ZSERIALS)'!R$3)))</f>
        <v>0</v>
      </c>
      <c r="S47" s="173">
        <f>IF(M47="","",ABS(SUMIFS('System(MB51)'!$K:$K,'System(MB51)'!$L:$L,'Checking(ZSERIALS)'!$J47,'System(MB51)'!$O:$O,'Checking(ZSERIALS)'!$L47,'System(MB51)'!$A:$A,'Checking(ZSERIALS)'!S$3)))</f>
        <v>0</v>
      </c>
      <c r="T47" s="173">
        <f>IF(N47="","",ABS(SUMIFS('System(MB51)'!$K:$K,'System(MB51)'!$L:$L,'Checking(ZSERIALS)'!$J47,'System(MB51)'!$O:$O,'Checking(ZSERIALS)'!$L47,'System(MB51)'!$A:$A,'Checking(ZSERIALS)'!T$3)))</f>
        <v>1</v>
      </c>
      <c r="U47" s="173">
        <f>IF(O47="","",ABS(SUMIFS('System(MB51)'!$K:$K,'System(MB51)'!$L:$L,'Checking(ZSERIALS)'!$J47,'System(MB51)'!$O:$O,'Checking(ZSERIALS)'!$L47,'System(MB51)'!$A:$A,'Checking(ZSERIALS)'!U$3)))</f>
        <v>0</v>
      </c>
      <c r="V47" s="165"/>
      <c r="W47" s="173">
        <f>IF($G47="","",INDEX(MLR!$1:$1048576,MATCH($G47,MLR!$J:$J,0),MATCH(W$3,MLR!$1:$1,0)))</f>
        <v>409</v>
      </c>
      <c r="X47" s="173">
        <f>IF($G47="","",INDEX(MLR!$1:$1048576,MATCH($G47,MLR!$J:$J,0),MATCH(X$3,MLR!$1:$1,0)))</f>
        <v>2</v>
      </c>
      <c r="Y47" s="173">
        <f>IF($G47="","",INDEX(MLR!$1:$1048576,MATCH($G47,MLR!$J:$J,0),MATCH(Y$3,MLR!$1:$1,0)))</f>
        <v>22</v>
      </c>
      <c r="Z47" s="173">
        <f>IF($G47="","",INDEX(MLR!$1:$1048576,MATCH($G47,MLR!$J:$J,0),MATCH(Z$3,MLR!$1:$1,0)))</f>
        <v>1</v>
      </c>
      <c r="AA47" s="173">
        <f>IF($G47="","",INDEX(MLR!$1:$1048576,MATCH($G47,MLR!$J:$J,0),MATCH(AA$3,MLR!$1:$1,0)))</f>
        <v>0</v>
      </c>
      <c r="AB47" s="173">
        <f>IF($G47="","",INDEX(MLR!$1:$1048576,MATCH($G47,MLR!$J:$J,0),MATCH(AB$3,MLR!$1:$1,0)))</f>
        <v>1</v>
      </c>
      <c r="AC47" s="173">
        <f>IF($G47="","",INDEX(MLR!$1:$1048576,MATCH($G47,MLR!$J:$J,0),MATCH(AC$3,MLR!$1:$1,0)))</f>
        <v>10</v>
      </c>
      <c r="AD47" s="173">
        <f>IF($G47="","",INDEX(MLR!$1:$1048576,MATCH($G47,MLR!$J:$J,0),MATCH(AD$3,MLR!$1:$1,0)))</f>
        <v>1</v>
      </c>
      <c r="AE47" s="173">
        <f>IF($G47="","",INDEX(MLR!$1:$1048576,MATCH($G47,MLR!$J:$J,0),MATCH(AE$3,MLR!$1:$1,0)))</f>
        <v>8</v>
      </c>
      <c r="AF47" s="174" t="str">
        <f>IF(G47="","",IFERROR(IF(MATCH($G47,MLR!$J:$J,0)&gt;0,"Installed","Not Found"),"Not Found"))</f>
        <v>Installed</v>
      </c>
      <c r="AG47" s="165"/>
      <c r="AH47" s="175" t="str">
        <f t="shared" si="38"/>
        <v>Short</v>
      </c>
      <c r="AI47" s="175" t="str">
        <f t="shared" si="39"/>
        <v>Short</v>
      </c>
      <c r="AJ47" s="175" t="str">
        <f t="shared" si="40"/>
        <v>Short</v>
      </c>
      <c r="AK47" s="175" t="str">
        <f t="shared" si="41"/>
        <v>Short</v>
      </c>
      <c r="AL47" s="175" t="str">
        <f t="shared" si="42"/>
        <v>Correct</v>
      </c>
      <c r="AM47" s="175" t="str">
        <f t="shared" si="43"/>
        <v>Short</v>
      </c>
      <c r="AN47" s="175" t="str">
        <f t="shared" si="44"/>
        <v>Short</v>
      </c>
      <c r="AO47" s="175" t="str">
        <f t="shared" si="45"/>
        <v>Correct</v>
      </c>
      <c r="AP47" s="175" t="str">
        <f t="shared" si="46"/>
        <v>Short</v>
      </c>
      <c r="AQ47" s="165"/>
      <c r="AR47" s="173">
        <f t="shared" si="20"/>
        <v>-409</v>
      </c>
      <c r="AS47" s="173">
        <f t="shared" si="21"/>
        <v>-2</v>
      </c>
      <c r="AT47" s="173">
        <f t="shared" si="22"/>
        <v>-22</v>
      </c>
      <c r="AU47" s="173">
        <f t="shared" si="23"/>
        <v>-1</v>
      </c>
      <c r="AV47" s="173">
        <f t="shared" si="24"/>
        <v>0</v>
      </c>
      <c r="AW47" s="173">
        <f t="shared" si="25"/>
        <v>-1</v>
      </c>
      <c r="AX47" s="173">
        <f t="shared" si="26"/>
        <v>-10</v>
      </c>
      <c r="AY47" s="173">
        <f t="shared" si="27"/>
        <v>0</v>
      </c>
      <c r="AZ47" s="173">
        <f t="shared" si="28"/>
        <v>-8</v>
      </c>
      <c r="BA47" s="165"/>
      <c r="BB47" s="174" t="str">
        <f t="shared" si="19"/>
        <v>With Variance</v>
      </c>
    </row>
    <row r="48" spans="1:54" s="36" customFormat="1" ht="13.8" x14ac:dyDescent="0.3">
      <c r="A48" s="128" t="str">
        <f>_xlfn.XLOOKUP(B48,'Cuttof Mapping'!A:A,'Cuttof Mapping'!D:D)</f>
        <v>2024 Jan 1st</v>
      </c>
      <c r="B48" s="133">
        <v>45302</v>
      </c>
      <c r="C48" s="86" t="s">
        <v>237</v>
      </c>
      <c r="D48" s="79" t="s">
        <v>63</v>
      </c>
      <c r="E48" s="86">
        <v>4500866</v>
      </c>
      <c r="F48" s="86" t="s">
        <v>91</v>
      </c>
      <c r="G48" s="86" t="s">
        <v>238</v>
      </c>
      <c r="H48" s="86">
        <v>10001035</v>
      </c>
      <c r="I48" s="86" t="s">
        <v>90</v>
      </c>
      <c r="J48" s="86">
        <v>1680000728563</v>
      </c>
      <c r="K48" s="86" t="s">
        <v>54</v>
      </c>
      <c r="L48" s="86" t="s">
        <v>239</v>
      </c>
      <c r="M48" s="173">
        <f>IF(G48="","",ABS(SUMIFS('System(MB51)'!$K:$K,'System(MB51)'!$L:$L,'Checking(ZSERIALS)'!$J48,'System(MB51)'!$O:$O,'Checking(ZSERIALS)'!$L48,'System(MB51)'!$A:$A,'Checking(ZSERIALS)'!M$3)))</f>
        <v>0</v>
      </c>
      <c r="N48" s="173">
        <f>IF(H48="","",ABS(SUMIFS('System(MB51)'!$K:$K,'System(MB51)'!$L:$L,'Checking(ZSERIALS)'!$J48,'System(MB51)'!$O:$O,'Checking(ZSERIALS)'!$L48,'System(MB51)'!$A:$A,'Checking(ZSERIALS)'!N$3)))</f>
        <v>0</v>
      </c>
      <c r="O48" s="173">
        <f>IF(I48="","",ABS(SUMIFS('System(MB51)'!$K:$K,'System(MB51)'!$L:$L,'Checking(ZSERIALS)'!$J48,'System(MB51)'!$O:$O,'Checking(ZSERIALS)'!$L48,'System(MB51)'!$A:$A,'Checking(ZSERIALS)'!O$3)))</f>
        <v>0</v>
      </c>
      <c r="P48" s="173">
        <f>IF(J48="","",ABS(SUMIFS('System(MB51)'!$K:$K,'System(MB51)'!$L:$L,'Checking(ZSERIALS)'!$J48,'System(MB51)'!$O:$O,'Checking(ZSERIALS)'!$L48,'System(MB51)'!$A:$A,'Checking(ZSERIALS)'!P$3)))</f>
        <v>0</v>
      </c>
      <c r="Q48" s="173">
        <f>IF(K48="","",ABS(SUMIFS('System(MB51)'!$K:$K,'System(MB51)'!$L:$L,'Checking(ZSERIALS)'!$J48,'System(MB51)'!$O:$O,'Checking(ZSERIALS)'!$L48,'System(MB51)'!$A:$A,'Checking(ZSERIALS)'!Q$3)))</f>
        <v>0</v>
      </c>
      <c r="R48" s="173">
        <f>IF(L48="","",ABS(SUMIFS('System(MB51)'!$K:$K,'System(MB51)'!$L:$L,'Checking(ZSERIALS)'!$J48,'System(MB51)'!$O:$O,'Checking(ZSERIALS)'!$L48,'System(MB51)'!$A:$A,'Checking(ZSERIALS)'!R$3)))</f>
        <v>0</v>
      </c>
      <c r="S48" s="173">
        <f>IF(M48="","",ABS(SUMIFS('System(MB51)'!$K:$K,'System(MB51)'!$L:$L,'Checking(ZSERIALS)'!$J48,'System(MB51)'!$O:$O,'Checking(ZSERIALS)'!$L48,'System(MB51)'!$A:$A,'Checking(ZSERIALS)'!S$3)))</f>
        <v>0</v>
      </c>
      <c r="T48" s="173">
        <f>IF(N48="","",ABS(SUMIFS('System(MB51)'!$K:$K,'System(MB51)'!$L:$L,'Checking(ZSERIALS)'!$J48,'System(MB51)'!$O:$O,'Checking(ZSERIALS)'!$L48,'System(MB51)'!$A:$A,'Checking(ZSERIALS)'!T$3)))</f>
        <v>1</v>
      </c>
      <c r="U48" s="173">
        <f>IF(O48="","",ABS(SUMIFS('System(MB51)'!$K:$K,'System(MB51)'!$L:$L,'Checking(ZSERIALS)'!$J48,'System(MB51)'!$O:$O,'Checking(ZSERIALS)'!$L48,'System(MB51)'!$A:$A,'Checking(ZSERIALS)'!U$3)))</f>
        <v>0</v>
      </c>
      <c r="V48" s="165"/>
      <c r="W48" s="173" t="e">
        <f>IF($G48="","",INDEX(MLR!$1:$1048576,MATCH($G48,MLR!$J:$J,0),MATCH(W$3,MLR!$1:$1,0)))</f>
        <v>#N/A</v>
      </c>
      <c r="X48" s="173" t="e">
        <f>IF($G48="","",INDEX(MLR!$1:$1048576,MATCH($G48,MLR!$J:$J,0),MATCH(X$3,MLR!$1:$1,0)))</f>
        <v>#N/A</v>
      </c>
      <c r="Y48" s="173" t="e">
        <f>IF($G48="","",INDEX(MLR!$1:$1048576,MATCH($G48,MLR!$J:$J,0),MATCH(Y$3,MLR!$1:$1,0)))</f>
        <v>#N/A</v>
      </c>
      <c r="Z48" s="173" t="e">
        <f>IF($G48="","",INDEX(MLR!$1:$1048576,MATCH($G48,MLR!$J:$J,0),MATCH(Z$3,MLR!$1:$1,0)))</f>
        <v>#N/A</v>
      </c>
      <c r="AA48" s="173" t="e">
        <f>IF($G48="","",INDEX(MLR!$1:$1048576,MATCH($G48,MLR!$J:$J,0),MATCH(AA$3,MLR!$1:$1,0)))</f>
        <v>#N/A</v>
      </c>
      <c r="AB48" s="173" t="e">
        <f>IF($G48="","",INDEX(MLR!$1:$1048576,MATCH($G48,MLR!$J:$J,0),MATCH(AB$3,MLR!$1:$1,0)))</f>
        <v>#N/A</v>
      </c>
      <c r="AC48" s="173" t="e">
        <f>IF($G48="","",INDEX(MLR!$1:$1048576,MATCH($G48,MLR!$J:$J,0),MATCH(AC$3,MLR!$1:$1,0)))</f>
        <v>#N/A</v>
      </c>
      <c r="AD48" s="173" t="e">
        <f>IF($G48="","",INDEX(MLR!$1:$1048576,MATCH($G48,MLR!$J:$J,0),MATCH(AD$3,MLR!$1:$1,0)))</f>
        <v>#N/A</v>
      </c>
      <c r="AE48" s="173" t="e">
        <f>IF($G48="","",INDEX(MLR!$1:$1048576,MATCH($G48,MLR!$J:$J,0),MATCH(AE$3,MLR!$1:$1,0)))</f>
        <v>#N/A</v>
      </c>
      <c r="AF48" s="174" t="str">
        <f>IF(G48="","",IFERROR(IF(MATCH($G48,MLR!$J:$J,0)&gt;0,"Installed","Not Found"),"Not Found"))</f>
        <v>Not Found</v>
      </c>
      <c r="AG48" s="165"/>
      <c r="AH48" s="175" t="e">
        <f t="shared" si="38"/>
        <v>#N/A</v>
      </c>
      <c r="AI48" s="175" t="e">
        <f t="shared" si="39"/>
        <v>#N/A</v>
      </c>
      <c r="AJ48" s="175" t="e">
        <f t="shared" si="40"/>
        <v>#N/A</v>
      </c>
      <c r="AK48" s="175" t="e">
        <f t="shared" si="41"/>
        <v>#N/A</v>
      </c>
      <c r="AL48" s="175" t="e">
        <f t="shared" si="42"/>
        <v>#N/A</v>
      </c>
      <c r="AM48" s="175" t="e">
        <f t="shared" si="43"/>
        <v>#N/A</v>
      </c>
      <c r="AN48" s="175" t="e">
        <f t="shared" si="44"/>
        <v>#N/A</v>
      </c>
      <c r="AO48" s="175" t="e">
        <f t="shared" si="45"/>
        <v>#N/A</v>
      </c>
      <c r="AP48" s="175" t="e">
        <f t="shared" si="46"/>
        <v>#N/A</v>
      </c>
      <c r="AQ48" s="165"/>
      <c r="AR48" s="173" t="e">
        <f t="shared" si="20"/>
        <v>#N/A</v>
      </c>
      <c r="AS48" s="173" t="e">
        <f t="shared" si="21"/>
        <v>#N/A</v>
      </c>
      <c r="AT48" s="173" t="e">
        <f t="shared" si="22"/>
        <v>#N/A</v>
      </c>
      <c r="AU48" s="173" t="e">
        <f t="shared" si="23"/>
        <v>#N/A</v>
      </c>
      <c r="AV48" s="173" t="e">
        <f t="shared" si="24"/>
        <v>#N/A</v>
      </c>
      <c r="AW48" s="173" t="e">
        <f t="shared" si="25"/>
        <v>#N/A</v>
      </c>
      <c r="AX48" s="173" t="e">
        <f t="shared" si="26"/>
        <v>#N/A</v>
      </c>
      <c r="AY48" s="173" t="e">
        <f t="shared" si="27"/>
        <v>#N/A</v>
      </c>
      <c r="AZ48" s="173" t="e">
        <f t="shared" si="28"/>
        <v>#N/A</v>
      </c>
      <c r="BA48" s="165"/>
      <c r="BB48" s="174" t="str">
        <f t="shared" si="19"/>
        <v>No MLR</v>
      </c>
    </row>
    <row r="49" spans="1:54" s="36" customFormat="1" ht="13.8" x14ac:dyDescent="0.3">
      <c r="A49" s="128" t="str">
        <f>_xlfn.XLOOKUP(B49,'Cuttof Mapping'!A:A,'Cuttof Mapping'!D:D)</f>
        <v>2024 Jan 1st</v>
      </c>
      <c r="B49" s="133">
        <v>45302</v>
      </c>
      <c r="C49" s="86" t="s">
        <v>240</v>
      </c>
      <c r="D49" s="79" t="s">
        <v>63</v>
      </c>
      <c r="E49" s="86">
        <v>4500866</v>
      </c>
      <c r="F49" s="86" t="s">
        <v>91</v>
      </c>
      <c r="G49" s="86" t="s">
        <v>241</v>
      </c>
      <c r="H49" s="86">
        <v>10001035</v>
      </c>
      <c r="I49" s="86" t="s">
        <v>90</v>
      </c>
      <c r="J49" s="86">
        <v>1680000728217</v>
      </c>
      <c r="K49" s="86" t="s">
        <v>54</v>
      </c>
      <c r="L49" s="86" t="s">
        <v>242</v>
      </c>
      <c r="M49" s="173">
        <f>IF(G49="","",ABS(SUMIFS('System(MB51)'!$K:$K,'System(MB51)'!$L:$L,'Checking(ZSERIALS)'!$J49,'System(MB51)'!$O:$O,'Checking(ZSERIALS)'!$L49,'System(MB51)'!$A:$A,'Checking(ZSERIALS)'!M$3)))</f>
        <v>0</v>
      </c>
      <c r="N49" s="173">
        <f>IF(H49="","",ABS(SUMIFS('System(MB51)'!$K:$K,'System(MB51)'!$L:$L,'Checking(ZSERIALS)'!$J49,'System(MB51)'!$O:$O,'Checking(ZSERIALS)'!$L49,'System(MB51)'!$A:$A,'Checking(ZSERIALS)'!N$3)))</f>
        <v>2</v>
      </c>
      <c r="O49" s="173">
        <f>IF(I49="","",ABS(SUMIFS('System(MB51)'!$K:$K,'System(MB51)'!$L:$L,'Checking(ZSERIALS)'!$J49,'System(MB51)'!$O:$O,'Checking(ZSERIALS)'!$L49,'System(MB51)'!$A:$A,'Checking(ZSERIALS)'!O$3)))</f>
        <v>0</v>
      </c>
      <c r="P49" s="173">
        <f>IF(J49="","",ABS(SUMIFS('System(MB51)'!$K:$K,'System(MB51)'!$L:$L,'Checking(ZSERIALS)'!$J49,'System(MB51)'!$O:$O,'Checking(ZSERIALS)'!$L49,'System(MB51)'!$A:$A,'Checking(ZSERIALS)'!P$3)))</f>
        <v>1</v>
      </c>
      <c r="Q49" s="173">
        <f>IF(K49="","",ABS(SUMIFS('System(MB51)'!$K:$K,'System(MB51)'!$L:$L,'Checking(ZSERIALS)'!$J49,'System(MB51)'!$O:$O,'Checking(ZSERIALS)'!$L49,'System(MB51)'!$A:$A,'Checking(ZSERIALS)'!Q$3)))</f>
        <v>0</v>
      </c>
      <c r="R49" s="173">
        <f>IF(L49="","",ABS(SUMIFS('System(MB51)'!$K:$K,'System(MB51)'!$L:$L,'Checking(ZSERIALS)'!$J49,'System(MB51)'!$O:$O,'Checking(ZSERIALS)'!$L49,'System(MB51)'!$A:$A,'Checking(ZSERIALS)'!R$3)))</f>
        <v>0</v>
      </c>
      <c r="S49" s="173">
        <f>IF(M49="","",ABS(SUMIFS('System(MB51)'!$K:$K,'System(MB51)'!$L:$L,'Checking(ZSERIALS)'!$J49,'System(MB51)'!$O:$O,'Checking(ZSERIALS)'!$L49,'System(MB51)'!$A:$A,'Checking(ZSERIALS)'!S$3)))</f>
        <v>10</v>
      </c>
      <c r="T49" s="173">
        <f>IF(N49="","",ABS(SUMIFS('System(MB51)'!$K:$K,'System(MB51)'!$L:$L,'Checking(ZSERIALS)'!$J49,'System(MB51)'!$O:$O,'Checking(ZSERIALS)'!$L49,'System(MB51)'!$A:$A,'Checking(ZSERIALS)'!T$3)))</f>
        <v>1</v>
      </c>
      <c r="U49" s="173">
        <f>IF(O49="","",ABS(SUMIFS('System(MB51)'!$K:$K,'System(MB51)'!$L:$L,'Checking(ZSERIALS)'!$J49,'System(MB51)'!$O:$O,'Checking(ZSERIALS)'!$L49,'System(MB51)'!$A:$A,'Checking(ZSERIALS)'!U$3)))</f>
        <v>10</v>
      </c>
      <c r="V49" s="165"/>
      <c r="W49" s="173" t="e">
        <f>IF($G49="","",INDEX(MLR!$1:$1048576,MATCH($G49,MLR!$J:$J,0),MATCH(W$3,MLR!$1:$1,0)))</f>
        <v>#N/A</v>
      </c>
      <c r="X49" s="173" t="e">
        <f>IF($G49="","",INDEX(MLR!$1:$1048576,MATCH($G49,MLR!$J:$J,0),MATCH(X$3,MLR!$1:$1,0)))</f>
        <v>#N/A</v>
      </c>
      <c r="Y49" s="173" t="e">
        <f>IF($G49="","",INDEX(MLR!$1:$1048576,MATCH($G49,MLR!$J:$J,0),MATCH(Y$3,MLR!$1:$1,0)))</f>
        <v>#N/A</v>
      </c>
      <c r="Z49" s="173" t="e">
        <f>IF($G49="","",INDEX(MLR!$1:$1048576,MATCH($G49,MLR!$J:$J,0),MATCH(Z$3,MLR!$1:$1,0)))</f>
        <v>#N/A</v>
      </c>
      <c r="AA49" s="173" t="e">
        <f>IF($G49="","",INDEX(MLR!$1:$1048576,MATCH($G49,MLR!$J:$J,0),MATCH(AA$3,MLR!$1:$1,0)))</f>
        <v>#N/A</v>
      </c>
      <c r="AB49" s="173" t="e">
        <f>IF($G49="","",INDEX(MLR!$1:$1048576,MATCH($G49,MLR!$J:$J,0),MATCH(AB$3,MLR!$1:$1,0)))</f>
        <v>#N/A</v>
      </c>
      <c r="AC49" s="173" t="e">
        <f>IF($G49="","",INDEX(MLR!$1:$1048576,MATCH($G49,MLR!$J:$J,0),MATCH(AC$3,MLR!$1:$1,0)))</f>
        <v>#N/A</v>
      </c>
      <c r="AD49" s="173" t="e">
        <f>IF($G49="","",INDEX(MLR!$1:$1048576,MATCH($G49,MLR!$J:$J,0),MATCH(AD$3,MLR!$1:$1,0)))</f>
        <v>#N/A</v>
      </c>
      <c r="AE49" s="173" t="e">
        <f>IF($G49="","",INDEX(MLR!$1:$1048576,MATCH($G49,MLR!$J:$J,0),MATCH(AE$3,MLR!$1:$1,0)))</f>
        <v>#N/A</v>
      </c>
      <c r="AF49" s="174" t="str">
        <f>IF(G49="","",IFERROR(IF(MATCH($G49,MLR!$J:$J,0)&gt;0,"Installed","Not Found"),"Not Found"))</f>
        <v>Not Found</v>
      </c>
      <c r="AG49" s="165"/>
      <c r="AH49" s="175" t="e">
        <f t="shared" si="38"/>
        <v>#N/A</v>
      </c>
      <c r="AI49" s="175" t="e">
        <f t="shared" si="39"/>
        <v>#N/A</v>
      </c>
      <c r="AJ49" s="175" t="e">
        <f t="shared" si="40"/>
        <v>#N/A</v>
      </c>
      <c r="AK49" s="175" t="e">
        <f t="shared" si="41"/>
        <v>#N/A</v>
      </c>
      <c r="AL49" s="175" t="e">
        <f t="shared" si="42"/>
        <v>#N/A</v>
      </c>
      <c r="AM49" s="175" t="e">
        <f t="shared" si="43"/>
        <v>#N/A</v>
      </c>
      <c r="AN49" s="175" t="e">
        <f t="shared" si="44"/>
        <v>#N/A</v>
      </c>
      <c r="AO49" s="175" t="e">
        <f t="shared" si="45"/>
        <v>#N/A</v>
      </c>
      <c r="AP49" s="175" t="e">
        <f t="shared" si="46"/>
        <v>#N/A</v>
      </c>
      <c r="AQ49" s="165"/>
      <c r="AR49" s="173" t="e">
        <f t="shared" si="20"/>
        <v>#N/A</v>
      </c>
      <c r="AS49" s="173" t="e">
        <f t="shared" si="21"/>
        <v>#N/A</v>
      </c>
      <c r="AT49" s="173" t="e">
        <f t="shared" si="22"/>
        <v>#N/A</v>
      </c>
      <c r="AU49" s="173" t="e">
        <f t="shared" si="23"/>
        <v>#N/A</v>
      </c>
      <c r="AV49" s="173" t="e">
        <f t="shared" si="24"/>
        <v>#N/A</v>
      </c>
      <c r="AW49" s="173" t="e">
        <f t="shared" si="25"/>
        <v>#N/A</v>
      </c>
      <c r="AX49" s="173" t="e">
        <f t="shared" si="26"/>
        <v>#N/A</v>
      </c>
      <c r="AY49" s="173" t="e">
        <f t="shared" si="27"/>
        <v>#N/A</v>
      </c>
      <c r="AZ49" s="173" t="e">
        <f t="shared" si="28"/>
        <v>#N/A</v>
      </c>
      <c r="BA49" s="165"/>
      <c r="BB49" s="174" t="str">
        <f t="shared" si="19"/>
        <v>No MLR</v>
      </c>
    </row>
    <row r="50" spans="1:54" s="36" customFormat="1" ht="13.8" x14ac:dyDescent="0.3">
      <c r="A50" s="128" t="str">
        <f>_xlfn.XLOOKUP(B50,'Cuttof Mapping'!A:A,'Cuttof Mapping'!D:D)</f>
        <v>2024 Jan 1st</v>
      </c>
      <c r="B50" s="133">
        <v>45302</v>
      </c>
      <c r="C50" s="86" t="s">
        <v>243</v>
      </c>
      <c r="D50" s="79" t="s">
        <v>63</v>
      </c>
      <c r="E50" s="86">
        <v>4500866</v>
      </c>
      <c r="F50" s="86" t="s">
        <v>91</v>
      </c>
      <c r="G50" s="86" t="s">
        <v>244</v>
      </c>
      <c r="H50" s="86">
        <v>10001035</v>
      </c>
      <c r="I50" s="86" t="s">
        <v>90</v>
      </c>
      <c r="J50" s="86">
        <v>1680000725722</v>
      </c>
      <c r="K50" s="86" t="s">
        <v>54</v>
      </c>
      <c r="L50" s="86" t="s">
        <v>245</v>
      </c>
      <c r="M50" s="173">
        <f>IF(G50="","",ABS(SUMIFS('System(MB51)'!$K:$K,'System(MB51)'!$L:$L,'Checking(ZSERIALS)'!$J50,'System(MB51)'!$O:$O,'Checking(ZSERIALS)'!$L50,'System(MB51)'!$A:$A,'Checking(ZSERIALS)'!M$3)))</f>
        <v>38</v>
      </c>
      <c r="N50" s="173">
        <f>IF(H50="","",ABS(SUMIFS('System(MB51)'!$K:$K,'System(MB51)'!$L:$L,'Checking(ZSERIALS)'!$J50,'System(MB51)'!$O:$O,'Checking(ZSERIALS)'!$L50,'System(MB51)'!$A:$A,'Checking(ZSERIALS)'!N$3)))</f>
        <v>2</v>
      </c>
      <c r="O50" s="173">
        <f>IF(I50="","",ABS(SUMIFS('System(MB51)'!$K:$K,'System(MB51)'!$L:$L,'Checking(ZSERIALS)'!$J50,'System(MB51)'!$O:$O,'Checking(ZSERIALS)'!$L50,'System(MB51)'!$A:$A,'Checking(ZSERIALS)'!O$3)))</f>
        <v>4</v>
      </c>
      <c r="P50" s="173">
        <f>IF(J50="","",ABS(SUMIFS('System(MB51)'!$K:$K,'System(MB51)'!$L:$L,'Checking(ZSERIALS)'!$J50,'System(MB51)'!$O:$O,'Checking(ZSERIALS)'!$L50,'System(MB51)'!$A:$A,'Checking(ZSERIALS)'!P$3)))</f>
        <v>1</v>
      </c>
      <c r="Q50" s="173">
        <f>IF(K50="","",ABS(SUMIFS('System(MB51)'!$K:$K,'System(MB51)'!$L:$L,'Checking(ZSERIALS)'!$J50,'System(MB51)'!$O:$O,'Checking(ZSERIALS)'!$L50,'System(MB51)'!$A:$A,'Checking(ZSERIALS)'!Q$3)))</f>
        <v>0</v>
      </c>
      <c r="R50" s="173">
        <f>IF(L50="","",ABS(SUMIFS('System(MB51)'!$K:$K,'System(MB51)'!$L:$L,'Checking(ZSERIALS)'!$J50,'System(MB51)'!$O:$O,'Checking(ZSERIALS)'!$L50,'System(MB51)'!$A:$A,'Checking(ZSERIALS)'!R$3)))</f>
        <v>0</v>
      </c>
      <c r="S50" s="173">
        <f>IF(M50="","",ABS(SUMIFS('System(MB51)'!$K:$K,'System(MB51)'!$L:$L,'Checking(ZSERIALS)'!$J50,'System(MB51)'!$O:$O,'Checking(ZSERIALS)'!$L50,'System(MB51)'!$A:$A,'Checking(ZSERIALS)'!S$3)))</f>
        <v>2</v>
      </c>
      <c r="T50" s="173">
        <f>IF(N50="","",ABS(SUMIFS('System(MB51)'!$K:$K,'System(MB51)'!$L:$L,'Checking(ZSERIALS)'!$J50,'System(MB51)'!$O:$O,'Checking(ZSERIALS)'!$L50,'System(MB51)'!$A:$A,'Checking(ZSERIALS)'!T$3)))</f>
        <v>1</v>
      </c>
      <c r="U50" s="173">
        <f>IF(O50="","",ABS(SUMIFS('System(MB51)'!$K:$K,'System(MB51)'!$L:$L,'Checking(ZSERIALS)'!$J50,'System(MB51)'!$O:$O,'Checking(ZSERIALS)'!$L50,'System(MB51)'!$A:$A,'Checking(ZSERIALS)'!U$3)))</f>
        <v>8</v>
      </c>
      <c r="V50" s="165"/>
      <c r="W50" s="173" t="e">
        <f>IF($G50="","",INDEX(MLR!$1:$1048576,MATCH($G50,MLR!$J:$J,0),MATCH(W$3,MLR!$1:$1,0)))</f>
        <v>#N/A</v>
      </c>
      <c r="X50" s="173" t="e">
        <f>IF($G50="","",INDEX(MLR!$1:$1048576,MATCH($G50,MLR!$J:$J,0),MATCH(X$3,MLR!$1:$1,0)))</f>
        <v>#N/A</v>
      </c>
      <c r="Y50" s="173" t="e">
        <f>IF($G50="","",INDEX(MLR!$1:$1048576,MATCH($G50,MLR!$J:$J,0),MATCH(Y$3,MLR!$1:$1,0)))</f>
        <v>#N/A</v>
      </c>
      <c r="Z50" s="173" t="e">
        <f>IF($G50="","",INDEX(MLR!$1:$1048576,MATCH($G50,MLR!$J:$J,0),MATCH(Z$3,MLR!$1:$1,0)))</f>
        <v>#N/A</v>
      </c>
      <c r="AA50" s="173" t="e">
        <f>IF($G50="","",INDEX(MLR!$1:$1048576,MATCH($G50,MLR!$J:$J,0),MATCH(AA$3,MLR!$1:$1,0)))</f>
        <v>#N/A</v>
      </c>
      <c r="AB50" s="173" t="e">
        <f>IF($G50="","",INDEX(MLR!$1:$1048576,MATCH($G50,MLR!$J:$J,0),MATCH(AB$3,MLR!$1:$1,0)))</f>
        <v>#N/A</v>
      </c>
      <c r="AC50" s="173" t="e">
        <f>IF($G50="","",INDEX(MLR!$1:$1048576,MATCH($G50,MLR!$J:$J,0),MATCH(AC$3,MLR!$1:$1,0)))</f>
        <v>#N/A</v>
      </c>
      <c r="AD50" s="173" t="e">
        <f>IF($G50="","",INDEX(MLR!$1:$1048576,MATCH($G50,MLR!$J:$J,0),MATCH(AD$3,MLR!$1:$1,0)))</f>
        <v>#N/A</v>
      </c>
      <c r="AE50" s="173" t="e">
        <f>IF($G50="","",INDEX(MLR!$1:$1048576,MATCH($G50,MLR!$J:$J,0),MATCH(AE$3,MLR!$1:$1,0)))</f>
        <v>#N/A</v>
      </c>
      <c r="AF50" s="174" t="str">
        <f>IF(G50="","",IFERROR(IF(MATCH($G50,MLR!$J:$J,0)&gt;0,"Installed","Not Found"),"Not Found"))</f>
        <v>Not Found</v>
      </c>
      <c r="AG50" s="165"/>
      <c r="AH50" s="175" t="e">
        <f t="shared" si="38"/>
        <v>#N/A</v>
      </c>
      <c r="AI50" s="175" t="e">
        <f t="shared" si="39"/>
        <v>#N/A</v>
      </c>
      <c r="AJ50" s="175" t="e">
        <f t="shared" si="40"/>
        <v>#N/A</v>
      </c>
      <c r="AK50" s="175" t="e">
        <f t="shared" si="41"/>
        <v>#N/A</v>
      </c>
      <c r="AL50" s="175" t="e">
        <f t="shared" si="42"/>
        <v>#N/A</v>
      </c>
      <c r="AM50" s="175" t="e">
        <f t="shared" si="43"/>
        <v>#N/A</v>
      </c>
      <c r="AN50" s="175" t="e">
        <f t="shared" si="44"/>
        <v>#N/A</v>
      </c>
      <c r="AO50" s="175" t="e">
        <f t="shared" si="45"/>
        <v>#N/A</v>
      </c>
      <c r="AP50" s="175" t="e">
        <f t="shared" si="46"/>
        <v>#N/A</v>
      </c>
      <c r="AQ50" s="165"/>
      <c r="AR50" s="173" t="e">
        <f t="shared" si="20"/>
        <v>#N/A</v>
      </c>
      <c r="AS50" s="173" t="e">
        <f t="shared" si="21"/>
        <v>#N/A</v>
      </c>
      <c r="AT50" s="173" t="e">
        <f t="shared" si="22"/>
        <v>#N/A</v>
      </c>
      <c r="AU50" s="173" t="e">
        <f t="shared" si="23"/>
        <v>#N/A</v>
      </c>
      <c r="AV50" s="173" t="e">
        <f t="shared" si="24"/>
        <v>#N/A</v>
      </c>
      <c r="AW50" s="173" t="e">
        <f t="shared" si="25"/>
        <v>#N/A</v>
      </c>
      <c r="AX50" s="173" t="e">
        <f t="shared" si="26"/>
        <v>#N/A</v>
      </c>
      <c r="AY50" s="173" t="e">
        <f t="shared" si="27"/>
        <v>#N/A</v>
      </c>
      <c r="AZ50" s="173" t="e">
        <f t="shared" si="28"/>
        <v>#N/A</v>
      </c>
      <c r="BA50" s="165"/>
      <c r="BB50" s="174" t="str">
        <f t="shared" si="19"/>
        <v>No MLR</v>
      </c>
    </row>
    <row r="51" spans="1:54" s="36" customFormat="1" ht="13.8" x14ac:dyDescent="0.3">
      <c r="A51" s="128" t="str">
        <f>_xlfn.XLOOKUP(B51,'Cuttof Mapping'!A:A,'Cuttof Mapping'!D:D)</f>
        <v>2024 Jan 1st</v>
      </c>
      <c r="B51" s="133">
        <v>45302</v>
      </c>
      <c r="C51" s="86" t="s">
        <v>246</v>
      </c>
      <c r="D51" s="79" t="s">
        <v>63</v>
      </c>
      <c r="E51" s="86">
        <v>4500866</v>
      </c>
      <c r="F51" s="86" t="s">
        <v>91</v>
      </c>
      <c r="G51" s="86" t="s">
        <v>247</v>
      </c>
      <c r="H51" s="86">
        <v>10001035</v>
      </c>
      <c r="I51" s="86" t="s">
        <v>90</v>
      </c>
      <c r="J51" s="86">
        <v>1680000728514</v>
      </c>
      <c r="K51" s="86" t="s">
        <v>54</v>
      </c>
      <c r="L51" s="86" t="s">
        <v>248</v>
      </c>
      <c r="M51" s="173">
        <f>IF(G51="","",ABS(SUMIFS('System(MB51)'!$K:$K,'System(MB51)'!$L:$L,'Checking(ZSERIALS)'!$J51,'System(MB51)'!$O:$O,'Checking(ZSERIALS)'!$L51,'System(MB51)'!$A:$A,'Checking(ZSERIALS)'!M$3)))</f>
        <v>0</v>
      </c>
      <c r="N51" s="173">
        <f>IF(H51="","",ABS(SUMIFS('System(MB51)'!$K:$K,'System(MB51)'!$L:$L,'Checking(ZSERIALS)'!$J51,'System(MB51)'!$O:$O,'Checking(ZSERIALS)'!$L51,'System(MB51)'!$A:$A,'Checking(ZSERIALS)'!N$3)))</f>
        <v>2</v>
      </c>
      <c r="O51" s="173">
        <f>IF(I51="","",ABS(SUMIFS('System(MB51)'!$K:$K,'System(MB51)'!$L:$L,'Checking(ZSERIALS)'!$J51,'System(MB51)'!$O:$O,'Checking(ZSERIALS)'!$L51,'System(MB51)'!$A:$A,'Checking(ZSERIALS)'!O$3)))</f>
        <v>0</v>
      </c>
      <c r="P51" s="173">
        <f>IF(J51="","",ABS(SUMIFS('System(MB51)'!$K:$K,'System(MB51)'!$L:$L,'Checking(ZSERIALS)'!$J51,'System(MB51)'!$O:$O,'Checking(ZSERIALS)'!$L51,'System(MB51)'!$A:$A,'Checking(ZSERIALS)'!P$3)))</f>
        <v>1</v>
      </c>
      <c r="Q51" s="173">
        <f>IF(K51="","",ABS(SUMIFS('System(MB51)'!$K:$K,'System(MB51)'!$L:$L,'Checking(ZSERIALS)'!$J51,'System(MB51)'!$O:$O,'Checking(ZSERIALS)'!$L51,'System(MB51)'!$A:$A,'Checking(ZSERIALS)'!Q$3)))</f>
        <v>0</v>
      </c>
      <c r="R51" s="173">
        <f>IF(L51="","",ABS(SUMIFS('System(MB51)'!$K:$K,'System(MB51)'!$L:$L,'Checking(ZSERIALS)'!$J51,'System(MB51)'!$O:$O,'Checking(ZSERIALS)'!$L51,'System(MB51)'!$A:$A,'Checking(ZSERIALS)'!R$3)))</f>
        <v>0</v>
      </c>
      <c r="S51" s="173">
        <f>IF(M51="","",ABS(SUMIFS('System(MB51)'!$K:$K,'System(MB51)'!$L:$L,'Checking(ZSERIALS)'!$J51,'System(MB51)'!$O:$O,'Checking(ZSERIALS)'!$L51,'System(MB51)'!$A:$A,'Checking(ZSERIALS)'!S$3)))</f>
        <v>5</v>
      </c>
      <c r="T51" s="173">
        <f>IF(N51="","",ABS(SUMIFS('System(MB51)'!$K:$K,'System(MB51)'!$L:$L,'Checking(ZSERIALS)'!$J51,'System(MB51)'!$O:$O,'Checking(ZSERIALS)'!$L51,'System(MB51)'!$A:$A,'Checking(ZSERIALS)'!T$3)))</f>
        <v>1</v>
      </c>
      <c r="U51" s="173">
        <f>IF(O51="","",ABS(SUMIFS('System(MB51)'!$K:$K,'System(MB51)'!$L:$L,'Checking(ZSERIALS)'!$J51,'System(MB51)'!$O:$O,'Checking(ZSERIALS)'!$L51,'System(MB51)'!$A:$A,'Checking(ZSERIALS)'!U$3)))</f>
        <v>8</v>
      </c>
      <c r="V51" s="165"/>
      <c r="W51" s="173" t="e">
        <f>IF($G51="","",INDEX(MLR!$1:$1048576,MATCH($G51,MLR!$J:$J,0),MATCH(W$3,MLR!$1:$1,0)))</f>
        <v>#N/A</v>
      </c>
      <c r="X51" s="173" t="e">
        <f>IF($G51="","",INDEX(MLR!$1:$1048576,MATCH($G51,MLR!$J:$J,0),MATCH(X$3,MLR!$1:$1,0)))</f>
        <v>#N/A</v>
      </c>
      <c r="Y51" s="173" t="e">
        <f>IF($G51="","",INDEX(MLR!$1:$1048576,MATCH($G51,MLR!$J:$J,0),MATCH(Y$3,MLR!$1:$1,0)))</f>
        <v>#N/A</v>
      </c>
      <c r="Z51" s="173" t="e">
        <f>IF($G51="","",INDEX(MLR!$1:$1048576,MATCH($G51,MLR!$J:$J,0),MATCH(Z$3,MLR!$1:$1,0)))</f>
        <v>#N/A</v>
      </c>
      <c r="AA51" s="173" t="e">
        <f>IF($G51="","",INDEX(MLR!$1:$1048576,MATCH($G51,MLR!$J:$J,0),MATCH(AA$3,MLR!$1:$1,0)))</f>
        <v>#N/A</v>
      </c>
      <c r="AB51" s="173" t="e">
        <f>IF($G51="","",INDEX(MLR!$1:$1048576,MATCH($G51,MLR!$J:$J,0),MATCH(AB$3,MLR!$1:$1,0)))</f>
        <v>#N/A</v>
      </c>
      <c r="AC51" s="173" t="e">
        <f>IF($G51="","",INDEX(MLR!$1:$1048576,MATCH($G51,MLR!$J:$J,0),MATCH(AC$3,MLR!$1:$1,0)))</f>
        <v>#N/A</v>
      </c>
      <c r="AD51" s="173" t="e">
        <f>IF($G51="","",INDEX(MLR!$1:$1048576,MATCH($G51,MLR!$J:$J,0),MATCH(AD$3,MLR!$1:$1,0)))</f>
        <v>#N/A</v>
      </c>
      <c r="AE51" s="173" t="e">
        <f>IF($G51="","",INDEX(MLR!$1:$1048576,MATCH($G51,MLR!$J:$J,0),MATCH(AE$3,MLR!$1:$1,0)))</f>
        <v>#N/A</v>
      </c>
      <c r="AF51" s="174" t="str">
        <f>IF(G51="","",IFERROR(IF(MATCH($G51,MLR!$J:$J,0)&gt;0,"Installed","Not Found"),"Not Found"))</f>
        <v>Not Found</v>
      </c>
      <c r="AG51" s="165"/>
      <c r="AH51" s="175" t="e">
        <f t="shared" si="38"/>
        <v>#N/A</v>
      </c>
      <c r="AI51" s="175" t="e">
        <f t="shared" si="39"/>
        <v>#N/A</v>
      </c>
      <c r="AJ51" s="175" t="e">
        <f t="shared" si="40"/>
        <v>#N/A</v>
      </c>
      <c r="AK51" s="175" t="e">
        <f t="shared" si="41"/>
        <v>#N/A</v>
      </c>
      <c r="AL51" s="175" t="e">
        <f t="shared" si="42"/>
        <v>#N/A</v>
      </c>
      <c r="AM51" s="175" t="e">
        <f t="shared" si="43"/>
        <v>#N/A</v>
      </c>
      <c r="AN51" s="175" t="e">
        <f t="shared" si="44"/>
        <v>#N/A</v>
      </c>
      <c r="AO51" s="175" t="e">
        <f t="shared" si="45"/>
        <v>#N/A</v>
      </c>
      <c r="AP51" s="175" t="e">
        <f t="shared" si="46"/>
        <v>#N/A</v>
      </c>
      <c r="AQ51" s="165"/>
      <c r="AR51" s="173" t="e">
        <f t="shared" si="20"/>
        <v>#N/A</v>
      </c>
      <c r="AS51" s="173" t="e">
        <f t="shared" si="21"/>
        <v>#N/A</v>
      </c>
      <c r="AT51" s="173" t="e">
        <f t="shared" si="22"/>
        <v>#N/A</v>
      </c>
      <c r="AU51" s="173" t="e">
        <f t="shared" si="23"/>
        <v>#N/A</v>
      </c>
      <c r="AV51" s="173" t="e">
        <f t="shared" si="24"/>
        <v>#N/A</v>
      </c>
      <c r="AW51" s="173" t="e">
        <f t="shared" si="25"/>
        <v>#N/A</v>
      </c>
      <c r="AX51" s="173" t="e">
        <f t="shared" si="26"/>
        <v>#N/A</v>
      </c>
      <c r="AY51" s="173" t="e">
        <f t="shared" si="27"/>
        <v>#N/A</v>
      </c>
      <c r="AZ51" s="173" t="e">
        <f t="shared" si="28"/>
        <v>#N/A</v>
      </c>
      <c r="BA51" s="165"/>
      <c r="BB51" s="174" t="str">
        <f t="shared" si="19"/>
        <v>No MLR</v>
      </c>
    </row>
    <row r="52" spans="1:54" s="36" customFormat="1" ht="13.8" x14ac:dyDescent="0.3">
      <c r="A52" s="128" t="str">
        <f>_xlfn.XLOOKUP(B52,'Cuttof Mapping'!A:A,'Cuttof Mapping'!D:D)</f>
        <v>2024 Jan 1st</v>
      </c>
      <c r="B52" s="133">
        <v>45302</v>
      </c>
      <c r="C52" s="86" t="s">
        <v>249</v>
      </c>
      <c r="D52" s="79" t="s">
        <v>63</v>
      </c>
      <c r="E52" s="86">
        <v>4500866</v>
      </c>
      <c r="F52" s="86" t="s">
        <v>91</v>
      </c>
      <c r="G52" s="86" t="s">
        <v>250</v>
      </c>
      <c r="H52" s="86">
        <v>10001035</v>
      </c>
      <c r="I52" s="86" t="s">
        <v>90</v>
      </c>
      <c r="J52" s="86">
        <v>1680000728212</v>
      </c>
      <c r="K52" s="86" t="s">
        <v>54</v>
      </c>
      <c r="L52" s="86" t="s">
        <v>251</v>
      </c>
      <c r="M52" s="173">
        <f>IF(G52="","",ABS(SUMIFS('System(MB51)'!$K:$K,'System(MB51)'!$L:$L,'Checking(ZSERIALS)'!$J52,'System(MB51)'!$O:$O,'Checking(ZSERIALS)'!$L52,'System(MB51)'!$A:$A,'Checking(ZSERIALS)'!M$3)))</f>
        <v>0</v>
      </c>
      <c r="N52" s="173">
        <f>IF(H52="","",ABS(SUMIFS('System(MB51)'!$K:$K,'System(MB51)'!$L:$L,'Checking(ZSERIALS)'!$J52,'System(MB51)'!$O:$O,'Checking(ZSERIALS)'!$L52,'System(MB51)'!$A:$A,'Checking(ZSERIALS)'!N$3)))</f>
        <v>0</v>
      </c>
      <c r="O52" s="173">
        <f>IF(I52="","",ABS(SUMIFS('System(MB51)'!$K:$K,'System(MB51)'!$L:$L,'Checking(ZSERIALS)'!$J52,'System(MB51)'!$O:$O,'Checking(ZSERIALS)'!$L52,'System(MB51)'!$A:$A,'Checking(ZSERIALS)'!O$3)))</f>
        <v>0</v>
      </c>
      <c r="P52" s="173">
        <f>IF(J52="","",ABS(SUMIFS('System(MB51)'!$K:$K,'System(MB51)'!$L:$L,'Checking(ZSERIALS)'!$J52,'System(MB51)'!$O:$O,'Checking(ZSERIALS)'!$L52,'System(MB51)'!$A:$A,'Checking(ZSERIALS)'!P$3)))</f>
        <v>0</v>
      </c>
      <c r="Q52" s="173">
        <f>IF(K52="","",ABS(SUMIFS('System(MB51)'!$K:$K,'System(MB51)'!$L:$L,'Checking(ZSERIALS)'!$J52,'System(MB51)'!$O:$O,'Checking(ZSERIALS)'!$L52,'System(MB51)'!$A:$A,'Checking(ZSERIALS)'!Q$3)))</f>
        <v>0</v>
      </c>
      <c r="R52" s="173">
        <f>IF(L52="","",ABS(SUMIFS('System(MB51)'!$K:$K,'System(MB51)'!$L:$L,'Checking(ZSERIALS)'!$J52,'System(MB51)'!$O:$O,'Checking(ZSERIALS)'!$L52,'System(MB51)'!$A:$A,'Checking(ZSERIALS)'!R$3)))</f>
        <v>0</v>
      </c>
      <c r="S52" s="173">
        <f>IF(M52="","",ABS(SUMIFS('System(MB51)'!$K:$K,'System(MB51)'!$L:$L,'Checking(ZSERIALS)'!$J52,'System(MB51)'!$O:$O,'Checking(ZSERIALS)'!$L52,'System(MB51)'!$A:$A,'Checking(ZSERIALS)'!S$3)))</f>
        <v>0</v>
      </c>
      <c r="T52" s="173">
        <f>IF(N52="","",ABS(SUMIFS('System(MB51)'!$K:$K,'System(MB51)'!$L:$L,'Checking(ZSERIALS)'!$J52,'System(MB51)'!$O:$O,'Checking(ZSERIALS)'!$L52,'System(MB51)'!$A:$A,'Checking(ZSERIALS)'!T$3)))</f>
        <v>1</v>
      </c>
      <c r="U52" s="173">
        <f>IF(O52="","",ABS(SUMIFS('System(MB51)'!$K:$K,'System(MB51)'!$L:$L,'Checking(ZSERIALS)'!$J52,'System(MB51)'!$O:$O,'Checking(ZSERIALS)'!$L52,'System(MB51)'!$A:$A,'Checking(ZSERIALS)'!U$3)))</f>
        <v>0</v>
      </c>
      <c r="V52" s="165"/>
      <c r="W52" s="173" t="e">
        <f>IF($G52="","",INDEX(MLR!$1:$1048576,MATCH($G52,MLR!$J:$J,0),MATCH(W$3,MLR!$1:$1,0)))</f>
        <v>#N/A</v>
      </c>
      <c r="X52" s="173" t="e">
        <f>IF($G52="","",INDEX(MLR!$1:$1048576,MATCH($G52,MLR!$J:$J,0),MATCH(X$3,MLR!$1:$1,0)))</f>
        <v>#N/A</v>
      </c>
      <c r="Y52" s="173" t="e">
        <f>IF($G52="","",INDEX(MLR!$1:$1048576,MATCH($G52,MLR!$J:$J,0),MATCH(Y$3,MLR!$1:$1,0)))</f>
        <v>#N/A</v>
      </c>
      <c r="Z52" s="173" t="e">
        <f>IF($G52="","",INDEX(MLR!$1:$1048576,MATCH($G52,MLR!$J:$J,0),MATCH(Z$3,MLR!$1:$1,0)))</f>
        <v>#N/A</v>
      </c>
      <c r="AA52" s="173" t="e">
        <f>IF($G52="","",INDEX(MLR!$1:$1048576,MATCH($G52,MLR!$J:$J,0),MATCH(AA$3,MLR!$1:$1,0)))</f>
        <v>#N/A</v>
      </c>
      <c r="AB52" s="173" t="e">
        <f>IF($G52="","",INDEX(MLR!$1:$1048576,MATCH($G52,MLR!$J:$J,0),MATCH(AB$3,MLR!$1:$1,0)))</f>
        <v>#N/A</v>
      </c>
      <c r="AC52" s="173" t="e">
        <f>IF($G52="","",INDEX(MLR!$1:$1048576,MATCH($G52,MLR!$J:$J,0),MATCH(AC$3,MLR!$1:$1,0)))</f>
        <v>#N/A</v>
      </c>
      <c r="AD52" s="173" t="e">
        <f>IF($G52="","",INDEX(MLR!$1:$1048576,MATCH($G52,MLR!$J:$J,0),MATCH(AD$3,MLR!$1:$1,0)))</f>
        <v>#N/A</v>
      </c>
      <c r="AE52" s="173" t="e">
        <f>IF($G52="","",INDEX(MLR!$1:$1048576,MATCH($G52,MLR!$J:$J,0),MATCH(AE$3,MLR!$1:$1,0)))</f>
        <v>#N/A</v>
      </c>
      <c r="AF52" s="174" t="str">
        <f>IF(G52="","",IFERROR(IF(MATCH($G52,MLR!$J:$J,0)&gt;0,"Installed","Not Found"),"Not Found"))</f>
        <v>Not Found</v>
      </c>
      <c r="AG52" s="165"/>
      <c r="AH52" s="175" t="e">
        <f t="shared" si="38"/>
        <v>#N/A</v>
      </c>
      <c r="AI52" s="175" t="e">
        <f t="shared" si="39"/>
        <v>#N/A</v>
      </c>
      <c r="AJ52" s="175" t="e">
        <f t="shared" si="40"/>
        <v>#N/A</v>
      </c>
      <c r="AK52" s="175" t="e">
        <f t="shared" si="41"/>
        <v>#N/A</v>
      </c>
      <c r="AL52" s="175" t="e">
        <f t="shared" si="42"/>
        <v>#N/A</v>
      </c>
      <c r="AM52" s="175" t="e">
        <f t="shared" si="43"/>
        <v>#N/A</v>
      </c>
      <c r="AN52" s="175" t="e">
        <f t="shared" si="44"/>
        <v>#N/A</v>
      </c>
      <c r="AO52" s="175" t="e">
        <f t="shared" si="45"/>
        <v>#N/A</v>
      </c>
      <c r="AP52" s="175" t="e">
        <f t="shared" si="46"/>
        <v>#N/A</v>
      </c>
      <c r="AQ52" s="165"/>
      <c r="AR52" s="173" t="e">
        <f t="shared" si="20"/>
        <v>#N/A</v>
      </c>
      <c r="AS52" s="173" t="e">
        <f t="shared" si="21"/>
        <v>#N/A</v>
      </c>
      <c r="AT52" s="173" t="e">
        <f t="shared" si="22"/>
        <v>#N/A</v>
      </c>
      <c r="AU52" s="173" t="e">
        <f t="shared" si="23"/>
        <v>#N/A</v>
      </c>
      <c r="AV52" s="173" t="e">
        <f t="shared" si="24"/>
        <v>#N/A</v>
      </c>
      <c r="AW52" s="173" t="e">
        <f t="shared" si="25"/>
        <v>#N/A</v>
      </c>
      <c r="AX52" s="173" t="e">
        <f t="shared" si="26"/>
        <v>#N/A</v>
      </c>
      <c r="AY52" s="173" t="e">
        <f t="shared" si="27"/>
        <v>#N/A</v>
      </c>
      <c r="AZ52" s="173" t="e">
        <f t="shared" si="28"/>
        <v>#N/A</v>
      </c>
      <c r="BA52" s="165"/>
      <c r="BB52" s="174" t="str">
        <f t="shared" si="19"/>
        <v>No MLR</v>
      </c>
    </row>
    <row r="53" spans="1:54" s="36" customFormat="1" ht="13.8" x14ac:dyDescent="0.3">
      <c r="A53" s="128" t="str">
        <f>_xlfn.XLOOKUP(B53,'Cuttof Mapping'!A:A,'Cuttof Mapping'!D:D)</f>
        <v>2024 Jan 1st</v>
      </c>
      <c r="B53" s="133">
        <v>45302</v>
      </c>
      <c r="C53" s="86" t="s">
        <v>252</v>
      </c>
      <c r="D53" s="79" t="s">
        <v>63</v>
      </c>
      <c r="E53" s="86">
        <v>4500866</v>
      </c>
      <c r="F53" s="86" t="s">
        <v>91</v>
      </c>
      <c r="G53" s="86" t="s">
        <v>253</v>
      </c>
      <c r="H53" s="86">
        <v>10001035</v>
      </c>
      <c r="I53" s="86" t="s">
        <v>90</v>
      </c>
      <c r="J53" s="86">
        <v>1680000730388</v>
      </c>
      <c r="K53" s="86" t="s">
        <v>54</v>
      </c>
      <c r="L53" s="86" t="s">
        <v>254</v>
      </c>
      <c r="M53" s="173">
        <f>IF(G53="","",ABS(SUMIFS('System(MB51)'!$K:$K,'System(MB51)'!$L:$L,'Checking(ZSERIALS)'!$J53,'System(MB51)'!$O:$O,'Checking(ZSERIALS)'!$L53,'System(MB51)'!$A:$A,'Checking(ZSERIALS)'!M$3)))</f>
        <v>0</v>
      </c>
      <c r="N53" s="173">
        <f>IF(H53="","",ABS(SUMIFS('System(MB51)'!$K:$K,'System(MB51)'!$L:$L,'Checking(ZSERIALS)'!$J53,'System(MB51)'!$O:$O,'Checking(ZSERIALS)'!$L53,'System(MB51)'!$A:$A,'Checking(ZSERIALS)'!N$3)))</f>
        <v>0</v>
      </c>
      <c r="O53" s="173">
        <f>IF(I53="","",ABS(SUMIFS('System(MB51)'!$K:$K,'System(MB51)'!$L:$L,'Checking(ZSERIALS)'!$J53,'System(MB51)'!$O:$O,'Checking(ZSERIALS)'!$L53,'System(MB51)'!$A:$A,'Checking(ZSERIALS)'!O$3)))</f>
        <v>0</v>
      </c>
      <c r="P53" s="173">
        <f>IF(J53="","",ABS(SUMIFS('System(MB51)'!$K:$K,'System(MB51)'!$L:$L,'Checking(ZSERIALS)'!$J53,'System(MB51)'!$O:$O,'Checking(ZSERIALS)'!$L53,'System(MB51)'!$A:$A,'Checking(ZSERIALS)'!P$3)))</f>
        <v>0</v>
      </c>
      <c r="Q53" s="173">
        <f>IF(K53="","",ABS(SUMIFS('System(MB51)'!$K:$K,'System(MB51)'!$L:$L,'Checking(ZSERIALS)'!$J53,'System(MB51)'!$O:$O,'Checking(ZSERIALS)'!$L53,'System(MB51)'!$A:$A,'Checking(ZSERIALS)'!Q$3)))</f>
        <v>0</v>
      </c>
      <c r="R53" s="173">
        <f>IF(L53="","",ABS(SUMIFS('System(MB51)'!$K:$K,'System(MB51)'!$L:$L,'Checking(ZSERIALS)'!$J53,'System(MB51)'!$O:$O,'Checking(ZSERIALS)'!$L53,'System(MB51)'!$A:$A,'Checking(ZSERIALS)'!R$3)))</f>
        <v>0</v>
      </c>
      <c r="S53" s="173">
        <f>IF(M53="","",ABS(SUMIFS('System(MB51)'!$K:$K,'System(MB51)'!$L:$L,'Checking(ZSERIALS)'!$J53,'System(MB51)'!$O:$O,'Checking(ZSERIALS)'!$L53,'System(MB51)'!$A:$A,'Checking(ZSERIALS)'!S$3)))</f>
        <v>0</v>
      </c>
      <c r="T53" s="173">
        <f>IF(N53="","",ABS(SUMIFS('System(MB51)'!$K:$K,'System(MB51)'!$L:$L,'Checking(ZSERIALS)'!$J53,'System(MB51)'!$O:$O,'Checking(ZSERIALS)'!$L53,'System(MB51)'!$A:$A,'Checking(ZSERIALS)'!T$3)))</f>
        <v>1</v>
      </c>
      <c r="U53" s="173">
        <f>IF(O53="","",ABS(SUMIFS('System(MB51)'!$K:$K,'System(MB51)'!$L:$L,'Checking(ZSERIALS)'!$J53,'System(MB51)'!$O:$O,'Checking(ZSERIALS)'!$L53,'System(MB51)'!$A:$A,'Checking(ZSERIALS)'!U$3)))</f>
        <v>0</v>
      </c>
      <c r="V53" s="165"/>
      <c r="W53" s="173" t="e">
        <f>IF($G53="","",INDEX(MLR!$1:$1048576,MATCH($G53,MLR!$J:$J,0),MATCH(W$3,MLR!$1:$1,0)))</f>
        <v>#N/A</v>
      </c>
      <c r="X53" s="173" t="e">
        <f>IF($G53="","",INDEX(MLR!$1:$1048576,MATCH($G53,MLR!$J:$J,0),MATCH(X$3,MLR!$1:$1,0)))</f>
        <v>#N/A</v>
      </c>
      <c r="Y53" s="173" t="e">
        <f>IF($G53="","",INDEX(MLR!$1:$1048576,MATCH($G53,MLR!$J:$J,0),MATCH(Y$3,MLR!$1:$1,0)))</f>
        <v>#N/A</v>
      </c>
      <c r="Z53" s="173" t="e">
        <f>IF($G53="","",INDEX(MLR!$1:$1048576,MATCH($G53,MLR!$J:$J,0),MATCH(Z$3,MLR!$1:$1,0)))</f>
        <v>#N/A</v>
      </c>
      <c r="AA53" s="173" t="e">
        <f>IF($G53="","",INDEX(MLR!$1:$1048576,MATCH($G53,MLR!$J:$J,0),MATCH(AA$3,MLR!$1:$1,0)))</f>
        <v>#N/A</v>
      </c>
      <c r="AB53" s="173" t="e">
        <f>IF($G53="","",INDEX(MLR!$1:$1048576,MATCH($G53,MLR!$J:$J,0),MATCH(AB$3,MLR!$1:$1,0)))</f>
        <v>#N/A</v>
      </c>
      <c r="AC53" s="173" t="e">
        <f>IF($G53="","",INDEX(MLR!$1:$1048576,MATCH($G53,MLR!$J:$J,0),MATCH(AC$3,MLR!$1:$1,0)))</f>
        <v>#N/A</v>
      </c>
      <c r="AD53" s="173" t="e">
        <f>IF($G53="","",INDEX(MLR!$1:$1048576,MATCH($G53,MLR!$J:$J,0),MATCH(AD$3,MLR!$1:$1,0)))</f>
        <v>#N/A</v>
      </c>
      <c r="AE53" s="173" t="e">
        <f>IF($G53="","",INDEX(MLR!$1:$1048576,MATCH($G53,MLR!$J:$J,0),MATCH(AE$3,MLR!$1:$1,0)))</f>
        <v>#N/A</v>
      </c>
      <c r="AF53" s="174" t="str">
        <f>IF(G53="","",IFERROR(IF(MATCH($G53,MLR!$J:$J,0)&gt;0,"Installed","Not Found"),"Not Found"))</f>
        <v>Not Found</v>
      </c>
      <c r="AG53" s="165"/>
      <c r="AH53" s="175" t="e">
        <f t="shared" si="38"/>
        <v>#N/A</v>
      </c>
      <c r="AI53" s="175" t="e">
        <f t="shared" si="39"/>
        <v>#N/A</v>
      </c>
      <c r="AJ53" s="175" t="e">
        <f t="shared" si="40"/>
        <v>#N/A</v>
      </c>
      <c r="AK53" s="175" t="e">
        <f t="shared" si="41"/>
        <v>#N/A</v>
      </c>
      <c r="AL53" s="175" t="e">
        <f t="shared" si="42"/>
        <v>#N/A</v>
      </c>
      <c r="AM53" s="175" t="e">
        <f t="shared" si="43"/>
        <v>#N/A</v>
      </c>
      <c r="AN53" s="175" t="e">
        <f t="shared" si="44"/>
        <v>#N/A</v>
      </c>
      <c r="AO53" s="175" t="e">
        <f t="shared" si="45"/>
        <v>#N/A</v>
      </c>
      <c r="AP53" s="175" t="e">
        <f t="shared" si="46"/>
        <v>#N/A</v>
      </c>
      <c r="AQ53" s="165"/>
      <c r="AR53" s="173" t="e">
        <f t="shared" si="20"/>
        <v>#N/A</v>
      </c>
      <c r="AS53" s="173" t="e">
        <f t="shared" si="21"/>
        <v>#N/A</v>
      </c>
      <c r="AT53" s="173" t="e">
        <f t="shared" si="22"/>
        <v>#N/A</v>
      </c>
      <c r="AU53" s="173" t="e">
        <f t="shared" si="23"/>
        <v>#N/A</v>
      </c>
      <c r="AV53" s="173" t="e">
        <f t="shared" si="24"/>
        <v>#N/A</v>
      </c>
      <c r="AW53" s="173" t="e">
        <f t="shared" si="25"/>
        <v>#N/A</v>
      </c>
      <c r="AX53" s="173" t="e">
        <f t="shared" si="26"/>
        <v>#N/A</v>
      </c>
      <c r="AY53" s="173" t="e">
        <f t="shared" si="27"/>
        <v>#N/A</v>
      </c>
      <c r="AZ53" s="173" t="e">
        <f t="shared" si="28"/>
        <v>#N/A</v>
      </c>
      <c r="BA53" s="165"/>
      <c r="BB53" s="174" t="str">
        <f t="shared" si="19"/>
        <v>No MLR</v>
      </c>
    </row>
    <row r="54" spans="1:54" s="36" customFormat="1" ht="13.8" x14ac:dyDescent="0.3">
      <c r="A54" s="128" t="str">
        <f>_xlfn.XLOOKUP(B54,'Cuttof Mapping'!A:A,'Cuttof Mapping'!D:D)</f>
        <v>2024 Jan 1st</v>
      </c>
      <c r="B54" s="133">
        <v>45302</v>
      </c>
      <c r="C54" s="86" t="s">
        <v>255</v>
      </c>
      <c r="D54" s="79" t="s">
        <v>63</v>
      </c>
      <c r="E54" s="86">
        <v>4500866</v>
      </c>
      <c r="F54" s="86" t="s">
        <v>91</v>
      </c>
      <c r="G54" s="86" t="s">
        <v>256</v>
      </c>
      <c r="H54" s="86">
        <v>10001035</v>
      </c>
      <c r="I54" s="86" t="s">
        <v>90</v>
      </c>
      <c r="J54" s="86">
        <v>1680000728388</v>
      </c>
      <c r="K54" s="86" t="s">
        <v>54</v>
      </c>
      <c r="L54" s="86" t="s">
        <v>257</v>
      </c>
      <c r="M54" s="173">
        <f>IF(G54="","",ABS(SUMIFS('System(MB51)'!$K:$K,'System(MB51)'!$L:$L,'Checking(ZSERIALS)'!$J54,'System(MB51)'!$O:$O,'Checking(ZSERIALS)'!$L54,'System(MB51)'!$A:$A,'Checking(ZSERIALS)'!M$3)))</f>
        <v>0</v>
      </c>
      <c r="N54" s="173">
        <f>IF(H54="","",ABS(SUMIFS('System(MB51)'!$K:$K,'System(MB51)'!$L:$L,'Checking(ZSERIALS)'!$J54,'System(MB51)'!$O:$O,'Checking(ZSERIALS)'!$L54,'System(MB51)'!$A:$A,'Checking(ZSERIALS)'!N$3)))</f>
        <v>2</v>
      </c>
      <c r="O54" s="173">
        <f>IF(I54="","",ABS(SUMIFS('System(MB51)'!$K:$K,'System(MB51)'!$L:$L,'Checking(ZSERIALS)'!$J54,'System(MB51)'!$O:$O,'Checking(ZSERIALS)'!$L54,'System(MB51)'!$A:$A,'Checking(ZSERIALS)'!O$3)))</f>
        <v>0</v>
      </c>
      <c r="P54" s="173">
        <f>IF(J54="","",ABS(SUMIFS('System(MB51)'!$K:$K,'System(MB51)'!$L:$L,'Checking(ZSERIALS)'!$J54,'System(MB51)'!$O:$O,'Checking(ZSERIALS)'!$L54,'System(MB51)'!$A:$A,'Checking(ZSERIALS)'!P$3)))</f>
        <v>1</v>
      </c>
      <c r="Q54" s="173">
        <f>IF(K54="","",ABS(SUMIFS('System(MB51)'!$K:$K,'System(MB51)'!$L:$L,'Checking(ZSERIALS)'!$J54,'System(MB51)'!$O:$O,'Checking(ZSERIALS)'!$L54,'System(MB51)'!$A:$A,'Checking(ZSERIALS)'!Q$3)))</f>
        <v>0</v>
      </c>
      <c r="R54" s="173">
        <f>IF(L54="","",ABS(SUMIFS('System(MB51)'!$K:$K,'System(MB51)'!$L:$L,'Checking(ZSERIALS)'!$J54,'System(MB51)'!$O:$O,'Checking(ZSERIALS)'!$L54,'System(MB51)'!$A:$A,'Checking(ZSERIALS)'!R$3)))</f>
        <v>0</v>
      </c>
      <c r="S54" s="173">
        <f>IF(M54="","",ABS(SUMIFS('System(MB51)'!$K:$K,'System(MB51)'!$L:$L,'Checking(ZSERIALS)'!$J54,'System(MB51)'!$O:$O,'Checking(ZSERIALS)'!$L54,'System(MB51)'!$A:$A,'Checking(ZSERIALS)'!S$3)))</f>
        <v>2</v>
      </c>
      <c r="T54" s="173">
        <f>IF(N54="","",ABS(SUMIFS('System(MB51)'!$K:$K,'System(MB51)'!$L:$L,'Checking(ZSERIALS)'!$J54,'System(MB51)'!$O:$O,'Checking(ZSERIALS)'!$L54,'System(MB51)'!$A:$A,'Checking(ZSERIALS)'!T$3)))</f>
        <v>1</v>
      </c>
      <c r="U54" s="173">
        <f>IF(O54="","",ABS(SUMIFS('System(MB51)'!$K:$K,'System(MB51)'!$L:$L,'Checking(ZSERIALS)'!$J54,'System(MB51)'!$O:$O,'Checking(ZSERIALS)'!$L54,'System(MB51)'!$A:$A,'Checking(ZSERIALS)'!U$3)))</f>
        <v>8</v>
      </c>
      <c r="V54" s="165"/>
      <c r="W54" s="173" t="e">
        <f>IF($G54="","",INDEX(MLR!$1:$1048576,MATCH($G54,MLR!$J:$J,0),MATCH(W$3,MLR!$1:$1,0)))</f>
        <v>#N/A</v>
      </c>
      <c r="X54" s="173" t="e">
        <f>IF($G54="","",INDEX(MLR!$1:$1048576,MATCH($G54,MLR!$J:$J,0),MATCH(X$3,MLR!$1:$1,0)))</f>
        <v>#N/A</v>
      </c>
      <c r="Y54" s="173" t="e">
        <f>IF($G54="","",INDEX(MLR!$1:$1048576,MATCH($G54,MLR!$J:$J,0),MATCH(Y$3,MLR!$1:$1,0)))</f>
        <v>#N/A</v>
      </c>
      <c r="Z54" s="173" t="e">
        <f>IF($G54="","",INDEX(MLR!$1:$1048576,MATCH($G54,MLR!$J:$J,0),MATCH(Z$3,MLR!$1:$1,0)))</f>
        <v>#N/A</v>
      </c>
      <c r="AA54" s="173" t="e">
        <f>IF($G54="","",INDEX(MLR!$1:$1048576,MATCH($G54,MLR!$J:$J,0),MATCH(AA$3,MLR!$1:$1,0)))</f>
        <v>#N/A</v>
      </c>
      <c r="AB54" s="173" t="e">
        <f>IF($G54="","",INDEX(MLR!$1:$1048576,MATCH($G54,MLR!$J:$J,0),MATCH(AB$3,MLR!$1:$1,0)))</f>
        <v>#N/A</v>
      </c>
      <c r="AC54" s="173" t="e">
        <f>IF($G54="","",INDEX(MLR!$1:$1048576,MATCH($G54,MLR!$J:$J,0),MATCH(AC$3,MLR!$1:$1,0)))</f>
        <v>#N/A</v>
      </c>
      <c r="AD54" s="173" t="e">
        <f>IF($G54="","",INDEX(MLR!$1:$1048576,MATCH($G54,MLR!$J:$J,0),MATCH(AD$3,MLR!$1:$1,0)))</f>
        <v>#N/A</v>
      </c>
      <c r="AE54" s="173" t="e">
        <f>IF($G54="","",INDEX(MLR!$1:$1048576,MATCH($G54,MLR!$J:$J,0),MATCH(AE$3,MLR!$1:$1,0)))</f>
        <v>#N/A</v>
      </c>
      <c r="AF54" s="174" t="str">
        <f>IF(G54="","",IFERROR(IF(MATCH($G54,MLR!$J:$J,0)&gt;0,"Installed","Not Found"),"Not Found"))</f>
        <v>Not Found</v>
      </c>
      <c r="AG54" s="165"/>
      <c r="AH54" s="175" t="e">
        <f t="shared" si="38"/>
        <v>#N/A</v>
      </c>
      <c r="AI54" s="175" t="e">
        <f t="shared" si="39"/>
        <v>#N/A</v>
      </c>
      <c r="AJ54" s="175" t="e">
        <f t="shared" si="40"/>
        <v>#N/A</v>
      </c>
      <c r="AK54" s="175" t="e">
        <f t="shared" si="41"/>
        <v>#N/A</v>
      </c>
      <c r="AL54" s="175" t="e">
        <f t="shared" si="42"/>
        <v>#N/A</v>
      </c>
      <c r="AM54" s="175" t="e">
        <f t="shared" si="43"/>
        <v>#N/A</v>
      </c>
      <c r="AN54" s="175" t="e">
        <f t="shared" si="44"/>
        <v>#N/A</v>
      </c>
      <c r="AO54" s="175" t="e">
        <f t="shared" si="45"/>
        <v>#N/A</v>
      </c>
      <c r="AP54" s="175" t="e">
        <f t="shared" si="46"/>
        <v>#N/A</v>
      </c>
      <c r="AQ54" s="165"/>
      <c r="AR54" s="173" t="e">
        <f t="shared" ref="AR54:AR98" si="47">M54-W54</f>
        <v>#N/A</v>
      </c>
      <c r="AS54" s="173" t="e">
        <f t="shared" ref="AS54:AS98" si="48">N54-X54</f>
        <v>#N/A</v>
      </c>
      <c r="AT54" s="173" t="e">
        <f t="shared" ref="AT54:AT98" si="49">O54-Y54</f>
        <v>#N/A</v>
      </c>
      <c r="AU54" s="173" t="e">
        <f t="shared" ref="AU54:AU98" si="50">P54-Z54</f>
        <v>#N/A</v>
      </c>
      <c r="AV54" s="173" t="e">
        <f t="shared" ref="AV54:AV98" si="51">Q54-AA54</f>
        <v>#N/A</v>
      </c>
      <c r="AW54" s="173" t="e">
        <f t="shared" ref="AW54:AW98" si="52">R54-AB54</f>
        <v>#N/A</v>
      </c>
      <c r="AX54" s="173" t="e">
        <f t="shared" ref="AX54:AX98" si="53">S54-AC54</f>
        <v>#N/A</v>
      </c>
      <c r="AY54" s="173" t="e">
        <f t="shared" ref="AY54:AY98" si="54">T54-AD54</f>
        <v>#N/A</v>
      </c>
      <c r="AZ54" s="173" t="e">
        <f t="shared" ref="AZ54:AZ98" si="55">U54-AE54</f>
        <v>#N/A</v>
      </c>
      <c r="BA54" s="165"/>
      <c r="BB54" s="174" t="str">
        <f t="shared" si="19"/>
        <v>No MLR</v>
      </c>
    </row>
    <row r="55" spans="1:54" s="36" customFormat="1" ht="13.8" x14ac:dyDescent="0.3">
      <c r="A55" s="128" t="str">
        <f>_xlfn.XLOOKUP(B55,'Cuttof Mapping'!A:A,'Cuttof Mapping'!D:D)</f>
        <v>2024 Jan 1st</v>
      </c>
      <c r="B55" s="133">
        <v>45302</v>
      </c>
      <c r="C55" s="86" t="s">
        <v>258</v>
      </c>
      <c r="D55" s="79" t="s">
        <v>63</v>
      </c>
      <c r="E55" s="86">
        <v>4500866</v>
      </c>
      <c r="F55" s="86" t="s">
        <v>91</v>
      </c>
      <c r="G55" s="86" t="s">
        <v>259</v>
      </c>
      <c r="H55" s="86">
        <v>10001035</v>
      </c>
      <c r="I55" s="86" t="s">
        <v>90</v>
      </c>
      <c r="J55" s="86">
        <v>1680000726647</v>
      </c>
      <c r="K55" s="86" t="s">
        <v>54</v>
      </c>
      <c r="L55" s="86" t="s">
        <v>260</v>
      </c>
      <c r="M55" s="173">
        <f>IF(G55="","",ABS(SUMIFS('System(MB51)'!$K:$K,'System(MB51)'!$L:$L,'Checking(ZSERIALS)'!$J55,'System(MB51)'!$O:$O,'Checking(ZSERIALS)'!$L55,'System(MB51)'!$A:$A,'Checking(ZSERIALS)'!M$3)))</f>
        <v>0</v>
      </c>
      <c r="N55" s="173">
        <f>IF(H55="","",ABS(SUMIFS('System(MB51)'!$K:$K,'System(MB51)'!$L:$L,'Checking(ZSERIALS)'!$J55,'System(MB51)'!$O:$O,'Checking(ZSERIALS)'!$L55,'System(MB51)'!$A:$A,'Checking(ZSERIALS)'!N$3)))</f>
        <v>2</v>
      </c>
      <c r="O55" s="173">
        <f>IF(I55="","",ABS(SUMIFS('System(MB51)'!$K:$K,'System(MB51)'!$L:$L,'Checking(ZSERIALS)'!$J55,'System(MB51)'!$O:$O,'Checking(ZSERIALS)'!$L55,'System(MB51)'!$A:$A,'Checking(ZSERIALS)'!O$3)))</f>
        <v>0</v>
      </c>
      <c r="P55" s="173">
        <f>IF(J55="","",ABS(SUMIFS('System(MB51)'!$K:$K,'System(MB51)'!$L:$L,'Checking(ZSERIALS)'!$J55,'System(MB51)'!$O:$O,'Checking(ZSERIALS)'!$L55,'System(MB51)'!$A:$A,'Checking(ZSERIALS)'!P$3)))</f>
        <v>1</v>
      </c>
      <c r="Q55" s="173">
        <f>IF(K55="","",ABS(SUMIFS('System(MB51)'!$K:$K,'System(MB51)'!$L:$L,'Checking(ZSERIALS)'!$J55,'System(MB51)'!$O:$O,'Checking(ZSERIALS)'!$L55,'System(MB51)'!$A:$A,'Checking(ZSERIALS)'!Q$3)))</f>
        <v>0</v>
      </c>
      <c r="R55" s="173">
        <f>IF(L55="","",ABS(SUMIFS('System(MB51)'!$K:$K,'System(MB51)'!$L:$L,'Checking(ZSERIALS)'!$J55,'System(MB51)'!$O:$O,'Checking(ZSERIALS)'!$L55,'System(MB51)'!$A:$A,'Checking(ZSERIALS)'!R$3)))</f>
        <v>0</v>
      </c>
      <c r="S55" s="173">
        <f>IF(M55="","",ABS(SUMIFS('System(MB51)'!$K:$K,'System(MB51)'!$L:$L,'Checking(ZSERIALS)'!$J55,'System(MB51)'!$O:$O,'Checking(ZSERIALS)'!$L55,'System(MB51)'!$A:$A,'Checking(ZSERIALS)'!S$3)))</f>
        <v>8</v>
      </c>
      <c r="T55" s="173">
        <f>IF(N55="","",ABS(SUMIFS('System(MB51)'!$K:$K,'System(MB51)'!$L:$L,'Checking(ZSERIALS)'!$J55,'System(MB51)'!$O:$O,'Checking(ZSERIALS)'!$L55,'System(MB51)'!$A:$A,'Checking(ZSERIALS)'!T$3)))</f>
        <v>1</v>
      </c>
      <c r="U55" s="173">
        <f>IF(O55="","",ABS(SUMIFS('System(MB51)'!$K:$K,'System(MB51)'!$L:$L,'Checking(ZSERIALS)'!$J55,'System(MB51)'!$O:$O,'Checking(ZSERIALS)'!$L55,'System(MB51)'!$A:$A,'Checking(ZSERIALS)'!U$3)))</f>
        <v>8</v>
      </c>
      <c r="V55" s="165"/>
      <c r="W55" s="173" t="e">
        <f>IF($G55="","",INDEX(MLR!$1:$1048576,MATCH($G55,MLR!$J:$J,0),MATCH(W$3,MLR!$1:$1,0)))</f>
        <v>#N/A</v>
      </c>
      <c r="X55" s="173" t="e">
        <f>IF($G55="","",INDEX(MLR!$1:$1048576,MATCH($G55,MLR!$J:$J,0),MATCH(X$3,MLR!$1:$1,0)))</f>
        <v>#N/A</v>
      </c>
      <c r="Y55" s="173" t="e">
        <f>IF($G55="","",INDEX(MLR!$1:$1048576,MATCH($G55,MLR!$J:$J,0),MATCH(Y$3,MLR!$1:$1,0)))</f>
        <v>#N/A</v>
      </c>
      <c r="Z55" s="173" t="e">
        <f>IF($G55="","",INDEX(MLR!$1:$1048576,MATCH($G55,MLR!$J:$J,0),MATCH(Z$3,MLR!$1:$1,0)))</f>
        <v>#N/A</v>
      </c>
      <c r="AA55" s="173" t="e">
        <f>IF($G55="","",INDEX(MLR!$1:$1048576,MATCH($G55,MLR!$J:$J,0),MATCH(AA$3,MLR!$1:$1,0)))</f>
        <v>#N/A</v>
      </c>
      <c r="AB55" s="173" t="e">
        <f>IF($G55="","",INDEX(MLR!$1:$1048576,MATCH($G55,MLR!$J:$J,0),MATCH(AB$3,MLR!$1:$1,0)))</f>
        <v>#N/A</v>
      </c>
      <c r="AC55" s="173" t="e">
        <f>IF($G55="","",INDEX(MLR!$1:$1048576,MATCH($G55,MLR!$J:$J,0),MATCH(AC$3,MLR!$1:$1,0)))</f>
        <v>#N/A</v>
      </c>
      <c r="AD55" s="173" t="e">
        <f>IF($G55="","",INDEX(MLR!$1:$1048576,MATCH($G55,MLR!$J:$J,0),MATCH(AD$3,MLR!$1:$1,0)))</f>
        <v>#N/A</v>
      </c>
      <c r="AE55" s="173" t="e">
        <f>IF($G55="","",INDEX(MLR!$1:$1048576,MATCH($G55,MLR!$J:$J,0),MATCH(AE$3,MLR!$1:$1,0)))</f>
        <v>#N/A</v>
      </c>
      <c r="AF55" s="174" t="str">
        <f>IF(G55="","",IFERROR(IF(MATCH($G55,MLR!$J:$J,0)&gt;0,"Installed","Not Found"),"Not Found"))</f>
        <v>Not Found</v>
      </c>
      <c r="AG55" s="165"/>
      <c r="AH55" s="175" t="e">
        <f t="shared" si="38"/>
        <v>#N/A</v>
      </c>
      <c r="AI55" s="175" t="e">
        <f t="shared" si="39"/>
        <v>#N/A</v>
      </c>
      <c r="AJ55" s="175" t="e">
        <f t="shared" si="40"/>
        <v>#N/A</v>
      </c>
      <c r="AK55" s="175" t="e">
        <f t="shared" si="41"/>
        <v>#N/A</v>
      </c>
      <c r="AL55" s="175" t="e">
        <f t="shared" si="42"/>
        <v>#N/A</v>
      </c>
      <c r="AM55" s="175" t="e">
        <f t="shared" si="43"/>
        <v>#N/A</v>
      </c>
      <c r="AN55" s="175" t="e">
        <f t="shared" si="44"/>
        <v>#N/A</v>
      </c>
      <c r="AO55" s="175" t="e">
        <f t="shared" si="45"/>
        <v>#N/A</v>
      </c>
      <c r="AP55" s="175" t="e">
        <f t="shared" si="46"/>
        <v>#N/A</v>
      </c>
      <c r="AQ55" s="165"/>
      <c r="AR55" s="173" t="e">
        <f t="shared" si="47"/>
        <v>#N/A</v>
      </c>
      <c r="AS55" s="173" t="e">
        <f t="shared" si="48"/>
        <v>#N/A</v>
      </c>
      <c r="AT55" s="173" t="e">
        <f t="shared" si="49"/>
        <v>#N/A</v>
      </c>
      <c r="AU55" s="173" t="e">
        <f t="shared" si="50"/>
        <v>#N/A</v>
      </c>
      <c r="AV55" s="173" t="e">
        <f t="shared" si="51"/>
        <v>#N/A</v>
      </c>
      <c r="AW55" s="173" t="e">
        <f t="shared" si="52"/>
        <v>#N/A</v>
      </c>
      <c r="AX55" s="173" t="e">
        <f t="shared" si="53"/>
        <v>#N/A</v>
      </c>
      <c r="AY55" s="173" t="e">
        <f t="shared" si="54"/>
        <v>#N/A</v>
      </c>
      <c r="AZ55" s="173" t="e">
        <f t="shared" si="55"/>
        <v>#N/A</v>
      </c>
      <c r="BA55" s="165"/>
      <c r="BB55" s="174" t="str">
        <f t="shared" si="19"/>
        <v>No MLR</v>
      </c>
    </row>
    <row r="56" spans="1:54" s="36" customFormat="1" ht="13.8" x14ac:dyDescent="0.3">
      <c r="A56" s="128" t="str">
        <f>_xlfn.XLOOKUP(B56,'Cuttof Mapping'!A:A,'Cuttof Mapping'!D:D)</f>
        <v>2024 Jan 1st</v>
      </c>
      <c r="B56" s="133">
        <v>45302</v>
      </c>
      <c r="C56" s="86" t="s">
        <v>261</v>
      </c>
      <c r="D56" s="79" t="s">
        <v>63</v>
      </c>
      <c r="E56" s="86">
        <v>4500866</v>
      </c>
      <c r="F56" s="86" t="s">
        <v>91</v>
      </c>
      <c r="G56" s="86" t="s">
        <v>262</v>
      </c>
      <c r="H56" s="86">
        <v>10001035</v>
      </c>
      <c r="I56" s="86" t="s">
        <v>90</v>
      </c>
      <c r="J56" s="86">
        <v>1680000729267</v>
      </c>
      <c r="K56" s="86" t="s">
        <v>54</v>
      </c>
      <c r="L56" s="86" t="s">
        <v>263</v>
      </c>
      <c r="M56" s="173">
        <f>IF(G56="","",ABS(SUMIFS('System(MB51)'!$K:$K,'System(MB51)'!$L:$L,'Checking(ZSERIALS)'!$J56,'System(MB51)'!$O:$O,'Checking(ZSERIALS)'!$L56,'System(MB51)'!$A:$A,'Checking(ZSERIALS)'!M$3)))</f>
        <v>0</v>
      </c>
      <c r="N56" s="173">
        <f>IF(H56="","",ABS(SUMIFS('System(MB51)'!$K:$K,'System(MB51)'!$L:$L,'Checking(ZSERIALS)'!$J56,'System(MB51)'!$O:$O,'Checking(ZSERIALS)'!$L56,'System(MB51)'!$A:$A,'Checking(ZSERIALS)'!N$3)))</f>
        <v>0</v>
      </c>
      <c r="O56" s="173">
        <f>IF(I56="","",ABS(SUMIFS('System(MB51)'!$K:$K,'System(MB51)'!$L:$L,'Checking(ZSERIALS)'!$J56,'System(MB51)'!$O:$O,'Checking(ZSERIALS)'!$L56,'System(MB51)'!$A:$A,'Checking(ZSERIALS)'!O$3)))</f>
        <v>0</v>
      </c>
      <c r="P56" s="173">
        <f>IF(J56="","",ABS(SUMIFS('System(MB51)'!$K:$K,'System(MB51)'!$L:$L,'Checking(ZSERIALS)'!$J56,'System(MB51)'!$O:$O,'Checking(ZSERIALS)'!$L56,'System(MB51)'!$A:$A,'Checking(ZSERIALS)'!P$3)))</f>
        <v>0</v>
      </c>
      <c r="Q56" s="173">
        <f>IF(K56="","",ABS(SUMIFS('System(MB51)'!$K:$K,'System(MB51)'!$L:$L,'Checking(ZSERIALS)'!$J56,'System(MB51)'!$O:$O,'Checking(ZSERIALS)'!$L56,'System(MB51)'!$A:$A,'Checking(ZSERIALS)'!Q$3)))</f>
        <v>0</v>
      </c>
      <c r="R56" s="173">
        <f>IF(L56="","",ABS(SUMIFS('System(MB51)'!$K:$K,'System(MB51)'!$L:$L,'Checking(ZSERIALS)'!$J56,'System(MB51)'!$O:$O,'Checking(ZSERIALS)'!$L56,'System(MB51)'!$A:$A,'Checking(ZSERIALS)'!R$3)))</f>
        <v>0</v>
      </c>
      <c r="S56" s="173">
        <f>IF(M56="","",ABS(SUMIFS('System(MB51)'!$K:$K,'System(MB51)'!$L:$L,'Checking(ZSERIALS)'!$J56,'System(MB51)'!$O:$O,'Checking(ZSERIALS)'!$L56,'System(MB51)'!$A:$A,'Checking(ZSERIALS)'!S$3)))</f>
        <v>0</v>
      </c>
      <c r="T56" s="173">
        <f>IF(N56="","",ABS(SUMIFS('System(MB51)'!$K:$K,'System(MB51)'!$L:$L,'Checking(ZSERIALS)'!$J56,'System(MB51)'!$O:$O,'Checking(ZSERIALS)'!$L56,'System(MB51)'!$A:$A,'Checking(ZSERIALS)'!T$3)))</f>
        <v>1</v>
      </c>
      <c r="U56" s="173">
        <f>IF(O56="","",ABS(SUMIFS('System(MB51)'!$K:$K,'System(MB51)'!$L:$L,'Checking(ZSERIALS)'!$J56,'System(MB51)'!$O:$O,'Checking(ZSERIALS)'!$L56,'System(MB51)'!$A:$A,'Checking(ZSERIALS)'!U$3)))</f>
        <v>0</v>
      </c>
      <c r="V56" s="165"/>
      <c r="W56" s="173" t="e">
        <f>IF($G56="","",INDEX(MLR!$1:$1048576,MATCH($G56,MLR!$J:$J,0),MATCH(W$3,MLR!$1:$1,0)))</f>
        <v>#N/A</v>
      </c>
      <c r="X56" s="173" t="e">
        <f>IF($G56="","",INDEX(MLR!$1:$1048576,MATCH($G56,MLR!$J:$J,0),MATCH(X$3,MLR!$1:$1,0)))</f>
        <v>#N/A</v>
      </c>
      <c r="Y56" s="173" t="e">
        <f>IF($G56="","",INDEX(MLR!$1:$1048576,MATCH($G56,MLR!$J:$J,0),MATCH(Y$3,MLR!$1:$1,0)))</f>
        <v>#N/A</v>
      </c>
      <c r="Z56" s="173" t="e">
        <f>IF($G56="","",INDEX(MLR!$1:$1048576,MATCH($G56,MLR!$J:$J,0),MATCH(Z$3,MLR!$1:$1,0)))</f>
        <v>#N/A</v>
      </c>
      <c r="AA56" s="173" t="e">
        <f>IF($G56="","",INDEX(MLR!$1:$1048576,MATCH($G56,MLR!$J:$J,0),MATCH(AA$3,MLR!$1:$1,0)))</f>
        <v>#N/A</v>
      </c>
      <c r="AB56" s="173" t="e">
        <f>IF($G56="","",INDEX(MLR!$1:$1048576,MATCH($G56,MLR!$J:$J,0),MATCH(AB$3,MLR!$1:$1,0)))</f>
        <v>#N/A</v>
      </c>
      <c r="AC56" s="173" t="e">
        <f>IF($G56="","",INDEX(MLR!$1:$1048576,MATCH($G56,MLR!$J:$J,0),MATCH(AC$3,MLR!$1:$1,0)))</f>
        <v>#N/A</v>
      </c>
      <c r="AD56" s="173" t="e">
        <f>IF($G56="","",INDEX(MLR!$1:$1048576,MATCH($G56,MLR!$J:$J,0),MATCH(AD$3,MLR!$1:$1,0)))</f>
        <v>#N/A</v>
      </c>
      <c r="AE56" s="173" t="e">
        <f>IF($G56="","",INDEX(MLR!$1:$1048576,MATCH($G56,MLR!$J:$J,0),MATCH(AE$3,MLR!$1:$1,0)))</f>
        <v>#N/A</v>
      </c>
      <c r="AF56" s="174" t="str">
        <f>IF(G56="","",IFERROR(IF(MATCH($G56,MLR!$J:$J,0)&gt;0,"Installed","Not Found"),"Not Found"))</f>
        <v>Not Found</v>
      </c>
      <c r="AG56" s="165"/>
      <c r="AH56" s="175" t="e">
        <f t="shared" si="38"/>
        <v>#N/A</v>
      </c>
      <c r="AI56" s="175" t="e">
        <f t="shared" si="39"/>
        <v>#N/A</v>
      </c>
      <c r="AJ56" s="175" t="e">
        <f t="shared" si="40"/>
        <v>#N/A</v>
      </c>
      <c r="AK56" s="175" t="e">
        <f t="shared" si="41"/>
        <v>#N/A</v>
      </c>
      <c r="AL56" s="175" t="e">
        <f t="shared" si="42"/>
        <v>#N/A</v>
      </c>
      <c r="AM56" s="175" t="e">
        <f t="shared" si="43"/>
        <v>#N/A</v>
      </c>
      <c r="AN56" s="175" t="e">
        <f t="shared" si="44"/>
        <v>#N/A</v>
      </c>
      <c r="AO56" s="175" t="e">
        <f t="shared" si="45"/>
        <v>#N/A</v>
      </c>
      <c r="AP56" s="175" t="e">
        <f t="shared" si="46"/>
        <v>#N/A</v>
      </c>
      <c r="AQ56" s="165"/>
      <c r="AR56" s="173" t="e">
        <f t="shared" si="47"/>
        <v>#N/A</v>
      </c>
      <c r="AS56" s="173" t="e">
        <f t="shared" si="48"/>
        <v>#N/A</v>
      </c>
      <c r="AT56" s="173" t="e">
        <f t="shared" si="49"/>
        <v>#N/A</v>
      </c>
      <c r="AU56" s="173" t="e">
        <f t="shared" si="50"/>
        <v>#N/A</v>
      </c>
      <c r="AV56" s="173" t="e">
        <f t="shared" si="51"/>
        <v>#N/A</v>
      </c>
      <c r="AW56" s="173" t="e">
        <f t="shared" si="52"/>
        <v>#N/A</v>
      </c>
      <c r="AX56" s="173" t="e">
        <f t="shared" si="53"/>
        <v>#N/A</v>
      </c>
      <c r="AY56" s="173" t="e">
        <f t="shared" si="54"/>
        <v>#N/A</v>
      </c>
      <c r="AZ56" s="173" t="e">
        <f t="shared" si="55"/>
        <v>#N/A</v>
      </c>
      <c r="BA56" s="165"/>
      <c r="BB56" s="174" t="str">
        <f t="shared" si="19"/>
        <v>No MLR</v>
      </c>
    </row>
    <row r="57" spans="1:54" s="36" customFormat="1" ht="13.8" x14ac:dyDescent="0.3">
      <c r="A57" s="128" t="str">
        <f>_xlfn.XLOOKUP(B57,'Cuttof Mapping'!A:A,'Cuttof Mapping'!D:D)</f>
        <v>2024 Jan 1st</v>
      </c>
      <c r="B57" s="133">
        <v>45302</v>
      </c>
      <c r="C57" s="86" t="s">
        <v>264</v>
      </c>
      <c r="D57" s="79" t="s">
        <v>63</v>
      </c>
      <c r="E57" s="86">
        <v>4500866</v>
      </c>
      <c r="F57" s="86" t="s">
        <v>91</v>
      </c>
      <c r="G57" s="86" t="s">
        <v>265</v>
      </c>
      <c r="H57" s="86">
        <v>10001035</v>
      </c>
      <c r="I57" s="86" t="s">
        <v>90</v>
      </c>
      <c r="J57" s="86">
        <v>1680000720805</v>
      </c>
      <c r="K57" s="86" t="s">
        <v>54</v>
      </c>
      <c r="L57" s="86" t="s">
        <v>266</v>
      </c>
      <c r="M57" s="173">
        <f>IF(G57="","",ABS(SUMIFS('System(MB51)'!$K:$K,'System(MB51)'!$L:$L,'Checking(ZSERIALS)'!$J57,'System(MB51)'!$O:$O,'Checking(ZSERIALS)'!$L57,'System(MB51)'!$A:$A,'Checking(ZSERIALS)'!M$3)))</f>
        <v>0</v>
      </c>
      <c r="N57" s="173">
        <f>IF(H57="","",ABS(SUMIFS('System(MB51)'!$K:$K,'System(MB51)'!$L:$L,'Checking(ZSERIALS)'!$J57,'System(MB51)'!$O:$O,'Checking(ZSERIALS)'!$L57,'System(MB51)'!$A:$A,'Checking(ZSERIALS)'!N$3)))</f>
        <v>2</v>
      </c>
      <c r="O57" s="173">
        <f>IF(I57="","",ABS(SUMIFS('System(MB51)'!$K:$K,'System(MB51)'!$L:$L,'Checking(ZSERIALS)'!$J57,'System(MB51)'!$O:$O,'Checking(ZSERIALS)'!$L57,'System(MB51)'!$A:$A,'Checking(ZSERIALS)'!O$3)))</f>
        <v>0</v>
      </c>
      <c r="P57" s="173">
        <f>IF(J57="","",ABS(SUMIFS('System(MB51)'!$K:$K,'System(MB51)'!$L:$L,'Checking(ZSERIALS)'!$J57,'System(MB51)'!$O:$O,'Checking(ZSERIALS)'!$L57,'System(MB51)'!$A:$A,'Checking(ZSERIALS)'!P$3)))</f>
        <v>1</v>
      </c>
      <c r="Q57" s="173">
        <f>IF(K57="","",ABS(SUMIFS('System(MB51)'!$K:$K,'System(MB51)'!$L:$L,'Checking(ZSERIALS)'!$J57,'System(MB51)'!$O:$O,'Checking(ZSERIALS)'!$L57,'System(MB51)'!$A:$A,'Checking(ZSERIALS)'!Q$3)))</f>
        <v>0</v>
      </c>
      <c r="R57" s="173">
        <f>IF(L57="","",ABS(SUMIFS('System(MB51)'!$K:$K,'System(MB51)'!$L:$L,'Checking(ZSERIALS)'!$J57,'System(MB51)'!$O:$O,'Checking(ZSERIALS)'!$L57,'System(MB51)'!$A:$A,'Checking(ZSERIALS)'!R$3)))</f>
        <v>0</v>
      </c>
      <c r="S57" s="173">
        <f>IF(M57="","",ABS(SUMIFS('System(MB51)'!$K:$K,'System(MB51)'!$L:$L,'Checking(ZSERIALS)'!$J57,'System(MB51)'!$O:$O,'Checking(ZSERIALS)'!$L57,'System(MB51)'!$A:$A,'Checking(ZSERIALS)'!S$3)))</f>
        <v>5</v>
      </c>
      <c r="T57" s="173">
        <f>IF(N57="","",ABS(SUMIFS('System(MB51)'!$K:$K,'System(MB51)'!$L:$L,'Checking(ZSERIALS)'!$J57,'System(MB51)'!$O:$O,'Checking(ZSERIALS)'!$L57,'System(MB51)'!$A:$A,'Checking(ZSERIALS)'!T$3)))</f>
        <v>1</v>
      </c>
      <c r="U57" s="173">
        <f>IF(O57="","",ABS(SUMIFS('System(MB51)'!$K:$K,'System(MB51)'!$L:$L,'Checking(ZSERIALS)'!$J57,'System(MB51)'!$O:$O,'Checking(ZSERIALS)'!$L57,'System(MB51)'!$A:$A,'Checking(ZSERIALS)'!U$3)))</f>
        <v>8</v>
      </c>
      <c r="V57" s="165"/>
      <c r="W57" s="173" t="e">
        <f>IF($G57="","",INDEX(MLR!$1:$1048576,MATCH($G57,MLR!$J:$J,0),MATCH(W$3,MLR!$1:$1,0)))</f>
        <v>#N/A</v>
      </c>
      <c r="X57" s="173" t="e">
        <f>IF($G57="","",INDEX(MLR!$1:$1048576,MATCH($G57,MLR!$J:$J,0),MATCH(X$3,MLR!$1:$1,0)))</f>
        <v>#N/A</v>
      </c>
      <c r="Y57" s="173" t="e">
        <f>IF($G57="","",INDEX(MLR!$1:$1048576,MATCH($G57,MLR!$J:$J,0),MATCH(Y$3,MLR!$1:$1,0)))</f>
        <v>#N/A</v>
      </c>
      <c r="Z57" s="173" t="e">
        <f>IF($G57="","",INDEX(MLR!$1:$1048576,MATCH($G57,MLR!$J:$J,0),MATCH(Z$3,MLR!$1:$1,0)))</f>
        <v>#N/A</v>
      </c>
      <c r="AA57" s="173" t="e">
        <f>IF($G57="","",INDEX(MLR!$1:$1048576,MATCH($G57,MLR!$J:$J,0),MATCH(AA$3,MLR!$1:$1,0)))</f>
        <v>#N/A</v>
      </c>
      <c r="AB57" s="173" t="e">
        <f>IF($G57="","",INDEX(MLR!$1:$1048576,MATCH($G57,MLR!$J:$J,0),MATCH(AB$3,MLR!$1:$1,0)))</f>
        <v>#N/A</v>
      </c>
      <c r="AC57" s="173" t="e">
        <f>IF($G57="","",INDEX(MLR!$1:$1048576,MATCH($G57,MLR!$J:$J,0),MATCH(AC$3,MLR!$1:$1,0)))</f>
        <v>#N/A</v>
      </c>
      <c r="AD57" s="173" t="e">
        <f>IF($G57="","",INDEX(MLR!$1:$1048576,MATCH($G57,MLR!$J:$J,0),MATCH(AD$3,MLR!$1:$1,0)))</f>
        <v>#N/A</v>
      </c>
      <c r="AE57" s="173" t="e">
        <f>IF($G57="","",INDEX(MLR!$1:$1048576,MATCH($G57,MLR!$J:$J,0),MATCH(AE$3,MLR!$1:$1,0)))</f>
        <v>#N/A</v>
      </c>
      <c r="AF57" s="174" t="str">
        <f>IF(G57="","",IFERROR(IF(MATCH($G57,MLR!$J:$J,0)&gt;0,"Installed","Not Found"),"Not Found"))</f>
        <v>Not Found</v>
      </c>
      <c r="AG57" s="165"/>
      <c r="AH57" s="175" t="e">
        <f t="shared" si="38"/>
        <v>#N/A</v>
      </c>
      <c r="AI57" s="175" t="e">
        <f t="shared" si="39"/>
        <v>#N/A</v>
      </c>
      <c r="AJ57" s="175" t="e">
        <f t="shared" si="40"/>
        <v>#N/A</v>
      </c>
      <c r="AK57" s="175" t="e">
        <f t="shared" si="41"/>
        <v>#N/A</v>
      </c>
      <c r="AL57" s="175" t="e">
        <f t="shared" si="42"/>
        <v>#N/A</v>
      </c>
      <c r="AM57" s="175" t="e">
        <f t="shared" si="43"/>
        <v>#N/A</v>
      </c>
      <c r="AN57" s="175" t="e">
        <f t="shared" si="44"/>
        <v>#N/A</v>
      </c>
      <c r="AO57" s="175" t="e">
        <f t="shared" si="45"/>
        <v>#N/A</v>
      </c>
      <c r="AP57" s="175" t="e">
        <f t="shared" si="46"/>
        <v>#N/A</v>
      </c>
      <c r="AQ57" s="165"/>
      <c r="AR57" s="173" t="e">
        <f t="shared" si="47"/>
        <v>#N/A</v>
      </c>
      <c r="AS57" s="173" t="e">
        <f t="shared" si="48"/>
        <v>#N/A</v>
      </c>
      <c r="AT57" s="173" t="e">
        <f t="shared" si="49"/>
        <v>#N/A</v>
      </c>
      <c r="AU57" s="173" t="e">
        <f t="shared" si="50"/>
        <v>#N/A</v>
      </c>
      <c r="AV57" s="173" t="e">
        <f t="shared" si="51"/>
        <v>#N/A</v>
      </c>
      <c r="AW57" s="173" t="e">
        <f t="shared" si="52"/>
        <v>#N/A</v>
      </c>
      <c r="AX57" s="173" t="e">
        <f t="shared" si="53"/>
        <v>#N/A</v>
      </c>
      <c r="AY57" s="173" t="e">
        <f t="shared" si="54"/>
        <v>#N/A</v>
      </c>
      <c r="AZ57" s="173" t="e">
        <f t="shared" si="55"/>
        <v>#N/A</v>
      </c>
      <c r="BA57" s="165"/>
      <c r="BB57" s="174" t="str">
        <f t="shared" si="19"/>
        <v>No MLR</v>
      </c>
    </row>
    <row r="58" spans="1:54" s="36" customFormat="1" ht="13.8" x14ac:dyDescent="0.3">
      <c r="A58" s="128" t="str">
        <f>_xlfn.XLOOKUP(B58,'Cuttof Mapping'!A:A,'Cuttof Mapping'!D:D)</f>
        <v>2024 Jan 1st</v>
      </c>
      <c r="B58" s="133">
        <v>45302</v>
      </c>
      <c r="C58" s="86" t="s">
        <v>267</v>
      </c>
      <c r="D58" s="79" t="s">
        <v>63</v>
      </c>
      <c r="E58" s="86">
        <v>4500866</v>
      </c>
      <c r="F58" s="86" t="s">
        <v>91</v>
      </c>
      <c r="G58" s="86" t="s">
        <v>268</v>
      </c>
      <c r="H58" s="86">
        <v>10001035</v>
      </c>
      <c r="I58" s="86" t="s">
        <v>90</v>
      </c>
      <c r="J58" s="86">
        <v>1680000729213</v>
      </c>
      <c r="K58" s="86" t="s">
        <v>54</v>
      </c>
      <c r="L58" s="86" t="s">
        <v>269</v>
      </c>
      <c r="M58" s="173">
        <f>IF(G58="","",ABS(SUMIFS('System(MB51)'!$K:$K,'System(MB51)'!$L:$L,'Checking(ZSERIALS)'!$J58,'System(MB51)'!$O:$O,'Checking(ZSERIALS)'!$L58,'System(MB51)'!$A:$A,'Checking(ZSERIALS)'!M$3)))</f>
        <v>0</v>
      </c>
      <c r="N58" s="173">
        <f>IF(H58="","",ABS(SUMIFS('System(MB51)'!$K:$K,'System(MB51)'!$L:$L,'Checking(ZSERIALS)'!$J58,'System(MB51)'!$O:$O,'Checking(ZSERIALS)'!$L58,'System(MB51)'!$A:$A,'Checking(ZSERIALS)'!N$3)))</f>
        <v>0</v>
      </c>
      <c r="O58" s="173">
        <f>IF(I58="","",ABS(SUMIFS('System(MB51)'!$K:$K,'System(MB51)'!$L:$L,'Checking(ZSERIALS)'!$J58,'System(MB51)'!$O:$O,'Checking(ZSERIALS)'!$L58,'System(MB51)'!$A:$A,'Checking(ZSERIALS)'!O$3)))</f>
        <v>0</v>
      </c>
      <c r="P58" s="173">
        <f>IF(J58="","",ABS(SUMIFS('System(MB51)'!$K:$K,'System(MB51)'!$L:$L,'Checking(ZSERIALS)'!$J58,'System(MB51)'!$O:$O,'Checking(ZSERIALS)'!$L58,'System(MB51)'!$A:$A,'Checking(ZSERIALS)'!P$3)))</f>
        <v>1</v>
      </c>
      <c r="Q58" s="173">
        <f>IF(K58="","",ABS(SUMIFS('System(MB51)'!$K:$K,'System(MB51)'!$L:$L,'Checking(ZSERIALS)'!$J58,'System(MB51)'!$O:$O,'Checking(ZSERIALS)'!$L58,'System(MB51)'!$A:$A,'Checking(ZSERIALS)'!Q$3)))</f>
        <v>0</v>
      </c>
      <c r="R58" s="173">
        <f>IF(L58="","",ABS(SUMIFS('System(MB51)'!$K:$K,'System(MB51)'!$L:$L,'Checking(ZSERIALS)'!$J58,'System(MB51)'!$O:$O,'Checking(ZSERIALS)'!$L58,'System(MB51)'!$A:$A,'Checking(ZSERIALS)'!R$3)))</f>
        <v>0</v>
      </c>
      <c r="S58" s="173">
        <f>IF(M58="","",ABS(SUMIFS('System(MB51)'!$K:$K,'System(MB51)'!$L:$L,'Checking(ZSERIALS)'!$J58,'System(MB51)'!$O:$O,'Checking(ZSERIALS)'!$L58,'System(MB51)'!$A:$A,'Checking(ZSERIALS)'!S$3)))</f>
        <v>0</v>
      </c>
      <c r="T58" s="173">
        <f>IF(N58="","",ABS(SUMIFS('System(MB51)'!$K:$K,'System(MB51)'!$L:$L,'Checking(ZSERIALS)'!$J58,'System(MB51)'!$O:$O,'Checking(ZSERIALS)'!$L58,'System(MB51)'!$A:$A,'Checking(ZSERIALS)'!T$3)))</f>
        <v>0</v>
      </c>
      <c r="U58" s="173">
        <f>IF(O58="","",ABS(SUMIFS('System(MB51)'!$K:$K,'System(MB51)'!$L:$L,'Checking(ZSERIALS)'!$J58,'System(MB51)'!$O:$O,'Checking(ZSERIALS)'!$L58,'System(MB51)'!$A:$A,'Checking(ZSERIALS)'!U$3)))</f>
        <v>0</v>
      </c>
      <c r="V58" s="165"/>
      <c r="W58" s="173" t="e">
        <f>IF($G58="","",INDEX(MLR!$1:$1048576,MATCH($G58,MLR!$J:$J,0),MATCH(W$3,MLR!$1:$1,0)))</f>
        <v>#N/A</v>
      </c>
      <c r="X58" s="173" t="e">
        <f>IF($G58="","",INDEX(MLR!$1:$1048576,MATCH($G58,MLR!$J:$J,0),MATCH(X$3,MLR!$1:$1,0)))</f>
        <v>#N/A</v>
      </c>
      <c r="Y58" s="173" t="e">
        <f>IF($G58="","",INDEX(MLR!$1:$1048576,MATCH($G58,MLR!$J:$J,0),MATCH(Y$3,MLR!$1:$1,0)))</f>
        <v>#N/A</v>
      </c>
      <c r="Z58" s="173" t="e">
        <f>IF($G58="","",INDEX(MLR!$1:$1048576,MATCH($G58,MLR!$J:$J,0),MATCH(Z$3,MLR!$1:$1,0)))</f>
        <v>#N/A</v>
      </c>
      <c r="AA58" s="173" t="e">
        <f>IF($G58="","",INDEX(MLR!$1:$1048576,MATCH($G58,MLR!$J:$J,0),MATCH(AA$3,MLR!$1:$1,0)))</f>
        <v>#N/A</v>
      </c>
      <c r="AB58" s="173" t="e">
        <f>IF($G58="","",INDEX(MLR!$1:$1048576,MATCH($G58,MLR!$J:$J,0),MATCH(AB$3,MLR!$1:$1,0)))</f>
        <v>#N/A</v>
      </c>
      <c r="AC58" s="173" t="e">
        <f>IF($G58="","",INDEX(MLR!$1:$1048576,MATCH($G58,MLR!$J:$J,0),MATCH(AC$3,MLR!$1:$1,0)))</f>
        <v>#N/A</v>
      </c>
      <c r="AD58" s="173" t="e">
        <f>IF($G58="","",INDEX(MLR!$1:$1048576,MATCH($G58,MLR!$J:$J,0),MATCH(AD$3,MLR!$1:$1,0)))</f>
        <v>#N/A</v>
      </c>
      <c r="AE58" s="173" t="e">
        <f>IF($G58="","",INDEX(MLR!$1:$1048576,MATCH($G58,MLR!$J:$J,0),MATCH(AE$3,MLR!$1:$1,0)))</f>
        <v>#N/A</v>
      </c>
      <c r="AF58" s="174" t="str">
        <f>IF(G58="","",IFERROR(IF(MATCH($G58,MLR!$J:$J,0)&gt;0,"Installed","Not Found"),"Not Found"))</f>
        <v>Not Found</v>
      </c>
      <c r="AG58" s="165"/>
      <c r="AH58" s="175" t="e">
        <f t="shared" si="38"/>
        <v>#N/A</v>
      </c>
      <c r="AI58" s="175" t="e">
        <f t="shared" si="39"/>
        <v>#N/A</v>
      </c>
      <c r="AJ58" s="175" t="e">
        <f t="shared" si="40"/>
        <v>#N/A</v>
      </c>
      <c r="AK58" s="175" t="e">
        <f t="shared" si="41"/>
        <v>#N/A</v>
      </c>
      <c r="AL58" s="175" t="e">
        <f t="shared" si="42"/>
        <v>#N/A</v>
      </c>
      <c r="AM58" s="175" t="e">
        <f t="shared" si="43"/>
        <v>#N/A</v>
      </c>
      <c r="AN58" s="175" t="e">
        <f t="shared" si="44"/>
        <v>#N/A</v>
      </c>
      <c r="AO58" s="175" t="e">
        <f t="shared" si="45"/>
        <v>#N/A</v>
      </c>
      <c r="AP58" s="175" t="e">
        <f t="shared" si="46"/>
        <v>#N/A</v>
      </c>
      <c r="AQ58" s="165"/>
      <c r="AR58" s="173" t="e">
        <f t="shared" si="47"/>
        <v>#N/A</v>
      </c>
      <c r="AS58" s="173" t="e">
        <f t="shared" si="48"/>
        <v>#N/A</v>
      </c>
      <c r="AT58" s="173" t="e">
        <f t="shared" si="49"/>
        <v>#N/A</v>
      </c>
      <c r="AU58" s="173" t="e">
        <f t="shared" si="50"/>
        <v>#N/A</v>
      </c>
      <c r="AV58" s="173" t="e">
        <f t="shared" si="51"/>
        <v>#N/A</v>
      </c>
      <c r="AW58" s="173" t="e">
        <f t="shared" si="52"/>
        <v>#N/A</v>
      </c>
      <c r="AX58" s="173" t="e">
        <f t="shared" si="53"/>
        <v>#N/A</v>
      </c>
      <c r="AY58" s="173" t="e">
        <f t="shared" si="54"/>
        <v>#N/A</v>
      </c>
      <c r="AZ58" s="173" t="e">
        <f t="shared" si="55"/>
        <v>#N/A</v>
      </c>
      <c r="BA58" s="165"/>
      <c r="BB58" s="174" t="str">
        <f t="shared" si="19"/>
        <v>No MLR</v>
      </c>
    </row>
    <row r="59" spans="1:54" s="36" customFormat="1" ht="13.8" x14ac:dyDescent="0.3">
      <c r="A59" s="128" t="str">
        <f>_xlfn.XLOOKUP(B59,'Cuttof Mapping'!A:A,'Cuttof Mapping'!D:D)</f>
        <v>2024 Jan 1st</v>
      </c>
      <c r="B59" s="133">
        <v>45303</v>
      </c>
      <c r="C59" s="86" t="s">
        <v>270</v>
      </c>
      <c r="D59" s="79" t="s">
        <v>63</v>
      </c>
      <c r="E59" s="86">
        <v>4500866</v>
      </c>
      <c r="F59" s="86" t="s">
        <v>91</v>
      </c>
      <c r="G59" s="86" t="s">
        <v>271</v>
      </c>
      <c r="H59" s="86">
        <v>10001035</v>
      </c>
      <c r="I59" s="86" t="s">
        <v>90</v>
      </c>
      <c r="J59" s="86">
        <v>1680000718073</v>
      </c>
      <c r="K59" s="86" t="s">
        <v>54</v>
      </c>
      <c r="L59" s="86" t="s">
        <v>272</v>
      </c>
      <c r="M59" s="173">
        <f>IF(G59="","",ABS(SUMIFS('System(MB51)'!$K:$K,'System(MB51)'!$L:$L,'Checking(ZSERIALS)'!$J59,'System(MB51)'!$O:$O,'Checking(ZSERIALS)'!$L59,'System(MB51)'!$A:$A,'Checking(ZSERIALS)'!M$3)))</f>
        <v>0</v>
      </c>
      <c r="N59" s="173">
        <f>IF(H59="","",ABS(SUMIFS('System(MB51)'!$K:$K,'System(MB51)'!$L:$L,'Checking(ZSERIALS)'!$J59,'System(MB51)'!$O:$O,'Checking(ZSERIALS)'!$L59,'System(MB51)'!$A:$A,'Checking(ZSERIALS)'!N$3)))</f>
        <v>2</v>
      </c>
      <c r="O59" s="173">
        <f>IF(I59="","",ABS(SUMIFS('System(MB51)'!$K:$K,'System(MB51)'!$L:$L,'Checking(ZSERIALS)'!$J59,'System(MB51)'!$O:$O,'Checking(ZSERIALS)'!$L59,'System(MB51)'!$A:$A,'Checking(ZSERIALS)'!O$3)))</f>
        <v>0</v>
      </c>
      <c r="P59" s="173">
        <f>IF(J59="","",ABS(SUMIFS('System(MB51)'!$K:$K,'System(MB51)'!$L:$L,'Checking(ZSERIALS)'!$J59,'System(MB51)'!$O:$O,'Checking(ZSERIALS)'!$L59,'System(MB51)'!$A:$A,'Checking(ZSERIALS)'!P$3)))</f>
        <v>1</v>
      </c>
      <c r="Q59" s="173">
        <f>IF(K59="","",ABS(SUMIFS('System(MB51)'!$K:$K,'System(MB51)'!$L:$L,'Checking(ZSERIALS)'!$J59,'System(MB51)'!$O:$O,'Checking(ZSERIALS)'!$L59,'System(MB51)'!$A:$A,'Checking(ZSERIALS)'!Q$3)))</f>
        <v>0</v>
      </c>
      <c r="R59" s="173">
        <f>IF(L59="","",ABS(SUMIFS('System(MB51)'!$K:$K,'System(MB51)'!$L:$L,'Checking(ZSERIALS)'!$J59,'System(MB51)'!$O:$O,'Checking(ZSERIALS)'!$L59,'System(MB51)'!$A:$A,'Checking(ZSERIALS)'!R$3)))</f>
        <v>0</v>
      </c>
      <c r="S59" s="173">
        <f>IF(M59="","",ABS(SUMIFS('System(MB51)'!$K:$K,'System(MB51)'!$L:$L,'Checking(ZSERIALS)'!$J59,'System(MB51)'!$O:$O,'Checking(ZSERIALS)'!$L59,'System(MB51)'!$A:$A,'Checking(ZSERIALS)'!S$3)))</f>
        <v>3</v>
      </c>
      <c r="T59" s="173">
        <f>IF(N59="","",ABS(SUMIFS('System(MB51)'!$K:$K,'System(MB51)'!$L:$L,'Checking(ZSERIALS)'!$J59,'System(MB51)'!$O:$O,'Checking(ZSERIALS)'!$L59,'System(MB51)'!$A:$A,'Checking(ZSERIALS)'!T$3)))</f>
        <v>1</v>
      </c>
      <c r="U59" s="173">
        <f>IF(O59="","",ABS(SUMIFS('System(MB51)'!$K:$K,'System(MB51)'!$L:$L,'Checking(ZSERIALS)'!$J59,'System(MB51)'!$O:$O,'Checking(ZSERIALS)'!$L59,'System(MB51)'!$A:$A,'Checking(ZSERIALS)'!U$3)))</f>
        <v>8</v>
      </c>
      <c r="V59" s="165"/>
      <c r="W59" s="173" t="e">
        <f>IF($G59="","",INDEX(MLR!$1:$1048576,MATCH($G59,MLR!$J:$J,0),MATCH(W$3,MLR!$1:$1,0)))</f>
        <v>#N/A</v>
      </c>
      <c r="X59" s="173" t="e">
        <f>IF($G59="","",INDEX(MLR!$1:$1048576,MATCH($G59,MLR!$J:$J,0),MATCH(X$3,MLR!$1:$1,0)))</f>
        <v>#N/A</v>
      </c>
      <c r="Y59" s="173" t="e">
        <f>IF($G59="","",INDEX(MLR!$1:$1048576,MATCH($G59,MLR!$J:$J,0),MATCH(Y$3,MLR!$1:$1,0)))</f>
        <v>#N/A</v>
      </c>
      <c r="Z59" s="173" t="e">
        <f>IF($G59="","",INDEX(MLR!$1:$1048576,MATCH($G59,MLR!$J:$J,0),MATCH(Z$3,MLR!$1:$1,0)))</f>
        <v>#N/A</v>
      </c>
      <c r="AA59" s="173" t="e">
        <f>IF($G59="","",INDEX(MLR!$1:$1048576,MATCH($G59,MLR!$J:$J,0),MATCH(AA$3,MLR!$1:$1,0)))</f>
        <v>#N/A</v>
      </c>
      <c r="AB59" s="173" t="e">
        <f>IF($G59="","",INDEX(MLR!$1:$1048576,MATCH($G59,MLR!$J:$J,0),MATCH(AB$3,MLR!$1:$1,0)))</f>
        <v>#N/A</v>
      </c>
      <c r="AC59" s="173" t="e">
        <f>IF($G59="","",INDEX(MLR!$1:$1048576,MATCH($G59,MLR!$J:$J,0),MATCH(AC$3,MLR!$1:$1,0)))</f>
        <v>#N/A</v>
      </c>
      <c r="AD59" s="173" t="e">
        <f>IF($G59="","",INDEX(MLR!$1:$1048576,MATCH($G59,MLR!$J:$J,0),MATCH(AD$3,MLR!$1:$1,0)))</f>
        <v>#N/A</v>
      </c>
      <c r="AE59" s="173" t="e">
        <f>IF($G59="","",INDEX(MLR!$1:$1048576,MATCH($G59,MLR!$J:$J,0),MATCH(AE$3,MLR!$1:$1,0)))</f>
        <v>#N/A</v>
      </c>
      <c r="AF59" s="174" t="str">
        <f>IF(G59="","",IFERROR(IF(MATCH($G59,MLR!$J:$J,0)&gt;0,"Installed","Not Found"),"Not Found"))</f>
        <v>Not Found</v>
      </c>
      <c r="AG59" s="165"/>
      <c r="AH59" s="175" t="e">
        <f t="shared" si="38"/>
        <v>#N/A</v>
      </c>
      <c r="AI59" s="175" t="e">
        <f t="shared" si="39"/>
        <v>#N/A</v>
      </c>
      <c r="AJ59" s="175" t="e">
        <f t="shared" si="40"/>
        <v>#N/A</v>
      </c>
      <c r="AK59" s="175" t="e">
        <f t="shared" si="41"/>
        <v>#N/A</v>
      </c>
      <c r="AL59" s="175" t="e">
        <f t="shared" si="42"/>
        <v>#N/A</v>
      </c>
      <c r="AM59" s="175" t="e">
        <f t="shared" si="43"/>
        <v>#N/A</v>
      </c>
      <c r="AN59" s="175" t="e">
        <f t="shared" si="44"/>
        <v>#N/A</v>
      </c>
      <c r="AO59" s="175" t="e">
        <f t="shared" si="45"/>
        <v>#N/A</v>
      </c>
      <c r="AP59" s="175" t="e">
        <f t="shared" si="46"/>
        <v>#N/A</v>
      </c>
      <c r="AQ59" s="165"/>
      <c r="AR59" s="173" t="e">
        <f t="shared" si="47"/>
        <v>#N/A</v>
      </c>
      <c r="AS59" s="173" t="e">
        <f t="shared" si="48"/>
        <v>#N/A</v>
      </c>
      <c r="AT59" s="173" t="e">
        <f t="shared" si="49"/>
        <v>#N/A</v>
      </c>
      <c r="AU59" s="173" t="e">
        <f t="shared" si="50"/>
        <v>#N/A</v>
      </c>
      <c r="AV59" s="173" t="e">
        <f t="shared" si="51"/>
        <v>#N/A</v>
      </c>
      <c r="AW59" s="173" t="e">
        <f t="shared" si="52"/>
        <v>#N/A</v>
      </c>
      <c r="AX59" s="173" t="e">
        <f t="shared" si="53"/>
        <v>#N/A</v>
      </c>
      <c r="AY59" s="173" t="e">
        <f t="shared" si="54"/>
        <v>#N/A</v>
      </c>
      <c r="AZ59" s="173" t="e">
        <f t="shared" si="55"/>
        <v>#N/A</v>
      </c>
      <c r="BA59" s="165"/>
      <c r="BB59" s="174" t="str">
        <f t="shared" si="19"/>
        <v>No MLR</v>
      </c>
    </row>
    <row r="60" spans="1:54" s="36" customFormat="1" ht="13.8" x14ac:dyDescent="0.3">
      <c r="A60" s="128" t="str">
        <f>_xlfn.XLOOKUP(B60,'Cuttof Mapping'!A:A,'Cuttof Mapping'!D:D)</f>
        <v>2024 Jan 1st</v>
      </c>
      <c r="B60" s="133">
        <v>45303</v>
      </c>
      <c r="C60" s="86" t="s">
        <v>273</v>
      </c>
      <c r="D60" s="79" t="s">
        <v>63</v>
      </c>
      <c r="E60" s="86">
        <v>4500866</v>
      </c>
      <c r="F60" s="86" t="s">
        <v>91</v>
      </c>
      <c r="G60" s="86" t="s">
        <v>274</v>
      </c>
      <c r="H60" s="86">
        <v>10001035</v>
      </c>
      <c r="I60" s="86" t="s">
        <v>90</v>
      </c>
      <c r="J60" s="86">
        <v>1680000734062</v>
      </c>
      <c r="K60" s="86" t="s">
        <v>54</v>
      </c>
      <c r="L60" s="86" t="s">
        <v>275</v>
      </c>
      <c r="M60" s="173">
        <f>IF(G60="","",ABS(SUMIFS('System(MB51)'!$K:$K,'System(MB51)'!$L:$L,'Checking(ZSERIALS)'!$J60,'System(MB51)'!$O:$O,'Checking(ZSERIALS)'!$L60,'System(MB51)'!$A:$A,'Checking(ZSERIALS)'!M$3)))</f>
        <v>0</v>
      </c>
      <c r="N60" s="173">
        <f>IF(H60="","",ABS(SUMIFS('System(MB51)'!$K:$K,'System(MB51)'!$L:$L,'Checking(ZSERIALS)'!$J60,'System(MB51)'!$O:$O,'Checking(ZSERIALS)'!$L60,'System(MB51)'!$A:$A,'Checking(ZSERIALS)'!N$3)))</f>
        <v>0</v>
      </c>
      <c r="O60" s="173">
        <f>IF(I60="","",ABS(SUMIFS('System(MB51)'!$K:$K,'System(MB51)'!$L:$L,'Checking(ZSERIALS)'!$J60,'System(MB51)'!$O:$O,'Checking(ZSERIALS)'!$L60,'System(MB51)'!$A:$A,'Checking(ZSERIALS)'!O$3)))</f>
        <v>0</v>
      </c>
      <c r="P60" s="173">
        <f>IF(J60="","",ABS(SUMIFS('System(MB51)'!$K:$K,'System(MB51)'!$L:$L,'Checking(ZSERIALS)'!$J60,'System(MB51)'!$O:$O,'Checking(ZSERIALS)'!$L60,'System(MB51)'!$A:$A,'Checking(ZSERIALS)'!P$3)))</f>
        <v>1</v>
      </c>
      <c r="Q60" s="173">
        <f>IF(K60="","",ABS(SUMIFS('System(MB51)'!$K:$K,'System(MB51)'!$L:$L,'Checking(ZSERIALS)'!$J60,'System(MB51)'!$O:$O,'Checking(ZSERIALS)'!$L60,'System(MB51)'!$A:$A,'Checking(ZSERIALS)'!Q$3)))</f>
        <v>0</v>
      </c>
      <c r="R60" s="173">
        <f>IF(L60="","",ABS(SUMIFS('System(MB51)'!$K:$K,'System(MB51)'!$L:$L,'Checking(ZSERIALS)'!$J60,'System(MB51)'!$O:$O,'Checking(ZSERIALS)'!$L60,'System(MB51)'!$A:$A,'Checking(ZSERIALS)'!R$3)))</f>
        <v>0</v>
      </c>
      <c r="S60" s="173">
        <f>IF(M60="","",ABS(SUMIFS('System(MB51)'!$K:$K,'System(MB51)'!$L:$L,'Checking(ZSERIALS)'!$J60,'System(MB51)'!$O:$O,'Checking(ZSERIALS)'!$L60,'System(MB51)'!$A:$A,'Checking(ZSERIALS)'!S$3)))</f>
        <v>0</v>
      </c>
      <c r="T60" s="173">
        <f>IF(N60="","",ABS(SUMIFS('System(MB51)'!$K:$K,'System(MB51)'!$L:$L,'Checking(ZSERIALS)'!$J60,'System(MB51)'!$O:$O,'Checking(ZSERIALS)'!$L60,'System(MB51)'!$A:$A,'Checking(ZSERIALS)'!T$3)))</f>
        <v>0</v>
      </c>
      <c r="U60" s="173">
        <f>IF(O60="","",ABS(SUMIFS('System(MB51)'!$K:$K,'System(MB51)'!$L:$L,'Checking(ZSERIALS)'!$J60,'System(MB51)'!$O:$O,'Checking(ZSERIALS)'!$L60,'System(MB51)'!$A:$A,'Checking(ZSERIALS)'!U$3)))</f>
        <v>0</v>
      </c>
      <c r="V60" s="165"/>
      <c r="W60" s="173" t="e">
        <f>IF($G60="","",INDEX(MLR!$1:$1048576,MATCH($G60,MLR!$J:$J,0),MATCH(W$3,MLR!$1:$1,0)))</f>
        <v>#N/A</v>
      </c>
      <c r="X60" s="173" t="e">
        <f>IF($G60="","",INDEX(MLR!$1:$1048576,MATCH($G60,MLR!$J:$J,0),MATCH(X$3,MLR!$1:$1,0)))</f>
        <v>#N/A</v>
      </c>
      <c r="Y60" s="173" t="e">
        <f>IF($G60="","",INDEX(MLR!$1:$1048576,MATCH($G60,MLR!$J:$J,0),MATCH(Y$3,MLR!$1:$1,0)))</f>
        <v>#N/A</v>
      </c>
      <c r="Z60" s="173" t="e">
        <f>IF($G60="","",INDEX(MLR!$1:$1048576,MATCH($G60,MLR!$J:$J,0),MATCH(Z$3,MLR!$1:$1,0)))</f>
        <v>#N/A</v>
      </c>
      <c r="AA60" s="173" t="e">
        <f>IF($G60="","",INDEX(MLR!$1:$1048576,MATCH($G60,MLR!$J:$J,0),MATCH(AA$3,MLR!$1:$1,0)))</f>
        <v>#N/A</v>
      </c>
      <c r="AB60" s="173" t="e">
        <f>IF($G60="","",INDEX(MLR!$1:$1048576,MATCH($G60,MLR!$J:$J,0),MATCH(AB$3,MLR!$1:$1,0)))</f>
        <v>#N/A</v>
      </c>
      <c r="AC60" s="173" t="e">
        <f>IF($G60="","",INDEX(MLR!$1:$1048576,MATCH($G60,MLR!$J:$J,0),MATCH(AC$3,MLR!$1:$1,0)))</f>
        <v>#N/A</v>
      </c>
      <c r="AD60" s="173" t="e">
        <f>IF($G60="","",INDEX(MLR!$1:$1048576,MATCH($G60,MLR!$J:$J,0),MATCH(AD$3,MLR!$1:$1,0)))</f>
        <v>#N/A</v>
      </c>
      <c r="AE60" s="173" t="e">
        <f>IF($G60="","",INDEX(MLR!$1:$1048576,MATCH($G60,MLR!$J:$J,0),MATCH(AE$3,MLR!$1:$1,0)))</f>
        <v>#N/A</v>
      </c>
      <c r="AF60" s="174" t="str">
        <f>IF(G60="","",IFERROR(IF(MATCH($G60,MLR!$J:$J,0)&gt;0,"Installed","Not Found"),"Not Found"))</f>
        <v>Not Found</v>
      </c>
      <c r="AG60" s="165"/>
      <c r="AH60" s="175" t="e">
        <f t="shared" si="38"/>
        <v>#N/A</v>
      </c>
      <c r="AI60" s="175" t="e">
        <f t="shared" si="39"/>
        <v>#N/A</v>
      </c>
      <c r="AJ60" s="175" t="e">
        <f t="shared" si="40"/>
        <v>#N/A</v>
      </c>
      <c r="AK60" s="175" t="e">
        <f t="shared" si="41"/>
        <v>#N/A</v>
      </c>
      <c r="AL60" s="175" t="e">
        <f t="shared" si="42"/>
        <v>#N/A</v>
      </c>
      <c r="AM60" s="175" t="e">
        <f t="shared" si="43"/>
        <v>#N/A</v>
      </c>
      <c r="AN60" s="175" t="e">
        <f t="shared" si="44"/>
        <v>#N/A</v>
      </c>
      <c r="AO60" s="175" t="e">
        <f t="shared" si="45"/>
        <v>#N/A</v>
      </c>
      <c r="AP60" s="175" t="e">
        <f t="shared" si="46"/>
        <v>#N/A</v>
      </c>
      <c r="AQ60" s="165"/>
      <c r="AR60" s="173" t="e">
        <f t="shared" si="47"/>
        <v>#N/A</v>
      </c>
      <c r="AS60" s="173" t="e">
        <f t="shared" si="48"/>
        <v>#N/A</v>
      </c>
      <c r="AT60" s="173" t="e">
        <f t="shared" si="49"/>
        <v>#N/A</v>
      </c>
      <c r="AU60" s="173" t="e">
        <f t="shared" si="50"/>
        <v>#N/A</v>
      </c>
      <c r="AV60" s="173" t="e">
        <f t="shared" si="51"/>
        <v>#N/A</v>
      </c>
      <c r="AW60" s="173" t="e">
        <f t="shared" si="52"/>
        <v>#N/A</v>
      </c>
      <c r="AX60" s="173" t="e">
        <f t="shared" si="53"/>
        <v>#N/A</v>
      </c>
      <c r="AY60" s="173" t="e">
        <f t="shared" si="54"/>
        <v>#N/A</v>
      </c>
      <c r="AZ60" s="173" t="e">
        <f t="shared" si="55"/>
        <v>#N/A</v>
      </c>
      <c r="BA60" s="165"/>
      <c r="BB60" s="174" t="str">
        <f t="shared" si="19"/>
        <v>No MLR</v>
      </c>
    </row>
    <row r="61" spans="1:54" s="36" customFormat="1" ht="13.8" x14ac:dyDescent="0.3">
      <c r="A61" s="128" t="str">
        <f>_xlfn.XLOOKUP(B61,'Cuttof Mapping'!A:A,'Cuttof Mapping'!D:D)</f>
        <v>2024 Jan 1st</v>
      </c>
      <c r="B61" s="133">
        <v>45303</v>
      </c>
      <c r="C61" s="86" t="s">
        <v>276</v>
      </c>
      <c r="D61" s="79" t="s">
        <v>63</v>
      </c>
      <c r="E61" s="86">
        <v>4500866</v>
      </c>
      <c r="F61" s="86" t="s">
        <v>91</v>
      </c>
      <c r="G61" s="86" t="s">
        <v>277</v>
      </c>
      <c r="H61" s="86">
        <v>10001035</v>
      </c>
      <c r="I61" s="86" t="s">
        <v>90</v>
      </c>
      <c r="J61" s="86">
        <v>1680000734654</v>
      </c>
      <c r="K61" s="86" t="s">
        <v>54</v>
      </c>
      <c r="L61" s="86" t="s">
        <v>278</v>
      </c>
      <c r="M61" s="173">
        <f>IF(G61="","",ABS(SUMIFS('System(MB51)'!$K:$K,'System(MB51)'!$L:$L,'Checking(ZSERIALS)'!$J61,'System(MB51)'!$O:$O,'Checking(ZSERIALS)'!$L61,'System(MB51)'!$A:$A,'Checking(ZSERIALS)'!M$3)))</f>
        <v>0</v>
      </c>
      <c r="N61" s="173">
        <f>IF(H61="","",ABS(SUMIFS('System(MB51)'!$K:$K,'System(MB51)'!$L:$L,'Checking(ZSERIALS)'!$J61,'System(MB51)'!$O:$O,'Checking(ZSERIALS)'!$L61,'System(MB51)'!$A:$A,'Checking(ZSERIALS)'!N$3)))</f>
        <v>2</v>
      </c>
      <c r="O61" s="173">
        <f>IF(I61="","",ABS(SUMIFS('System(MB51)'!$K:$K,'System(MB51)'!$L:$L,'Checking(ZSERIALS)'!$J61,'System(MB51)'!$O:$O,'Checking(ZSERIALS)'!$L61,'System(MB51)'!$A:$A,'Checking(ZSERIALS)'!O$3)))</f>
        <v>0</v>
      </c>
      <c r="P61" s="173">
        <f>IF(J61="","",ABS(SUMIFS('System(MB51)'!$K:$K,'System(MB51)'!$L:$L,'Checking(ZSERIALS)'!$J61,'System(MB51)'!$O:$O,'Checking(ZSERIALS)'!$L61,'System(MB51)'!$A:$A,'Checking(ZSERIALS)'!P$3)))</f>
        <v>1</v>
      </c>
      <c r="Q61" s="173">
        <f>IF(K61="","",ABS(SUMIFS('System(MB51)'!$K:$K,'System(MB51)'!$L:$L,'Checking(ZSERIALS)'!$J61,'System(MB51)'!$O:$O,'Checking(ZSERIALS)'!$L61,'System(MB51)'!$A:$A,'Checking(ZSERIALS)'!Q$3)))</f>
        <v>0</v>
      </c>
      <c r="R61" s="173">
        <f>IF(L61="","",ABS(SUMIFS('System(MB51)'!$K:$K,'System(MB51)'!$L:$L,'Checking(ZSERIALS)'!$J61,'System(MB51)'!$O:$O,'Checking(ZSERIALS)'!$L61,'System(MB51)'!$A:$A,'Checking(ZSERIALS)'!R$3)))</f>
        <v>0</v>
      </c>
      <c r="S61" s="173">
        <f>IF(M61="","",ABS(SUMIFS('System(MB51)'!$K:$K,'System(MB51)'!$L:$L,'Checking(ZSERIALS)'!$J61,'System(MB51)'!$O:$O,'Checking(ZSERIALS)'!$L61,'System(MB51)'!$A:$A,'Checking(ZSERIALS)'!S$3)))</f>
        <v>8</v>
      </c>
      <c r="T61" s="173">
        <f>IF(N61="","",ABS(SUMIFS('System(MB51)'!$K:$K,'System(MB51)'!$L:$L,'Checking(ZSERIALS)'!$J61,'System(MB51)'!$O:$O,'Checking(ZSERIALS)'!$L61,'System(MB51)'!$A:$A,'Checking(ZSERIALS)'!T$3)))</f>
        <v>1</v>
      </c>
      <c r="U61" s="173">
        <f>IF(O61="","",ABS(SUMIFS('System(MB51)'!$K:$K,'System(MB51)'!$L:$L,'Checking(ZSERIALS)'!$J61,'System(MB51)'!$O:$O,'Checking(ZSERIALS)'!$L61,'System(MB51)'!$A:$A,'Checking(ZSERIALS)'!U$3)))</f>
        <v>8</v>
      </c>
      <c r="V61" s="165"/>
      <c r="W61" s="173" t="e">
        <f>IF($G61="","",INDEX(MLR!$1:$1048576,MATCH($G61,MLR!$J:$J,0),MATCH(W$3,MLR!$1:$1,0)))</f>
        <v>#N/A</v>
      </c>
      <c r="X61" s="173" t="e">
        <f>IF($G61="","",INDEX(MLR!$1:$1048576,MATCH($G61,MLR!$J:$J,0),MATCH(X$3,MLR!$1:$1,0)))</f>
        <v>#N/A</v>
      </c>
      <c r="Y61" s="173" t="e">
        <f>IF($G61="","",INDEX(MLR!$1:$1048576,MATCH($G61,MLR!$J:$J,0),MATCH(Y$3,MLR!$1:$1,0)))</f>
        <v>#N/A</v>
      </c>
      <c r="Z61" s="173" t="e">
        <f>IF($G61="","",INDEX(MLR!$1:$1048576,MATCH($G61,MLR!$J:$J,0),MATCH(Z$3,MLR!$1:$1,0)))</f>
        <v>#N/A</v>
      </c>
      <c r="AA61" s="173" t="e">
        <f>IF($G61="","",INDEX(MLR!$1:$1048576,MATCH($G61,MLR!$J:$J,0),MATCH(AA$3,MLR!$1:$1,0)))</f>
        <v>#N/A</v>
      </c>
      <c r="AB61" s="173" t="e">
        <f>IF($G61="","",INDEX(MLR!$1:$1048576,MATCH($G61,MLR!$J:$J,0),MATCH(AB$3,MLR!$1:$1,0)))</f>
        <v>#N/A</v>
      </c>
      <c r="AC61" s="173" t="e">
        <f>IF($G61="","",INDEX(MLR!$1:$1048576,MATCH($G61,MLR!$J:$J,0),MATCH(AC$3,MLR!$1:$1,0)))</f>
        <v>#N/A</v>
      </c>
      <c r="AD61" s="173" t="e">
        <f>IF($G61="","",INDEX(MLR!$1:$1048576,MATCH($G61,MLR!$J:$J,0),MATCH(AD$3,MLR!$1:$1,0)))</f>
        <v>#N/A</v>
      </c>
      <c r="AE61" s="173" t="e">
        <f>IF($G61="","",INDEX(MLR!$1:$1048576,MATCH($G61,MLR!$J:$J,0),MATCH(AE$3,MLR!$1:$1,0)))</f>
        <v>#N/A</v>
      </c>
      <c r="AF61" s="174" t="str">
        <f>IF(G61="","",IFERROR(IF(MATCH($G61,MLR!$J:$J,0)&gt;0,"Installed","Not Found"),"Not Found"))</f>
        <v>Not Found</v>
      </c>
      <c r="AG61" s="165"/>
      <c r="AH61" s="175" t="e">
        <f t="shared" si="38"/>
        <v>#N/A</v>
      </c>
      <c r="AI61" s="175" t="e">
        <f t="shared" si="39"/>
        <v>#N/A</v>
      </c>
      <c r="AJ61" s="175" t="e">
        <f t="shared" si="40"/>
        <v>#N/A</v>
      </c>
      <c r="AK61" s="175" t="e">
        <f t="shared" si="41"/>
        <v>#N/A</v>
      </c>
      <c r="AL61" s="175" t="e">
        <f t="shared" si="42"/>
        <v>#N/A</v>
      </c>
      <c r="AM61" s="175" t="e">
        <f t="shared" si="43"/>
        <v>#N/A</v>
      </c>
      <c r="AN61" s="175" t="e">
        <f t="shared" si="44"/>
        <v>#N/A</v>
      </c>
      <c r="AO61" s="175" t="e">
        <f t="shared" si="45"/>
        <v>#N/A</v>
      </c>
      <c r="AP61" s="175" t="e">
        <f t="shared" si="46"/>
        <v>#N/A</v>
      </c>
      <c r="AQ61" s="165"/>
      <c r="AR61" s="173" t="e">
        <f t="shared" si="47"/>
        <v>#N/A</v>
      </c>
      <c r="AS61" s="173" t="e">
        <f t="shared" si="48"/>
        <v>#N/A</v>
      </c>
      <c r="AT61" s="173" t="e">
        <f t="shared" si="49"/>
        <v>#N/A</v>
      </c>
      <c r="AU61" s="173" t="e">
        <f t="shared" si="50"/>
        <v>#N/A</v>
      </c>
      <c r="AV61" s="173" t="e">
        <f t="shared" si="51"/>
        <v>#N/A</v>
      </c>
      <c r="AW61" s="173" t="e">
        <f t="shared" si="52"/>
        <v>#N/A</v>
      </c>
      <c r="AX61" s="173" t="e">
        <f t="shared" si="53"/>
        <v>#N/A</v>
      </c>
      <c r="AY61" s="173" t="e">
        <f t="shared" si="54"/>
        <v>#N/A</v>
      </c>
      <c r="AZ61" s="173" t="e">
        <f t="shared" si="55"/>
        <v>#N/A</v>
      </c>
      <c r="BA61" s="165"/>
      <c r="BB61" s="174" t="str">
        <f t="shared" si="19"/>
        <v>No MLR</v>
      </c>
    </row>
    <row r="62" spans="1:54" s="36" customFormat="1" ht="13.8" x14ac:dyDescent="0.3">
      <c r="A62" s="128" t="str">
        <f>_xlfn.XLOOKUP(B62,'Cuttof Mapping'!A:A,'Cuttof Mapping'!D:D)</f>
        <v>2024 Jan 1st</v>
      </c>
      <c r="B62" s="133">
        <v>45303</v>
      </c>
      <c r="C62" s="86" t="s">
        <v>279</v>
      </c>
      <c r="D62" s="79" t="s">
        <v>63</v>
      </c>
      <c r="E62" s="86">
        <v>4500866</v>
      </c>
      <c r="F62" s="86" t="s">
        <v>91</v>
      </c>
      <c r="G62" s="86" t="s">
        <v>280</v>
      </c>
      <c r="H62" s="86">
        <v>10001035</v>
      </c>
      <c r="I62" s="86" t="s">
        <v>90</v>
      </c>
      <c r="J62" s="86">
        <v>1680000734332</v>
      </c>
      <c r="K62" s="86" t="s">
        <v>54</v>
      </c>
      <c r="L62" s="86" t="s">
        <v>281</v>
      </c>
      <c r="M62" s="173">
        <f>IF(G62="","",ABS(SUMIFS('System(MB51)'!$K:$K,'System(MB51)'!$L:$L,'Checking(ZSERIALS)'!$J62,'System(MB51)'!$O:$O,'Checking(ZSERIALS)'!$L62,'System(MB51)'!$A:$A,'Checking(ZSERIALS)'!M$3)))</f>
        <v>0</v>
      </c>
      <c r="N62" s="173">
        <f>IF(H62="","",ABS(SUMIFS('System(MB51)'!$K:$K,'System(MB51)'!$L:$L,'Checking(ZSERIALS)'!$J62,'System(MB51)'!$O:$O,'Checking(ZSERIALS)'!$L62,'System(MB51)'!$A:$A,'Checking(ZSERIALS)'!N$3)))</f>
        <v>2</v>
      </c>
      <c r="O62" s="173">
        <f>IF(I62="","",ABS(SUMIFS('System(MB51)'!$K:$K,'System(MB51)'!$L:$L,'Checking(ZSERIALS)'!$J62,'System(MB51)'!$O:$O,'Checking(ZSERIALS)'!$L62,'System(MB51)'!$A:$A,'Checking(ZSERIALS)'!O$3)))</f>
        <v>0</v>
      </c>
      <c r="P62" s="173">
        <f>IF(J62="","",ABS(SUMIFS('System(MB51)'!$K:$K,'System(MB51)'!$L:$L,'Checking(ZSERIALS)'!$J62,'System(MB51)'!$O:$O,'Checking(ZSERIALS)'!$L62,'System(MB51)'!$A:$A,'Checking(ZSERIALS)'!P$3)))</f>
        <v>1</v>
      </c>
      <c r="Q62" s="173">
        <f>IF(K62="","",ABS(SUMIFS('System(MB51)'!$K:$K,'System(MB51)'!$L:$L,'Checking(ZSERIALS)'!$J62,'System(MB51)'!$O:$O,'Checking(ZSERIALS)'!$L62,'System(MB51)'!$A:$A,'Checking(ZSERIALS)'!Q$3)))</f>
        <v>0</v>
      </c>
      <c r="R62" s="173">
        <f>IF(L62="","",ABS(SUMIFS('System(MB51)'!$K:$K,'System(MB51)'!$L:$L,'Checking(ZSERIALS)'!$J62,'System(MB51)'!$O:$O,'Checking(ZSERIALS)'!$L62,'System(MB51)'!$A:$A,'Checking(ZSERIALS)'!R$3)))</f>
        <v>0</v>
      </c>
      <c r="S62" s="173">
        <f>IF(M62="","",ABS(SUMIFS('System(MB51)'!$K:$K,'System(MB51)'!$L:$L,'Checking(ZSERIALS)'!$J62,'System(MB51)'!$O:$O,'Checking(ZSERIALS)'!$L62,'System(MB51)'!$A:$A,'Checking(ZSERIALS)'!S$3)))</f>
        <v>10</v>
      </c>
      <c r="T62" s="173">
        <f>IF(N62="","",ABS(SUMIFS('System(MB51)'!$K:$K,'System(MB51)'!$L:$L,'Checking(ZSERIALS)'!$J62,'System(MB51)'!$O:$O,'Checking(ZSERIALS)'!$L62,'System(MB51)'!$A:$A,'Checking(ZSERIALS)'!T$3)))</f>
        <v>1</v>
      </c>
      <c r="U62" s="173">
        <f>IF(O62="","",ABS(SUMIFS('System(MB51)'!$K:$K,'System(MB51)'!$L:$L,'Checking(ZSERIALS)'!$J62,'System(MB51)'!$O:$O,'Checking(ZSERIALS)'!$L62,'System(MB51)'!$A:$A,'Checking(ZSERIALS)'!U$3)))</f>
        <v>8</v>
      </c>
      <c r="V62" s="165"/>
      <c r="W62" s="173" t="e">
        <f>IF($G62="","",INDEX(MLR!$1:$1048576,MATCH($G62,MLR!$J:$J,0),MATCH(W$3,MLR!$1:$1,0)))</f>
        <v>#N/A</v>
      </c>
      <c r="X62" s="173" t="e">
        <f>IF($G62="","",INDEX(MLR!$1:$1048576,MATCH($G62,MLR!$J:$J,0),MATCH(X$3,MLR!$1:$1,0)))</f>
        <v>#N/A</v>
      </c>
      <c r="Y62" s="173" t="e">
        <f>IF($G62="","",INDEX(MLR!$1:$1048576,MATCH($G62,MLR!$J:$J,0),MATCH(Y$3,MLR!$1:$1,0)))</f>
        <v>#N/A</v>
      </c>
      <c r="Z62" s="173" t="e">
        <f>IF($G62="","",INDEX(MLR!$1:$1048576,MATCH($G62,MLR!$J:$J,0),MATCH(Z$3,MLR!$1:$1,0)))</f>
        <v>#N/A</v>
      </c>
      <c r="AA62" s="173" t="e">
        <f>IF($G62="","",INDEX(MLR!$1:$1048576,MATCH($G62,MLR!$J:$J,0),MATCH(AA$3,MLR!$1:$1,0)))</f>
        <v>#N/A</v>
      </c>
      <c r="AB62" s="173" t="e">
        <f>IF($G62="","",INDEX(MLR!$1:$1048576,MATCH($G62,MLR!$J:$J,0),MATCH(AB$3,MLR!$1:$1,0)))</f>
        <v>#N/A</v>
      </c>
      <c r="AC62" s="173" t="e">
        <f>IF($G62="","",INDEX(MLR!$1:$1048576,MATCH($G62,MLR!$J:$J,0),MATCH(AC$3,MLR!$1:$1,0)))</f>
        <v>#N/A</v>
      </c>
      <c r="AD62" s="173" t="e">
        <f>IF($G62="","",INDEX(MLR!$1:$1048576,MATCH($G62,MLR!$J:$J,0),MATCH(AD$3,MLR!$1:$1,0)))</f>
        <v>#N/A</v>
      </c>
      <c r="AE62" s="173" t="e">
        <f>IF($G62="","",INDEX(MLR!$1:$1048576,MATCH($G62,MLR!$J:$J,0),MATCH(AE$3,MLR!$1:$1,0)))</f>
        <v>#N/A</v>
      </c>
      <c r="AF62" s="174" t="str">
        <f>IF(G62="","",IFERROR(IF(MATCH($G62,MLR!$J:$J,0)&gt;0,"Installed","Not Found"),"Not Found"))</f>
        <v>Not Found</v>
      </c>
      <c r="AG62" s="165"/>
      <c r="AH62" s="175" t="e">
        <f t="shared" si="38"/>
        <v>#N/A</v>
      </c>
      <c r="AI62" s="175" t="e">
        <f t="shared" si="39"/>
        <v>#N/A</v>
      </c>
      <c r="AJ62" s="175" t="e">
        <f t="shared" si="40"/>
        <v>#N/A</v>
      </c>
      <c r="AK62" s="175" t="e">
        <f t="shared" si="41"/>
        <v>#N/A</v>
      </c>
      <c r="AL62" s="175" t="e">
        <f t="shared" si="42"/>
        <v>#N/A</v>
      </c>
      <c r="AM62" s="175" t="e">
        <f t="shared" si="43"/>
        <v>#N/A</v>
      </c>
      <c r="AN62" s="175" t="e">
        <f t="shared" si="44"/>
        <v>#N/A</v>
      </c>
      <c r="AO62" s="175" t="e">
        <f t="shared" si="45"/>
        <v>#N/A</v>
      </c>
      <c r="AP62" s="175" t="e">
        <f t="shared" si="46"/>
        <v>#N/A</v>
      </c>
      <c r="AQ62" s="165"/>
      <c r="AR62" s="173" t="e">
        <f t="shared" si="47"/>
        <v>#N/A</v>
      </c>
      <c r="AS62" s="173" t="e">
        <f t="shared" si="48"/>
        <v>#N/A</v>
      </c>
      <c r="AT62" s="173" t="e">
        <f t="shared" si="49"/>
        <v>#N/A</v>
      </c>
      <c r="AU62" s="173" t="e">
        <f t="shared" si="50"/>
        <v>#N/A</v>
      </c>
      <c r="AV62" s="173" t="e">
        <f t="shared" si="51"/>
        <v>#N/A</v>
      </c>
      <c r="AW62" s="173" t="e">
        <f t="shared" si="52"/>
        <v>#N/A</v>
      </c>
      <c r="AX62" s="173" t="e">
        <f t="shared" si="53"/>
        <v>#N/A</v>
      </c>
      <c r="AY62" s="173" t="e">
        <f t="shared" si="54"/>
        <v>#N/A</v>
      </c>
      <c r="AZ62" s="173" t="e">
        <f t="shared" si="55"/>
        <v>#N/A</v>
      </c>
      <c r="BA62" s="165"/>
      <c r="BB62" s="174" t="str">
        <f t="shared" si="19"/>
        <v>No MLR</v>
      </c>
    </row>
    <row r="63" spans="1:54" s="36" customFormat="1" ht="13.8" x14ac:dyDescent="0.3">
      <c r="A63" s="128" t="str">
        <f>_xlfn.XLOOKUP(B63,'Cuttof Mapping'!A:A,'Cuttof Mapping'!D:D)</f>
        <v>2024 Jan 1st</v>
      </c>
      <c r="B63" s="133">
        <v>45303</v>
      </c>
      <c r="C63" s="86" t="s">
        <v>282</v>
      </c>
      <c r="D63" s="79" t="s">
        <v>63</v>
      </c>
      <c r="E63" s="86">
        <v>4500866</v>
      </c>
      <c r="F63" s="86" t="s">
        <v>91</v>
      </c>
      <c r="G63" s="86" t="s">
        <v>283</v>
      </c>
      <c r="H63" s="86">
        <v>10001035</v>
      </c>
      <c r="I63" s="86" t="s">
        <v>90</v>
      </c>
      <c r="J63" s="86">
        <v>1680000735675</v>
      </c>
      <c r="K63" s="86" t="s">
        <v>54</v>
      </c>
      <c r="L63" s="86" t="s">
        <v>284</v>
      </c>
      <c r="M63" s="173">
        <f>IF(G63="","",ABS(SUMIFS('System(MB51)'!$K:$K,'System(MB51)'!$L:$L,'Checking(ZSERIALS)'!$J63,'System(MB51)'!$O:$O,'Checking(ZSERIALS)'!$L63,'System(MB51)'!$A:$A,'Checking(ZSERIALS)'!M$3)))</f>
        <v>0</v>
      </c>
      <c r="N63" s="173">
        <f>IF(H63="","",ABS(SUMIFS('System(MB51)'!$K:$K,'System(MB51)'!$L:$L,'Checking(ZSERIALS)'!$J63,'System(MB51)'!$O:$O,'Checking(ZSERIALS)'!$L63,'System(MB51)'!$A:$A,'Checking(ZSERIALS)'!N$3)))</f>
        <v>0</v>
      </c>
      <c r="O63" s="173">
        <f>IF(I63="","",ABS(SUMIFS('System(MB51)'!$K:$K,'System(MB51)'!$L:$L,'Checking(ZSERIALS)'!$J63,'System(MB51)'!$O:$O,'Checking(ZSERIALS)'!$L63,'System(MB51)'!$A:$A,'Checking(ZSERIALS)'!O$3)))</f>
        <v>0</v>
      </c>
      <c r="P63" s="173">
        <f>IF(J63="","",ABS(SUMIFS('System(MB51)'!$K:$K,'System(MB51)'!$L:$L,'Checking(ZSERIALS)'!$J63,'System(MB51)'!$O:$O,'Checking(ZSERIALS)'!$L63,'System(MB51)'!$A:$A,'Checking(ZSERIALS)'!P$3)))</f>
        <v>1</v>
      </c>
      <c r="Q63" s="173">
        <f>IF(K63="","",ABS(SUMIFS('System(MB51)'!$K:$K,'System(MB51)'!$L:$L,'Checking(ZSERIALS)'!$J63,'System(MB51)'!$O:$O,'Checking(ZSERIALS)'!$L63,'System(MB51)'!$A:$A,'Checking(ZSERIALS)'!Q$3)))</f>
        <v>0</v>
      </c>
      <c r="R63" s="173">
        <f>IF(L63="","",ABS(SUMIFS('System(MB51)'!$K:$K,'System(MB51)'!$L:$L,'Checking(ZSERIALS)'!$J63,'System(MB51)'!$O:$O,'Checking(ZSERIALS)'!$L63,'System(MB51)'!$A:$A,'Checking(ZSERIALS)'!R$3)))</f>
        <v>0</v>
      </c>
      <c r="S63" s="173">
        <f>IF(M63="","",ABS(SUMIFS('System(MB51)'!$K:$K,'System(MB51)'!$L:$L,'Checking(ZSERIALS)'!$J63,'System(MB51)'!$O:$O,'Checking(ZSERIALS)'!$L63,'System(MB51)'!$A:$A,'Checking(ZSERIALS)'!S$3)))</f>
        <v>0</v>
      </c>
      <c r="T63" s="173">
        <f>IF(N63="","",ABS(SUMIFS('System(MB51)'!$K:$K,'System(MB51)'!$L:$L,'Checking(ZSERIALS)'!$J63,'System(MB51)'!$O:$O,'Checking(ZSERIALS)'!$L63,'System(MB51)'!$A:$A,'Checking(ZSERIALS)'!T$3)))</f>
        <v>0</v>
      </c>
      <c r="U63" s="173">
        <f>IF(O63="","",ABS(SUMIFS('System(MB51)'!$K:$K,'System(MB51)'!$L:$L,'Checking(ZSERIALS)'!$J63,'System(MB51)'!$O:$O,'Checking(ZSERIALS)'!$L63,'System(MB51)'!$A:$A,'Checking(ZSERIALS)'!U$3)))</f>
        <v>0</v>
      </c>
      <c r="V63" s="165"/>
      <c r="W63" s="173" t="e">
        <f>IF($G63="","",INDEX(MLR!$1:$1048576,MATCH($G63,MLR!$J:$J,0),MATCH(W$3,MLR!$1:$1,0)))</f>
        <v>#N/A</v>
      </c>
      <c r="X63" s="173" t="e">
        <f>IF($G63="","",INDEX(MLR!$1:$1048576,MATCH($G63,MLR!$J:$J,0),MATCH(X$3,MLR!$1:$1,0)))</f>
        <v>#N/A</v>
      </c>
      <c r="Y63" s="173" t="e">
        <f>IF($G63="","",INDEX(MLR!$1:$1048576,MATCH($G63,MLR!$J:$J,0),MATCH(Y$3,MLR!$1:$1,0)))</f>
        <v>#N/A</v>
      </c>
      <c r="Z63" s="173" t="e">
        <f>IF($G63="","",INDEX(MLR!$1:$1048576,MATCH($G63,MLR!$J:$J,0),MATCH(Z$3,MLR!$1:$1,0)))</f>
        <v>#N/A</v>
      </c>
      <c r="AA63" s="173" t="e">
        <f>IF($G63="","",INDEX(MLR!$1:$1048576,MATCH($G63,MLR!$J:$J,0),MATCH(AA$3,MLR!$1:$1,0)))</f>
        <v>#N/A</v>
      </c>
      <c r="AB63" s="173" t="e">
        <f>IF($G63="","",INDEX(MLR!$1:$1048576,MATCH($G63,MLR!$J:$J,0),MATCH(AB$3,MLR!$1:$1,0)))</f>
        <v>#N/A</v>
      </c>
      <c r="AC63" s="173" t="e">
        <f>IF($G63="","",INDEX(MLR!$1:$1048576,MATCH($G63,MLR!$J:$J,0),MATCH(AC$3,MLR!$1:$1,0)))</f>
        <v>#N/A</v>
      </c>
      <c r="AD63" s="173" t="e">
        <f>IF($G63="","",INDEX(MLR!$1:$1048576,MATCH($G63,MLR!$J:$J,0),MATCH(AD$3,MLR!$1:$1,0)))</f>
        <v>#N/A</v>
      </c>
      <c r="AE63" s="173" t="e">
        <f>IF($G63="","",INDEX(MLR!$1:$1048576,MATCH($G63,MLR!$J:$J,0),MATCH(AE$3,MLR!$1:$1,0)))</f>
        <v>#N/A</v>
      </c>
      <c r="AF63" s="174" t="str">
        <f>IF(G63="","",IFERROR(IF(MATCH($G63,MLR!$J:$J,0)&gt;0,"Installed","Not Found"),"Not Found"))</f>
        <v>Not Found</v>
      </c>
      <c r="AG63" s="165"/>
      <c r="AH63" s="175" t="e">
        <f t="shared" si="38"/>
        <v>#N/A</v>
      </c>
      <c r="AI63" s="175" t="e">
        <f t="shared" si="39"/>
        <v>#N/A</v>
      </c>
      <c r="AJ63" s="175" t="e">
        <f t="shared" si="40"/>
        <v>#N/A</v>
      </c>
      <c r="AK63" s="175" t="e">
        <f t="shared" si="41"/>
        <v>#N/A</v>
      </c>
      <c r="AL63" s="175" t="e">
        <f t="shared" si="42"/>
        <v>#N/A</v>
      </c>
      <c r="AM63" s="175" t="e">
        <f t="shared" si="43"/>
        <v>#N/A</v>
      </c>
      <c r="AN63" s="175" t="e">
        <f t="shared" si="44"/>
        <v>#N/A</v>
      </c>
      <c r="AO63" s="175" t="e">
        <f t="shared" si="45"/>
        <v>#N/A</v>
      </c>
      <c r="AP63" s="175" t="e">
        <f t="shared" si="46"/>
        <v>#N/A</v>
      </c>
      <c r="AQ63" s="165"/>
      <c r="AR63" s="173" t="e">
        <f t="shared" si="47"/>
        <v>#N/A</v>
      </c>
      <c r="AS63" s="173" t="e">
        <f t="shared" si="48"/>
        <v>#N/A</v>
      </c>
      <c r="AT63" s="173" t="e">
        <f t="shared" si="49"/>
        <v>#N/A</v>
      </c>
      <c r="AU63" s="173" t="e">
        <f t="shared" si="50"/>
        <v>#N/A</v>
      </c>
      <c r="AV63" s="173" t="e">
        <f t="shared" si="51"/>
        <v>#N/A</v>
      </c>
      <c r="AW63" s="173" t="e">
        <f t="shared" si="52"/>
        <v>#N/A</v>
      </c>
      <c r="AX63" s="173" t="e">
        <f t="shared" si="53"/>
        <v>#N/A</v>
      </c>
      <c r="AY63" s="173" t="e">
        <f t="shared" si="54"/>
        <v>#N/A</v>
      </c>
      <c r="AZ63" s="173" t="e">
        <f t="shared" si="55"/>
        <v>#N/A</v>
      </c>
      <c r="BA63" s="165"/>
      <c r="BB63" s="174" t="str">
        <f t="shared" si="19"/>
        <v>No MLR</v>
      </c>
    </row>
    <row r="64" spans="1:54" s="36" customFormat="1" ht="13.8" x14ac:dyDescent="0.3">
      <c r="A64" s="128" t="str">
        <f>_xlfn.XLOOKUP(B64,'Cuttof Mapping'!A:A,'Cuttof Mapping'!D:D)</f>
        <v>2024 Jan 1st</v>
      </c>
      <c r="B64" s="133">
        <v>45304</v>
      </c>
      <c r="C64" s="86" t="s">
        <v>285</v>
      </c>
      <c r="D64" s="79" t="s">
        <v>63</v>
      </c>
      <c r="E64" s="86">
        <v>4500866</v>
      </c>
      <c r="F64" s="86" t="s">
        <v>91</v>
      </c>
      <c r="G64" s="86" t="s">
        <v>286</v>
      </c>
      <c r="H64" s="86">
        <v>10001035</v>
      </c>
      <c r="I64" s="86" t="s">
        <v>90</v>
      </c>
      <c r="J64" s="86">
        <v>1680000725181</v>
      </c>
      <c r="K64" s="86" t="s">
        <v>54</v>
      </c>
      <c r="L64" s="86" t="s">
        <v>287</v>
      </c>
      <c r="M64" s="173">
        <f>IF(G64="","",ABS(SUMIFS('System(MB51)'!$K:$K,'System(MB51)'!$L:$L,'Checking(ZSERIALS)'!$J64,'System(MB51)'!$O:$O,'Checking(ZSERIALS)'!$L64,'System(MB51)'!$A:$A,'Checking(ZSERIALS)'!M$3)))</f>
        <v>0</v>
      </c>
      <c r="N64" s="173">
        <f>IF(H64="","",ABS(SUMIFS('System(MB51)'!$K:$K,'System(MB51)'!$L:$L,'Checking(ZSERIALS)'!$J64,'System(MB51)'!$O:$O,'Checking(ZSERIALS)'!$L64,'System(MB51)'!$A:$A,'Checking(ZSERIALS)'!N$3)))</f>
        <v>2</v>
      </c>
      <c r="O64" s="173">
        <f>IF(I64="","",ABS(SUMIFS('System(MB51)'!$K:$K,'System(MB51)'!$L:$L,'Checking(ZSERIALS)'!$J64,'System(MB51)'!$O:$O,'Checking(ZSERIALS)'!$L64,'System(MB51)'!$A:$A,'Checking(ZSERIALS)'!O$3)))</f>
        <v>0</v>
      </c>
      <c r="P64" s="173">
        <f>IF(J64="","",ABS(SUMIFS('System(MB51)'!$K:$K,'System(MB51)'!$L:$L,'Checking(ZSERIALS)'!$J64,'System(MB51)'!$O:$O,'Checking(ZSERIALS)'!$L64,'System(MB51)'!$A:$A,'Checking(ZSERIALS)'!P$3)))</f>
        <v>1</v>
      </c>
      <c r="Q64" s="173">
        <f>IF(K64="","",ABS(SUMIFS('System(MB51)'!$K:$K,'System(MB51)'!$L:$L,'Checking(ZSERIALS)'!$J64,'System(MB51)'!$O:$O,'Checking(ZSERIALS)'!$L64,'System(MB51)'!$A:$A,'Checking(ZSERIALS)'!Q$3)))</f>
        <v>0</v>
      </c>
      <c r="R64" s="173">
        <f>IF(L64="","",ABS(SUMIFS('System(MB51)'!$K:$K,'System(MB51)'!$L:$L,'Checking(ZSERIALS)'!$J64,'System(MB51)'!$O:$O,'Checking(ZSERIALS)'!$L64,'System(MB51)'!$A:$A,'Checking(ZSERIALS)'!R$3)))</f>
        <v>0</v>
      </c>
      <c r="S64" s="173">
        <f>IF(M64="","",ABS(SUMIFS('System(MB51)'!$K:$K,'System(MB51)'!$L:$L,'Checking(ZSERIALS)'!$J64,'System(MB51)'!$O:$O,'Checking(ZSERIALS)'!$L64,'System(MB51)'!$A:$A,'Checking(ZSERIALS)'!S$3)))</f>
        <v>3</v>
      </c>
      <c r="T64" s="173">
        <f>IF(N64="","",ABS(SUMIFS('System(MB51)'!$K:$K,'System(MB51)'!$L:$L,'Checking(ZSERIALS)'!$J64,'System(MB51)'!$O:$O,'Checking(ZSERIALS)'!$L64,'System(MB51)'!$A:$A,'Checking(ZSERIALS)'!T$3)))</f>
        <v>1</v>
      </c>
      <c r="U64" s="173">
        <f>IF(O64="","",ABS(SUMIFS('System(MB51)'!$K:$K,'System(MB51)'!$L:$L,'Checking(ZSERIALS)'!$J64,'System(MB51)'!$O:$O,'Checking(ZSERIALS)'!$L64,'System(MB51)'!$A:$A,'Checking(ZSERIALS)'!U$3)))</f>
        <v>10</v>
      </c>
      <c r="V64" s="165"/>
      <c r="W64" s="173" t="e">
        <f>IF($G64="","",INDEX(MLR!$1:$1048576,MATCH($G64,MLR!$J:$J,0),MATCH(W$3,MLR!$1:$1,0)))</f>
        <v>#N/A</v>
      </c>
      <c r="X64" s="173" t="e">
        <f>IF($G64="","",INDEX(MLR!$1:$1048576,MATCH($G64,MLR!$J:$J,0),MATCH(X$3,MLR!$1:$1,0)))</f>
        <v>#N/A</v>
      </c>
      <c r="Y64" s="173" t="e">
        <f>IF($G64="","",INDEX(MLR!$1:$1048576,MATCH($G64,MLR!$J:$J,0),MATCH(Y$3,MLR!$1:$1,0)))</f>
        <v>#N/A</v>
      </c>
      <c r="Z64" s="173" t="e">
        <f>IF($G64="","",INDEX(MLR!$1:$1048576,MATCH($G64,MLR!$J:$J,0),MATCH(Z$3,MLR!$1:$1,0)))</f>
        <v>#N/A</v>
      </c>
      <c r="AA64" s="173" t="e">
        <f>IF($G64="","",INDEX(MLR!$1:$1048576,MATCH($G64,MLR!$J:$J,0),MATCH(AA$3,MLR!$1:$1,0)))</f>
        <v>#N/A</v>
      </c>
      <c r="AB64" s="173" t="e">
        <f>IF($G64="","",INDEX(MLR!$1:$1048576,MATCH($G64,MLR!$J:$J,0),MATCH(AB$3,MLR!$1:$1,0)))</f>
        <v>#N/A</v>
      </c>
      <c r="AC64" s="173" t="e">
        <f>IF($G64="","",INDEX(MLR!$1:$1048576,MATCH($G64,MLR!$J:$J,0),MATCH(AC$3,MLR!$1:$1,0)))</f>
        <v>#N/A</v>
      </c>
      <c r="AD64" s="173" t="e">
        <f>IF($G64="","",INDEX(MLR!$1:$1048576,MATCH($G64,MLR!$J:$J,0),MATCH(AD$3,MLR!$1:$1,0)))</f>
        <v>#N/A</v>
      </c>
      <c r="AE64" s="173" t="e">
        <f>IF($G64="","",INDEX(MLR!$1:$1048576,MATCH($G64,MLR!$J:$J,0),MATCH(AE$3,MLR!$1:$1,0)))</f>
        <v>#N/A</v>
      </c>
      <c r="AF64" s="174" t="str">
        <f>IF(G64="","",IFERROR(IF(MATCH($G64,MLR!$J:$J,0)&gt;0,"Installed","Not Found"),"Not Found"))</f>
        <v>Not Found</v>
      </c>
      <c r="AG64" s="165"/>
      <c r="AH64" s="175" t="e">
        <f t="shared" si="38"/>
        <v>#N/A</v>
      </c>
      <c r="AI64" s="175" t="e">
        <f t="shared" si="39"/>
        <v>#N/A</v>
      </c>
      <c r="AJ64" s="175" t="e">
        <f t="shared" si="40"/>
        <v>#N/A</v>
      </c>
      <c r="AK64" s="175" t="e">
        <f t="shared" si="41"/>
        <v>#N/A</v>
      </c>
      <c r="AL64" s="175" t="e">
        <f t="shared" si="42"/>
        <v>#N/A</v>
      </c>
      <c r="AM64" s="175" t="e">
        <f t="shared" si="43"/>
        <v>#N/A</v>
      </c>
      <c r="AN64" s="175" t="e">
        <f t="shared" si="44"/>
        <v>#N/A</v>
      </c>
      <c r="AO64" s="175" t="e">
        <f t="shared" si="45"/>
        <v>#N/A</v>
      </c>
      <c r="AP64" s="175" t="e">
        <f t="shared" si="46"/>
        <v>#N/A</v>
      </c>
      <c r="AQ64" s="165"/>
      <c r="AR64" s="173" t="e">
        <f t="shared" si="47"/>
        <v>#N/A</v>
      </c>
      <c r="AS64" s="173" t="e">
        <f t="shared" si="48"/>
        <v>#N/A</v>
      </c>
      <c r="AT64" s="173" t="e">
        <f t="shared" si="49"/>
        <v>#N/A</v>
      </c>
      <c r="AU64" s="173" t="e">
        <f t="shared" si="50"/>
        <v>#N/A</v>
      </c>
      <c r="AV64" s="173" t="e">
        <f t="shared" si="51"/>
        <v>#N/A</v>
      </c>
      <c r="AW64" s="173" t="e">
        <f t="shared" si="52"/>
        <v>#N/A</v>
      </c>
      <c r="AX64" s="173" t="e">
        <f t="shared" si="53"/>
        <v>#N/A</v>
      </c>
      <c r="AY64" s="173" t="e">
        <f t="shared" si="54"/>
        <v>#N/A</v>
      </c>
      <c r="AZ64" s="173" t="e">
        <f t="shared" si="55"/>
        <v>#N/A</v>
      </c>
      <c r="BA64" s="165"/>
      <c r="BB64" s="174" t="str">
        <f t="shared" si="19"/>
        <v>No MLR</v>
      </c>
    </row>
    <row r="65" spans="1:54" s="36" customFormat="1" ht="13.8" x14ac:dyDescent="0.3">
      <c r="A65" s="128" t="str">
        <f>_xlfn.XLOOKUP(B65,'Cuttof Mapping'!A:A,'Cuttof Mapping'!D:D)</f>
        <v>2024 Jan 1st</v>
      </c>
      <c r="B65" s="133">
        <v>45304</v>
      </c>
      <c r="C65" s="86" t="s">
        <v>288</v>
      </c>
      <c r="D65" s="79" t="s">
        <v>63</v>
      </c>
      <c r="E65" s="86">
        <v>4500866</v>
      </c>
      <c r="F65" s="86" t="s">
        <v>91</v>
      </c>
      <c r="G65" s="86" t="s">
        <v>289</v>
      </c>
      <c r="H65" s="86">
        <v>10001035</v>
      </c>
      <c r="I65" s="86" t="s">
        <v>90</v>
      </c>
      <c r="J65" s="86">
        <v>1680000736512</v>
      </c>
      <c r="K65" s="86" t="s">
        <v>54</v>
      </c>
      <c r="L65" s="86" t="s">
        <v>290</v>
      </c>
      <c r="M65" s="173">
        <f>IF(G65="","",ABS(SUMIFS('System(MB51)'!$K:$K,'System(MB51)'!$L:$L,'Checking(ZSERIALS)'!$J65,'System(MB51)'!$O:$O,'Checking(ZSERIALS)'!$L65,'System(MB51)'!$A:$A,'Checking(ZSERIALS)'!M$3)))</f>
        <v>0</v>
      </c>
      <c r="N65" s="173">
        <f>IF(H65="","",ABS(SUMIFS('System(MB51)'!$K:$K,'System(MB51)'!$L:$L,'Checking(ZSERIALS)'!$J65,'System(MB51)'!$O:$O,'Checking(ZSERIALS)'!$L65,'System(MB51)'!$A:$A,'Checking(ZSERIALS)'!N$3)))</f>
        <v>0</v>
      </c>
      <c r="O65" s="173">
        <f>IF(I65="","",ABS(SUMIFS('System(MB51)'!$K:$K,'System(MB51)'!$L:$L,'Checking(ZSERIALS)'!$J65,'System(MB51)'!$O:$O,'Checking(ZSERIALS)'!$L65,'System(MB51)'!$A:$A,'Checking(ZSERIALS)'!O$3)))</f>
        <v>0</v>
      </c>
      <c r="P65" s="173">
        <f>IF(J65="","",ABS(SUMIFS('System(MB51)'!$K:$K,'System(MB51)'!$L:$L,'Checking(ZSERIALS)'!$J65,'System(MB51)'!$O:$O,'Checking(ZSERIALS)'!$L65,'System(MB51)'!$A:$A,'Checking(ZSERIALS)'!P$3)))</f>
        <v>0</v>
      </c>
      <c r="Q65" s="173">
        <f>IF(K65="","",ABS(SUMIFS('System(MB51)'!$K:$K,'System(MB51)'!$L:$L,'Checking(ZSERIALS)'!$J65,'System(MB51)'!$O:$O,'Checking(ZSERIALS)'!$L65,'System(MB51)'!$A:$A,'Checking(ZSERIALS)'!Q$3)))</f>
        <v>0</v>
      </c>
      <c r="R65" s="173">
        <f>IF(L65="","",ABS(SUMIFS('System(MB51)'!$K:$K,'System(MB51)'!$L:$L,'Checking(ZSERIALS)'!$J65,'System(MB51)'!$O:$O,'Checking(ZSERIALS)'!$L65,'System(MB51)'!$A:$A,'Checking(ZSERIALS)'!R$3)))</f>
        <v>0</v>
      </c>
      <c r="S65" s="173">
        <f>IF(M65="","",ABS(SUMIFS('System(MB51)'!$K:$K,'System(MB51)'!$L:$L,'Checking(ZSERIALS)'!$J65,'System(MB51)'!$O:$O,'Checking(ZSERIALS)'!$L65,'System(MB51)'!$A:$A,'Checking(ZSERIALS)'!S$3)))</f>
        <v>0</v>
      </c>
      <c r="T65" s="173">
        <f>IF(N65="","",ABS(SUMIFS('System(MB51)'!$K:$K,'System(MB51)'!$L:$L,'Checking(ZSERIALS)'!$J65,'System(MB51)'!$O:$O,'Checking(ZSERIALS)'!$L65,'System(MB51)'!$A:$A,'Checking(ZSERIALS)'!T$3)))</f>
        <v>1</v>
      </c>
      <c r="U65" s="173">
        <f>IF(O65="","",ABS(SUMIFS('System(MB51)'!$K:$K,'System(MB51)'!$L:$L,'Checking(ZSERIALS)'!$J65,'System(MB51)'!$O:$O,'Checking(ZSERIALS)'!$L65,'System(MB51)'!$A:$A,'Checking(ZSERIALS)'!U$3)))</f>
        <v>0</v>
      </c>
      <c r="V65" s="165"/>
      <c r="W65" s="173" t="e">
        <f>IF($G65="","",INDEX(MLR!$1:$1048576,MATCH($G65,MLR!$J:$J,0),MATCH(W$3,MLR!$1:$1,0)))</f>
        <v>#N/A</v>
      </c>
      <c r="X65" s="173" t="e">
        <f>IF($G65="","",INDEX(MLR!$1:$1048576,MATCH($G65,MLR!$J:$J,0),MATCH(X$3,MLR!$1:$1,0)))</f>
        <v>#N/A</v>
      </c>
      <c r="Y65" s="173" t="e">
        <f>IF($G65="","",INDEX(MLR!$1:$1048576,MATCH($G65,MLR!$J:$J,0),MATCH(Y$3,MLR!$1:$1,0)))</f>
        <v>#N/A</v>
      </c>
      <c r="Z65" s="173" t="e">
        <f>IF($G65="","",INDEX(MLR!$1:$1048576,MATCH($G65,MLR!$J:$J,0),MATCH(Z$3,MLR!$1:$1,0)))</f>
        <v>#N/A</v>
      </c>
      <c r="AA65" s="173" t="e">
        <f>IF($G65="","",INDEX(MLR!$1:$1048576,MATCH($G65,MLR!$J:$J,0),MATCH(AA$3,MLR!$1:$1,0)))</f>
        <v>#N/A</v>
      </c>
      <c r="AB65" s="173" t="e">
        <f>IF($G65="","",INDEX(MLR!$1:$1048576,MATCH($G65,MLR!$J:$J,0),MATCH(AB$3,MLR!$1:$1,0)))</f>
        <v>#N/A</v>
      </c>
      <c r="AC65" s="173" t="e">
        <f>IF($G65="","",INDEX(MLR!$1:$1048576,MATCH($G65,MLR!$J:$J,0),MATCH(AC$3,MLR!$1:$1,0)))</f>
        <v>#N/A</v>
      </c>
      <c r="AD65" s="173" t="e">
        <f>IF($G65="","",INDEX(MLR!$1:$1048576,MATCH($G65,MLR!$J:$J,0),MATCH(AD$3,MLR!$1:$1,0)))</f>
        <v>#N/A</v>
      </c>
      <c r="AE65" s="173" t="e">
        <f>IF($G65="","",INDEX(MLR!$1:$1048576,MATCH($G65,MLR!$J:$J,0),MATCH(AE$3,MLR!$1:$1,0)))</f>
        <v>#N/A</v>
      </c>
      <c r="AF65" s="174" t="str">
        <f>IF(G65="","",IFERROR(IF(MATCH($G65,MLR!$J:$J,0)&gt;0,"Installed","Not Found"),"Not Found"))</f>
        <v>Not Found</v>
      </c>
      <c r="AG65" s="165"/>
      <c r="AH65" s="175" t="e">
        <f t="shared" si="38"/>
        <v>#N/A</v>
      </c>
      <c r="AI65" s="175" t="e">
        <f t="shared" si="39"/>
        <v>#N/A</v>
      </c>
      <c r="AJ65" s="175" t="e">
        <f t="shared" si="40"/>
        <v>#N/A</v>
      </c>
      <c r="AK65" s="175" t="e">
        <f t="shared" si="41"/>
        <v>#N/A</v>
      </c>
      <c r="AL65" s="175" t="e">
        <f t="shared" si="42"/>
        <v>#N/A</v>
      </c>
      <c r="AM65" s="175" t="e">
        <f t="shared" si="43"/>
        <v>#N/A</v>
      </c>
      <c r="AN65" s="175" t="e">
        <f t="shared" si="44"/>
        <v>#N/A</v>
      </c>
      <c r="AO65" s="175" t="e">
        <f t="shared" si="45"/>
        <v>#N/A</v>
      </c>
      <c r="AP65" s="175" t="e">
        <f t="shared" si="46"/>
        <v>#N/A</v>
      </c>
      <c r="AQ65" s="165"/>
      <c r="AR65" s="173" t="e">
        <f t="shared" si="47"/>
        <v>#N/A</v>
      </c>
      <c r="AS65" s="173" t="e">
        <f t="shared" si="48"/>
        <v>#N/A</v>
      </c>
      <c r="AT65" s="173" t="e">
        <f t="shared" si="49"/>
        <v>#N/A</v>
      </c>
      <c r="AU65" s="173" t="e">
        <f t="shared" si="50"/>
        <v>#N/A</v>
      </c>
      <c r="AV65" s="173" t="e">
        <f t="shared" si="51"/>
        <v>#N/A</v>
      </c>
      <c r="AW65" s="173" t="e">
        <f t="shared" si="52"/>
        <v>#N/A</v>
      </c>
      <c r="AX65" s="173" t="e">
        <f t="shared" si="53"/>
        <v>#N/A</v>
      </c>
      <c r="AY65" s="173" t="e">
        <f t="shared" si="54"/>
        <v>#N/A</v>
      </c>
      <c r="AZ65" s="173" t="e">
        <f t="shared" si="55"/>
        <v>#N/A</v>
      </c>
      <c r="BA65" s="165"/>
      <c r="BB65" s="174" t="str">
        <f t="shared" si="19"/>
        <v>No MLR</v>
      </c>
    </row>
    <row r="66" spans="1:54" s="36" customFormat="1" ht="13.8" x14ac:dyDescent="0.3">
      <c r="A66" s="128" t="str">
        <f>_xlfn.XLOOKUP(B66,'Cuttof Mapping'!A:A,'Cuttof Mapping'!D:D)</f>
        <v>2024 Jan 1st</v>
      </c>
      <c r="B66" s="133">
        <v>45305</v>
      </c>
      <c r="C66" s="86" t="s">
        <v>291</v>
      </c>
      <c r="D66" s="79" t="s">
        <v>63</v>
      </c>
      <c r="E66" s="86">
        <v>4500866</v>
      </c>
      <c r="F66" s="86" t="s">
        <v>91</v>
      </c>
      <c r="G66" s="86" t="s">
        <v>292</v>
      </c>
      <c r="H66" s="86">
        <v>10001035</v>
      </c>
      <c r="I66" s="86" t="s">
        <v>90</v>
      </c>
      <c r="J66" s="86">
        <v>1680000740218</v>
      </c>
      <c r="K66" s="86" t="s">
        <v>54</v>
      </c>
      <c r="L66" s="86" t="s">
        <v>293</v>
      </c>
      <c r="M66" s="173">
        <f>IF(G66="","",ABS(SUMIFS('System(MB51)'!$K:$K,'System(MB51)'!$L:$L,'Checking(ZSERIALS)'!$J66,'System(MB51)'!$O:$O,'Checking(ZSERIALS)'!$L66,'System(MB51)'!$A:$A,'Checking(ZSERIALS)'!M$3)))</f>
        <v>0</v>
      </c>
      <c r="N66" s="173">
        <f>IF(H66="","",ABS(SUMIFS('System(MB51)'!$K:$K,'System(MB51)'!$L:$L,'Checking(ZSERIALS)'!$J66,'System(MB51)'!$O:$O,'Checking(ZSERIALS)'!$L66,'System(MB51)'!$A:$A,'Checking(ZSERIALS)'!N$3)))</f>
        <v>0</v>
      </c>
      <c r="O66" s="173">
        <f>IF(I66="","",ABS(SUMIFS('System(MB51)'!$K:$K,'System(MB51)'!$L:$L,'Checking(ZSERIALS)'!$J66,'System(MB51)'!$O:$O,'Checking(ZSERIALS)'!$L66,'System(MB51)'!$A:$A,'Checking(ZSERIALS)'!O$3)))</f>
        <v>0</v>
      </c>
      <c r="P66" s="173">
        <f>IF(J66="","",ABS(SUMIFS('System(MB51)'!$K:$K,'System(MB51)'!$L:$L,'Checking(ZSERIALS)'!$J66,'System(MB51)'!$O:$O,'Checking(ZSERIALS)'!$L66,'System(MB51)'!$A:$A,'Checking(ZSERIALS)'!P$3)))</f>
        <v>1</v>
      </c>
      <c r="Q66" s="173">
        <f>IF(K66="","",ABS(SUMIFS('System(MB51)'!$K:$K,'System(MB51)'!$L:$L,'Checking(ZSERIALS)'!$J66,'System(MB51)'!$O:$O,'Checking(ZSERIALS)'!$L66,'System(MB51)'!$A:$A,'Checking(ZSERIALS)'!Q$3)))</f>
        <v>0</v>
      </c>
      <c r="R66" s="173">
        <f>IF(L66="","",ABS(SUMIFS('System(MB51)'!$K:$K,'System(MB51)'!$L:$L,'Checking(ZSERIALS)'!$J66,'System(MB51)'!$O:$O,'Checking(ZSERIALS)'!$L66,'System(MB51)'!$A:$A,'Checking(ZSERIALS)'!R$3)))</f>
        <v>0</v>
      </c>
      <c r="S66" s="173">
        <f>IF(M66="","",ABS(SUMIFS('System(MB51)'!$K:$K,'System(MB51)'!$L:$L,'Checking(ZSERIALS)'!$J66,'System(MB51)'!$O:$O,'Checking(ZSERIALS)'!$L66,'System(MB51)'!$A:$A,'Checking(ZSERIALS)'!S$3)))</f>
        <v>0</v>
      </c>
      <c r="T66" s="173">
        <f>IF(N66="","",ABS(SUMIFS('System(MB51)'!$K:$K,'System(MB51)'!$L:$L,'Checking(ZSERIALS)'!$J66,'System(MB51)'!$O:$O,'Checking(ZSERIALS)'!$L66,'System(MB51)'!$A:$A,'Checking(ZSERIALS)'!T$3)))</f>
        <v>0</v>
      </c>
      <c r="U66" s="173">
        <f>IF(O66="","",ABS(SUMIFS('System(MB51)'!$K:$K,'System(MB51)'!$L:$L,'Checking(ZSERIALS)'!$J66,'System(MB51)'!$O:$O,'Checking(ZSERIALS)'!$L66,'System(MB51)'!$A:$A,'Checking(ZSERIALS)'!U$3)))</f>
        <v>0</v>
      </c>
      <c r="V66" s="165"/>
      <c r="W66" s="173" t="e">
        <f>IF($G66="","",INDEX(MLR!$1:$1048576,MATCH($G66,MLR!$J:$J,0),MATCH(W$3,MLR!$1:$1,0)))</f>
        <v>#N/A</v>
      </c>
      <c r="X66" s="173" t="e">
        <f>IF($G66="","",INDEX(MLR!$1:$1048576,MATCH($G66,MLR!$J:$J,0),MATCH(X$3,MLR!$1:$1,0)))</f>
        <v>#N/A</v>
      </c>
      <c r="Y66" s="173" t="e">
        <f>IF($G66="","",INDEX(MLR!$1:$1048576,MATCH($G66,MLR!$J:$J,0),MATCH(Y$3,MLR!$1:$1,0)))</f>
        <v>#N/A</v>
      </c>
      <c r="Z66" s="173" t="e">
        <f>IF($G66="","",INDEX(MLR!$1:$1048576,MATCH($G66,MLR!$J:$J,0),MATCH(Z$3,MLR!$1:$1,0)))</f>
        <v>#N/A</v>
      </c>
      <c r="AA66" s="173" t="e">
        <f>IF($G66="","",INDEX(MLR!$1:$1048576,MATCH($G66,MLR!$J:$J,0),MATCH(AA$3,MLR!$1:$1,0)))</f>
        <v>#N/A</v>
      </c>
      <c r="AB66" s="173" t="e">
        <f>IF($G66="","",INDEX(MLR!$1:$1048576,MATCH($G66,MLR!$J:$J,0),MATCH(AB$3,MLR!$1:$1,0)))</f>
        <v>#N/A</v>
      </c>
      <c r="AC66" s="173" t="e">
        <f>IF($G66="","",INDEX(MLR!$1:$1048576,MATCH($G66,MLR!$J:$J,0),MATCH(AC$3,MLR!$1:$1,0)))</f>
        <v>#N/A</v>
      </c>
      <c r="AD66" s="173" t="e">
        <f>IF($G66="","",INDEX(MLR!$1:$1048576,MATCH($G66,MLR!$J:$J,0),MATCH(AD$3,MLR!$1:$1,0)))</f>
        <v>#N/A</v>
      </c>
      <c r="AE66" s="173" t="e">
        <f>IF($G66="","",INDEX(MLR!$1:$1048576,MATCH($G66,MLR!$J:$J,0),MATCH(AE$3,MLR!$1:$1,0)))</f>
        <v>#N/A</v>
      </c>
      <c r="AF66" s="174" t="str">
        <f>IF(G66="","",IFERROR(IF(MATCH($G66,MLR!$J:$J,0)&gt;0,"Installed","Not Found"),"Not Found"))</f>
        <v>Not Found</v>
      </c>
      <c r="AG66" s="165"/>
      <c r="AH66" s="175" t="e">
        <f t="shared" si="38"/>
        <v>#N/A</v>
      </c>
      <c r="AI66" s="175" t="e">
        <f t="shared" si="39"/>
        <v>#N/A</v>
      </c>
      <c r="AJ66" s="175" t="e">
        <f t="shared" si="40"/>
        <v>#N/A</v>
      </c>
      <c r="AK66" s="175" t="e">
        <f t="shared" si="41"/>
        <v>#N/A</v>
      </c>
      <c r="AL66" s="175" t="e">
        <f t="shared" si="42"/>
        <v>#N/A</v>
      </c>
      <c r="AM66" s="175" t="e">
        <f t="shared" si="43"/>
        <v>#N/A</v>
      </c>
      <c r="AN66" s="175" t="e">
        <f t="shared" si="44"/>
        <v>#N/A</v>
      </c>
      <c r="AO66" s="175" t="e">
        <f t="shared" si="45"/>
        <v>#N/A</v>
      </c>
      <c r="AP66" s="175" t="e">
        <f t="shared" si="46"/>
        <v>#N/A</v>
      </c>
      <c r="AQ66" s="165"/>
      <c r="AR66" s="173" t="e">
        <f t="shared" si="47"/>
        <v>#N/A</v>
      </c>
      <c r="AS66" s="173" t="e">
        <f t="shared" si="48"/>
        <v>#N/A</v>
      </c>
      <c r="AT66" s="173" t="e">
        <f t="shared" si="49"/>
        <v>#N/A</v>
      </c>
      <c r="AU66" s="173" t="e">
        <f t="shared" si="50"/>
        <v>#N/A</v>
      </c>
      <c r="AV66" s="173" t="e">
        <f t="shared" si="51"/>
        <v>#N/A</v>
      </c>
      <c r="AW66" s="173" t="e">
        <f t="shared" si="52"/>
        <v>#N/A</v>
      </c>
      <c r="AX66" s="173" t="e">
        <f t="shared" si="53"/>
        <v>#N/A</v>
      </c>
      <c r="AY66" s="173" t="e">
        <f t="shared" si="54"/>
        <v>#N/A</v>
      </c>
      <c r="AZ66" s="173" t="e">
        <f t="shared" si="55"/>
        <v>#N/A</v>
      </c>
      <c r="BA66" s="165"/>
      <c r="BB66" s="174" t="str">
        <f t="shared" si="19"/>
        <v>No MLR</v>
      </c>
    </row>
    <row r="67" spans="1:54" s="36" customFormat="1" ht="13.8" x14ac:dyDescent="0.3">
      <c r="A67" s="128" t="str">
        <f>_xlfn.XLOOKUP(B67,'Cuttof Mapping'!A:A,'Cuttof Mapping'!D:D)</f>
        <v>2024 Jan 1st</v>
      </c>
      <c r="B67" s="133">
        <v>45305</v>
      </c>
      <c r="C67" s="86" t="s">
        <v>294</v>
      </c>
      <c r="D67" s="79" t="s">
        <v>63</v>
      </c>
      <c r="E67" s="86">
        <v>4500866</v>
      </c>
      <c r="F67" s="86" t="s">
        <v>91</v>
      </c>
      <c r="G67" s="86" t="s">
        <v>295</v>
      </c>
      <c r="H67" s="86">
        <v>10001035</v>
      </c>
      <c r="I67" s="86" t="s">
        <v>90</v>
      </c>
      <c r="J67" s="86">
        <v>1680000735112</v>
      </c>
      <c r="K67" s="86" t="s">
        <v>54</v>
      </c>
      <c r="L67" s="86" t="s">
        <v>296</v>
      </c>
      <c r="M67" s="173">
        <f>IF(G67="","",ABS(SUMIFS('System(MB51)'!$K:$K,'System(MB51)'!$L:$L,'Checking(ZSERIALS)'!$J67,'System(MB51)'!$O:$O,'Checking(ZSERIALS)'!$L67,'System(MB51)'!$A:$A,'Checking(ZSERIALS)'!M$3)))</f>
        <v>0</v>
      </c>
      <c r="N67" s="173">
        <f>IF(H67="","",ABS(SUMIFS('System(MB51)'!$K:$K,'System(MB51)'!$L:$L,'Checking(ZSERIALS)'!$J67,'System(MB51)'!$O:$O,'Checking(ZSERIALS)'!$L67,'System(MB51)'!$A:$A,'Checking(ZSERIALS)'!N$3)))</f>
        <v>2</v>
      </c>
      <c r="O67" s="173">
        <f>IF(I67="","",ABS(SUMIFS('System(MB51)'!$K:$K,'System(MB51)'!$L:$L,'Checking(ZSERIALS)'!$J67,'System(MB51)'!$O:$O,'Checking(ZSERIALS)'!$L67,'System(MB51)'!$A:$A,'Checking(ZSERIALS)'!O$3)))</f>
        <v>0</v>
      </c>
      <c r="P67" s="173">
        <f>IF(J67="","",ABS(SUMIFS('System(MB51)'!$K:$K,'System(MB51)'!$L:$L,'Checking(ZSERIALS)'!$J67,'System(MB51)'!$O:$O,'Checking(ZSERIALS)'!$L67,'System(MB51)'!$A:$A,'Checking(ZSERIALS)'!P$3)))</f>
        <v>1</v>
      </c>
      <c r="Q67" s="173">
        <f>IF(K67="","",ABS(SUMIFS('System(MB51)'!$K:$K,'System(MB51)'!$L:$L,'Checking(ZSERIALS)'!$J67,'System(MB51)'!$O:$O,'Checking(ZSERIALS)'!$L67,'System(MB51)'!$A:$A,'Checking(ZSERIALS)'!Q$3)))</f>
        <v>0</v>
      </c>
      <c r="R67" s="173">
        <f>IF(L67="","",ABS(SUMIFS('System(MB51)'!$K:$K,'System(MB51)'!$L:$L,'Checking(ZSERIALS)'!$J67,'System(MB51)'!$O:$O,'Checking(ZSERIALS)'!$L67,'System(MB51)'!$A:$A,'Checking(ZSERIALS)'!R$3)))</f>
        <v>0</v>
      </c>
      <c r="S67" s="173">
        <f>IF(M67="","",ABS(SUMIFS('System(MB51)'!$K:$K,'System(MB51)'!$L:$L,'Checking(ZSERIALS)'!$J67,'System(MB51)'!$O:$O,'Checking(ZSERIALS)'!$L67,'System(MB51)'!$A:$A,'Checking(ZSERIALS)'!S$3)))</f>
        <v>8</v>
      </c>
      <c r="T67" s="173">
        <f>IF(N67="","",ABS(SUMIFS('System(MB51)'!$K:$K,'System(MB51)'!$L:$L,'Checking(ZSERIALS)'!$J67,'System(MB51)'!$O:$O,'Checking(ZSERIALS)'!$L67,'System(MB51)'!$A:$A,'Checking(ZSERIALS)'!T$3)))</f>
        <v>1</v>
      </c>
      <c r="U67" s="173">
        <f>IF(O67="","",ABS(SUMIFS('System(MB51)'!$K:$K,'System(MB51)'!$L:$L,'Checking(ZSERIALS)'!$J67,'System(MB51)'!$O:$O,'Checking(ZSERIALS)'!$L67,'System(MB51)'!$A:$A,'Checking(ZSERIALS)'!U$3)))</f>
        <v>8</v>
      </c>
      <c r="V67" s="165"/>
      <c r="W67" s="173" t="e">
        <f>IF($G67="","",INDEX(MLR!$1:$1048576,MATCH($G67,MLR!$J:$J,0),MATCH(W$3,MLR!$1:$1,0)))</f>
        <v>#N/A</v>
      </c>
      <c r="X67" s="173" t="e">
        <f>IF($G67="","",INDEX(MLR!$1:$1048576,MATCH($G67,MLR!$J:$J,0),MATCH(X$3,MLR!$1:$1,0)))</f>
        <v>#N/A</v>
      </c>
      <c r="Y67" s="173" t="e">
        <f>IF($G67="","",INDEX(MLR!$1:$1048576,MATCH($G67,MLR!$J:$J,0),MATCH(Y$3,MLR!$1:$1,0)))</f>
        <v>#N/A</v>
      </c>
      <c r="Z67" s="173" t="e">
        <f>IF($G67="","",INDEX(MLR!$1:$1048576,MATCH($G67,MLR!$J:$J,0),MATCH(Z$3,MLR!$1:$1,0)))</f>
        <v>#N/A</v>
      </c>
      <c r="AA67" s="173" t="e">
        <f>IF($G67="","",INDEX(MLR!$1:$1048576,MATCH($G67,MLR!$J:$J,0),MATCH(AA$3,MLR!$1:$1,0)))</f>
        <v>#N/A</v>
      </c>
      <c r="AB67" s="173" t="e">
        <f>IF($G67="","",INDEX(MLR!$1:$1048576,MATCH($G67,MLR!$J:$J,0),MATCH(AB$3,MLR!$1:$1,0)))</f>
        <v>#N/A</v>
      </c>
      <c r="AC67" s="173" t="e">
        <f>IF($G67="","",INDEX(MLR!$1:$1048576,MATCH($G67,MLR!$J:$J,0),MATCH(AC$3,MLR!$1:$1,0)))</f>
        <v>#N/A</v>
      </c>
      <c r="AD67" s="173" t="e">
        <f>IF($G67="","",INDEX(MLR!$1:$1048576,MATCH($G67,MLR!$J:$J,0),MATCH(AD$3,MLR!$1:$1,0)))</f>
        <v>#N/A</v>
      </c>
      <c r="AE67" s="173" t="e">
        <f>IF($G67="","",INDEX(MLR!$1:$1048576,MATCH($G67,MLR!$J:$J,0),MATCH(AE$3,MLR!$1:$1,0)))</f>
        <v>#N/A</v>
      </c>
      <c r="AF67" s="174" t="str">
        <f>IF(G67="","",IFERROR(IF(MATCH($G67,MLR!$J:$J,0)&gt;0,"Installed","Not Found"),"Not Found"))</f>
        <v>Not Found</v>
      </c>
      <c r="AG67" s="165"/>
      <c r="AH67" s="175" t="e">
        <f t="shared" si="38"/>
        <v>#N/A</v>
      </c>
      <c r="AI67" s="175" t="e">
        <f t="shared" si="39"/>
        <v>#N/A</v>
      </c>
      <c r="AJ67" s="175" t="e">
        <f t="shared" si="40"/>
        <v>#N/A</v>
      </c>
      <c r="AK67" s="175" t="e">
        <f t="shared" si="41"/>
        <v>#N/A</v>
      </c>
      <c r="AL67" s="175" t="e">
        <f t="shared" si="42"/>
        <v>#N/A</v>
      </c>
      <c r="AM67" s="175" t="e">
        <f t="shared" si="43"/>
        <v>#N/A</v>
      </c>
      <c r="AN67" s="175" t="e">
        <f t="shared" si="44"/>
        <v>#N/A</v>
      </c>
      <c r="AO67" s="175" t="e">
        <f t="shared" si="45"/>
        <v>#N/A</v>
      </c>
      <c r="AP67" s="175" t="e">
        <f t="shared" si="46"/>
        <v>#N/A</v>
      </c>
      <c r="AQ67" s="165"/>
      <c r="AR67" s="173" t="e">
        <f t="shared" si="47"/>
        <v>#N/A</v>
      </c>
      <c r="AS67" s="173" t="e">
        <f t="shared" si="48"/>
        <v>#N/A</v>
      </c>
      <c r="AT67" s="173" t="e">
        <f t="shared" si="49"/>
        <v>#N/A</v>
      </c>
      <c r="AU67" s="173" t="e">
        <f t="shared" si="50"/>
        <v>#N/A</v>
      </c>
      <c r="AV67" s="173" t="e">
        <f t="shared" si="51"/>
        <v>#N/A</v>
      </c>
      <c r="AW67" s="173" t="e">
        <f t="shared" si="52"/>
        <v>#N/A</v>
      </c>
      <c r="AX67" s="173" t="e">
        <f t="shared" si="53"/>
        <v>#N/A</v>
      </c>
      <c r="AY67" s="173" t="e">
        <f t="shared" si="54"/>
        <v>#N/A</v>
      </c>
      <c r="AZ67" s="173" t="e">
        <f t="shared" si="55"/>
        <v>#N/A</v>
      </c>
      <c r="BA67" s="165"/>
      <c r="BB67" s="174" t="str">
        <f t="shared" si="19"/>
        <v>No MLR</v>
      </c>
    </row>
    <row r="68" spans="1:54" s="36" customFormat="1" ht="13.8" x14ac:dyDescent="0.3">
      <c r="A68" s="128" t="str">
        <f>_xlfn.XLOOKUP(B68,'Cuttof Mapping'!A:A,'Cuttof Mapping'!D:D)</f>
        <v>2024 Jan 1st</v>
      </c>
      <c r="B68" s="133">
        <v>45305</v>
      </c>
      <c r="C68" s="86" t="s">
        <v>297</v>
      </c>
      <c r="D68" s="79" t="s">
        <v>63</v>
      </c>
      <c r="E68" s="86">
        <v>4500866</v>
      </c>
      <c r="F68" s="86" t="s">
        <v>91</v>
      </c>
      <c r="G68" s="86" t="s">
        <v>298</v>
      </c>
      <c r="H68" s="86">
        <v>10001035</v>
      </c>
      <c r="I68" s="86" t="s">
        <v>90</v>
      </c>
      <c r="J68" s="86">
        <v>1680000735786</v>
      </c>
      <c r="K68" s="86" t="s">
        <v>54</v>
      </c>
      <c r="L68" s="86" t="s">
        <v>299</v>
      </c>
      <c r="M68" s="173">
        <f>IF(G68="","",ABS(SUMIFS('System(MB51)'!$K:$K,'System(MB51)'!$L:$L,'Checking(ZSERIALS)'!$J68,'System(MB51)'!$O:$O,'Checking(ZSERIALS)'!$L68,'System(MB51)'!$A:$A,'Checking(ZSERIALS)'!M$3)))</f>
        <v>0</v>
      </c>
      <c r="N68" s="173">
        <f>IF(H68="","",ABS(SUMIFS('System(MB51)'!$K:$K,'System(MB51)'!$L:$L,'Checking(ZSERIALS)'!$J68,'System(MB51)'!$O:$O,'Checking(ZSERIALS)'!$L68,'System(MB51)'!$A:$A,'Checking(ZSERIALS)'!N$3)))</f>
        <v>2</v>
      </c>
      <c r="O68" s="173">
        <f>IF(I68="","",ABS(SUMIFS('System(MB51)'!$K:$K,'System(MB51)'!$L:$L,'Checking(ZSERIALS)'!$J68,'System(MB51)'!$O:$O,'Checking(ZSERIALS)'!$L68,'System(MB51)'!$A:$A,'Checking(ZSERIALS)'!O$3)))</f>
        <v>0</v>
      </c>
      <c r="P68" s="173">
        <f>IF(J68="","",ABS(SUMIFS('System(MB51)'!$K:$K,'System(MB51)'!$L:$L,'Checking(ZSERIALS)'!$J68,'System(MB51)'!$O:$O,'Checking(ZSERIALS)'!$L68,'System(MB51)'!$A:$A,'Checking(ZSERIALS)'!P$3)))</f>
        <v>1</v>
      </c>
      <c r="Q68" s="173">
        <f>IF(K68="","",ABS(SUMIFS('System(MB51)'!$K:$K,'System(MB51)'!$L:$L,'Checking(ZSERIALS)'!$J68,'System(MB51)'!$O:$O,'Checking(ZSERIALS)'!$L68,'System(MB51)'!$A:$A,'Checking(ZSERIALS)'!Q$3)))</f>
        <v>0</v>
      </c>
      <c r="R68" s="173">
        <f>IF(L68="","",ABS(SUMIFS('System(MB51)'!$K:$K,'System(MB51)'!$L:$L,'Checking(ZSERIALS)'!$J68,'System(MB51)'!$O:$O,'Checking(ZSERIALS)'!$L68,'System(MB51)'!$A:$A,'Checking(ZSERIALS)'!R$3)))</f>
        <v>0</v>
      </c>
      <c r="S68" s="173">
        <f>IF(M68="","",ABS(SUMIFS('System(MB51)'!$K:$K,'System(MB51)'!$L:$L,'Checking(ZSERIALS)'!$J68,'System(MB51)'!$O:$O,'Checking(ZSERIALS)'!$L68,'System(MB51)'!$A:$A,'Checking(ZSERIALS)'!S$3)))</f>
        <v>8</v>
      </c>
      <c r="T68" s="173">
        <f>IF(N68="","",ABS(SUMIFS('System(MB51)'!$K:$K,'System(MB51)'!$L:$L,'Checking(ZSERIALS)'!$J68,'System(MB51)'!$O:$O,'Checking(ZSERIALS)'!$L68,'System(MB51)'!$A:$A,'Checking(ZSERIALS)'!T$3)))</f>
        <v>1</v>
      </c>
      <c r="U68" s="173">
        <f>IF(O68="","",ABS(SUMIFS('System(MB51)'!$K:$K,'System(MB51)'!$L:$L,'Checking(ZSERIALS)'!$J68,'System(MB51)'!$O:$O,'Checking(ZSERIALS)'!$L68,'System(MB51)'!$A:$A,'Checking(ZSERIALS)'!U$3)))</f>
        <v>8</v>
      </c>
      <c r="V68" s="165"/>
      <c r="W68" s="173" t="e">
        <f>IF($G68="","",INDEX(MLR!$1:$1048576,MATCH($G68,MLR!$J:$J,0),MATCH(W$3,MLR!$1:$1,0)))</f>
        <v>#N/A</v>
      </c>
      <c r="X68" s="173" t="e">
        <f>IF($G68="","",INDEX(MLR!$1:$1048576,MATCH($G68,MLR!$J:$J,0),MATCH(X$3,MLR!$1:$1,0)))</f>
        <v>#N/A</v>
      </c>
      <c r="Y68" s="173" t="e">
        <f>IF($G68="","",INDEX(MLR!$1:$1048576,MATCH($G68,MLR!$J:$J,0),MATCH(Y$3,MLR!$1:$1,0)))</f>
        <v>#N/A</v>
      </c>
      <c r="Z68" s="173" t="e">
        <f>IF($G68="","",INDEX(MLR!$1:$1048576,MATCH($G68,MLR!$J:$J,0),MATCH(Z$3,MLR!$1:$1,0)))</f>
        <v>#N/A</v>
      </c>
      <c r="AA68" s="173" t="e">
        <f>IF($G68="","",INDEX(MLR!$1:$1048576,MATCH($G68,MLR!$J:$J,0),MATCH(AA$3,MLR!$1:$1,0)))</f>
        <v>#N/A</v>
      </c>
      <c r="AB68" s="173" t="e">
        <f>IF($G68="","",INDEX(MLR!$1:$1048576,MATCH($G68,MLR!$J:$J,0),MATCH(AB$3,MLR!$1:$1,0)))</f>
        <v>#N/A</v>
      </c>
      <c r="AC68" s="173" t="e">
        <f>IF($G68="","",INDEX(MLR!$1:$1048576,MATCH($G68,MLR!$J:$J,0),MATCH(AC$3,MLR!$1:$1,0)))</f>
        <v>#N/A</v>
      </c>
      <c r="AD68" s="173" t="e">
        <f>IF($G68="","",INDEX(MLR!$1:$1048576,MATCH($G68,MLR!$J:$J,0),MATCH(AD$3,MLR!$1:$1,0)))</f>
        <v>#N/A</v>
      </c>
      <c r="AE68" s="173" t="e">
        <f>IF($G68="","",INDEX(MLR!$1:$1048576,MATCH($G68,MLR!$J:$J,0),MATCH(AE$3,MLR!$1:$1,0)))</f>
        <v>#N/A</v>
      </c>
      <c r="AF68" s="174" t="str">
        <f>IF(G68="","",IFERROR(IF(MATCH($G68,MLR!$J:$J,0)&gt;0,"Installed","Not Found"),"Not Found"))</f>
        <v>Not Found</v>
      </c>
      <c r="AG68" s="165"/>
      <c r="AH68" s="175" t="e">
        <f t="shared" si="38"/>
        <v>#N/A</v>
      </c>
      <c r="AI68" s="175" t="e">
        <f t="shared" si="39"/>
        <v>#N/A</v>
      </c>
      <c r="AJ68" s="175" t="e">
        <f t="shared" si="40"/>
        <v>#N/A</v>
      </c>
      <c r="AK68" s="175" t="e">
        <f t="shared" si="41"/>
        <v>#N/A</v>
      </c>
      <c r="AL68" s="175" t="e">
        <f t="shared" si="42"/>
        <v>#N/A</v>
      </c>
      <c r="AM68" s="175" t="e">
        <f t="shared" si="43"/>
        <v>#N/A</v>
      </c>
      <c r="AN68" s="175" t="e">
        <f t="shared" si="44"/>
        <v>#N/A</v>
      </c>
      <c r="AO68" s="175" t="e">
        <f t="shared" si="45"/>
        <v>#N/A</v>
      </c>
      <c r="AP68" s="175" t="e">
        <f t="shared" si="46"/>
        <v>#N/A</v>
      </c>
      <c r="AQ68" s="165"/>
      <c r="AR68" s="173" t="e">
        <f t="shared" si="47"/>
        <v>#N/A</v>
      </c>
      <c r="AS68" s="173" t="e">
        <f t="shared" si="48"/>
        <v>#N/A</v>
      </c>
      <c r="AT68" s="173" t="e">
        <f t="shared" si="49"/>
        <v>#N/A</v>
      </c>
      <c r="AU68" s="173" t="e">
        <f t="shared" si="50"/>
        <v>#N/A</v>
      </c>
      <c r="AV68" s="173" t="e">
        <f t="shared" si="51"/>
        <v>#N/A</v>
      </c>
      <c r="AW68" s="173" t="e">
        <f t="shared" si="52"/>
        <v>#N/A</v>
      </c>
      <c r="AX68" s="173" t="e">
        <f t="shared" si="53"/>
        <v>#N/A</v>
      </c>
      <c r="AY68" s="173" t="e">
        <f t="shared" si="54"/>
        <v>#N/A</v>
      </c>
      <c r="AZ68" s="173" t="e">
        <f t="shared" si="55"/>
        <v>#N/A</v>
      </c>
      <c r="BA68" s="165"/>
      <c r="BB68" s="174" t="str">
        <f t="shared" si="19"/>
        <v>No MLR</v>
      </c>
    </row>
    <row r="69" spans="1:54" s="36" customFormat="1" ht="13.8" x14ac:dyDescent="0.3">
      <c r="A69" s="128" t="str">
        <f>_xlfn.XLOOKUP(B69,'Cuttof Mapping'!A:A,'Cuttof Mapping'!D:D)</f>
        <v>2024 Jan 1st</v>
      </c>
      <c r="B69" s="133">
        <v>45305</v>
      </c>
      <c r="C69" s="86" t="s">
        <v>300</v>
      </c>
      <c r="D69" s="79" t="s">
        <v>63</v>
      </c>
      <c r="E69" s="86">
        <v>4500866</v>
      </c>
      <c r="F69" s="86" t="s">
        <v>91</v>
      </c>
      <c r="G69" s="86" t="s">
        <v>301</v>
      </c>
      <c r="H69" s="86">
        <v>10001035</v>
      </c>
      <c r="I69" s="86" t="s">
        <v>90</v>
      </c>
      <c r="J69" s="86">
        <v>1680000737988</v>
      </c>
      <c r="K69" s="86" t="s">
        <v>54</v>
      </c>
      <c r="L69" s="86" t="s">
        <v>302</v>
      </c>
      <c r="M69" s="173">
        <f>IF(G69="","",ABS(SUMIFS('System(MB51)'!$K:$K,'System(MB51)'!$L:$L,'Checking(ZSERIALS)'!$J69,'System(MB51)'!$O:$O,'Checking(ZSERIALS)'!$L69,'System(MB51)'!$A:$A,'Checking(ZSERIALS)'!M$3)))</f>
        <v>0</v>
      </c>
      <c r="N69" s="173">
        <f>IF(H69="","",ABS(SUMIFS('System(MB51)'!$K:$K,'System(MB51)'!$L:$L,'Checking(ZSERIALS)'!$J69,'System(MB51)'!$O:$O,'Checking(ZSERIALS)'!$L69,'System(MB51)'!$A:$A,'Checking(ZSERIALS)'!N$3)))</f>
        <v>0</v>
      </c>
      <c r="O69" s="173">
        <f>IF(I69="","",ABS(SUMIFS('System(MB51)'!$K:$K,'System(MB51)'!$L:$L,'Checking(ZSERIALS)'!$J69,'System(MB51)'!$O:$O,'Checking(ZSERIALS)'!$L69,'System(MB51)'!$A:$A,'Checking(ZSERIALS)'!O$3)))</f>
        <v>0</v>
      </c>
      <c r="P69" s="173">
        <f>IF(J69="","",ABS(SUMIFS('System(MB51)'!$K:$K,'System(MB51)'!$L:$L,'Checking(ZSERIALS)'!$J69,'System(MB51)'!$O:$O,'Checking(ZSERIALS)'!$L69,'System(MB51)'!$A:$A,'Checking(ZSERIALS)'!P$3)))</f>
        <v>1</v>
      </c>
      <c r="Q69" s="173">
        <f>IF(K69="","",ABS(SUMIFS('System(MB51)'!$K:$K,'System(MB51)'!$L:$L,'Checking(ZSERIALS)'!$J69,'System(MB51)'!$O:$O,'Checking(ZSERIALS)'!$L69,'System(MB51)'!$A:$A,'Checking(ZSERIALS)'!Q$3)))</f>
        <v>0</v>
      </c>
      <c r="R69" s="173">
        <f>IF(L69="","",ABS(SUMIFS('System(MB51)'!$K:$K,'System(MB51)'!$L:$L,'Checking(ZSERIALS)'!$J69,'System(MB51)'!$O:$O,'Checking(ZSERIALS)'!$L69,'System(MB51)'!$A:$A,'Checking(ZSERIALS)'!R$3)))</f>
        <v>0</v>
      </c>
      <c r="S69" s="173">
        <f>IF(M69="","",ABS(SUMIFS('System(MB51)'!$K:$K,'System(MB51)'!$L:$L,'Checking(ZSERIALS)'!$J69,'System(MB51)'!$O:$O,'Checking(ZSERIALS)'!$L69,'System(MB51)'!$A:$A,'Checking(ZSERIALS)'!S$3)))</f>
        <v>0</v>
      </c>
      <c r="T69" s="173">
        <f>IF(N69="","",ABS(SUMIFS('System(MB51)'!$K:$K,'System(MB51)'!$L:$L,'Checking(ZSERIALS)'!$J69,'System(MB51)'!$O:$O,'Checking(ZSERIALS)'!$L69,'System(MB51)'!$A:$A,'Checking(ZSERIALS)'!T$3)))</f>
        <v>0</v>
      </c>
      <c r="U69" s="173">
        <f>IF(O69="","",ABS(SUMIFS('System(MB51)'!$K:$K,'System(MB51)'!$L:$L,'Checking(ZSERIALS)'!$J69,'System(MB51)'!$O:$O,'Checking(ZSERIALS)'!$L69,'System(MB51)'!$A:$A,'Checking(ZSERIALS)'!U$3)))</f>
        <v>0</v>
      </c>
      <c r="V69" s="165"/>
      <c r="W69" s="173" t="e">
        <f>IF($G69="","",INDEX(MLR!$1:$1048576,MATCH($G69,MLR!$J:$J,0),MATCH(W$3,MLR!$1:$1,0)))</f>
        <v>#N/A</v>
      </c>
      <c r="X69" s="173" t="e">
        <f>IF($G69="","",INDEX(MLR!$1:$1048576,MATCH($G69,MLR!$J:$J,0),MATCH(X$3,MLR!$1:$1,0)))</f>
        <v>#N/A</v>
      </c>
      <c r="Y69" s="173" t="e">
        <f>IF($G69="","",INDEX(MLR!$1:$1048576,MATCH($G69,MLR!$J:$J,0),MATCH(Y$3,MLR!$1:$1,0)))</f>
        <v>#N/A</v>
      </c>
      <c r="Z69" s="173" t="e">
        <f>IF($G69="","",INDEX(MLR!$1:$1048576,MATCH($G69,MLR!$J:$J,0),MATCH(Z$3,MLR!$1:$1,0)))</f>
        <v>#N/A</v>
      </c>
      <c r="AA69" s="173" t="e">
        <f>IF($G69="","",INDEX(MLR!$1:$1048576,MATCH($G69,MLR!$J:$J,0),MATCH(AA$3,MLR!$1:$1,0)))</f>
        <v>#N/A</v>
      </c>
      <c r="AB69" s="173" t="e">
        <f>IF($G69="","",INDEX(MLR!$1:$1048576,MATCH($G69,MLR!$J:$J,0),MATCH(AB$3,MLR!$1:$1,0)))</f>
        <v>#N/A</v>
      </c>
      <c r="AC69" s="173" t="e">
        <f>IF($G69="","",INDEX(MLR!$1:$1048576,MATCH($G69,MLR!$J:$J,0),MATCH(AC$3,MLR!$1:$1,0)))</f>
        <v>#N/A</v>
      </c>
      <c r="AD69" s="173" t="e">
        <f>IF($G69="","",INDEX(MLR!$1:$1048576,MATCH($G69,MLR!$J:$J,0),MATCH(AD$3,MLR!$1:$1,0)))</f>
        <v>#N/A</v>
      </c>
      <c r="AE69" s="173" t="e">
        <f>IF($G69="","",INDEX(MLR!$1:$1048576,MATCH($G69,MLR!$J:$J,0),MATCH(AE$3,MLR!$1:$1,0)))</f>
        <v>#N/A</v>
      </c>
      <c r="AF69" s="174" t="str">
        <f>IF(G69="","",IFERROR(IF(MATCH($G69,MLR!$J:$J,0)&gt;0,"Installed","Not Found"),"Not Found"))</f>
        <v>Not Found</v>
      </c>
      <c r="AG69" s="165"/>
      <c r="AH69" s="175" t="e">
        <f t="shared" si="38"/>
        <v>#N/A</v>
      </c>
      <c r="AI69" s="175" t="e">
        <f t="shared" si="39"/>
        <v>#N/A</v>
      </c>
      <c r="AJ69" s="175" t="e">
        <f t="shared" si="40"/>
        <v>#N/A</v>
      </c>
      <c r="AK69" s="175" t="e">
        <f t="shared" si="41"/>
        <v>#N/A</v>
      </c>
      <c r="AL69" s="175" t="e">
        <f t="shared" si="42"/>
        <v>#N/A</v>
      </c>
      <c r="AM69" s="175" t="e">
        <f t="shared" si="43"/>
        <v>#N/A</v>
      </c>
      <c r="AN69" s="175" t="e">
        <f t="shared" si="44"/>
        <v>#N/A</v>
      </c>
      <c r="AO69" s="175" t="e">
        <f t="shared" si="45"/>
        <v>#N/A</v>
      </c>
      <c r="AP69" s="175" t="e">
        <f t="shared" si="46"/>
        <v>#N/A</v>
      </c>
      <c r="AQ69" s="165"/>
      <c r="AR69" s="173" t="e">
        <f t="shared" si="47"/>
        <v>#N/A</v>
      </c>
      <c r="AS69" s="173" t="e">
        <f t="shared" si="48"/>
        <v>#N/A</v>
      </c>
      <c r="AT69" s="173" t="e">
        <f t="shared" si="49"/>
        <v>#N/A</v>
      </c>
      <c r="AU69" s="173" t="e">
        <f t="shared" si="50"/>
        <v>#N/A</v>
      </c>
      <c r="AV69" s="173" t="e">
        <f t="shared" si="51"/>
        <v>#N/A</v>
      </c>
      <c r="AW69" s="173" t="e">
        <f t="shared" si="52"/>
        <v>#N/A</v>
      </c>
      <c r="AX69" s="173" t="e">
        <f t="shared" si="53"/>
        <v>#N/A</v>
      </c>
      <c r="AY69" s="173" t="e">
        <f t="shared" si="54"/>
        <v>#N/A</v>
      </c>
      <c r="AZ69" s="173" t="e">
        <f t="shared" si="55"/>
        <v>#N/A</v>
      </c>
      <c r="BA69" s="165"/>
      <c r="BB69" s="174" t="str">
        <f t="shared" ref="BB69:BB106" si="56">IF(G69="","",IF(AF69="Not Found","No MLR",IF(COUNTIF(AH69:AP69,"Correct")=9,"No Variance","With Variance")))</f>
        <v>No MLR</v>
      </c>
    </row>
    <row r="70" spans="1:54" s="36" customFormat="1" ht="13.8" x14ac:dyDescent="0.3">
      <c r="A70" s="128" t="str">
        <f>_xlfn.XLOOKUP(B70,'Cuttof Mapping'!A:A,'Cuttof Mapping'!D:D)</f>
        <v>2024 Jan 1st</v>
      </c>
      <c r="B70" s="133">
        <v>45305</v>
      </c>
      <c r="C70" s="86" t="s">
        <v>303</v>
      </c>
      <c r="D70" s="79" t="s">
        <v>63</v>
      </c>
      <c r="E70" s="86">
        <v>4500866</v>
      </c>
      <c r="F70" s="86" t="s">
        <v>91</v>
      </c>
      <c r="G70" s="86" t="s">
        <v>304</v>
      </c>
      <c r="H70" s="86">
        <v>10001035</v>
      </c>
      <c r="I70" s="86" t="s">
        <v>90</v>
      </c>
      <c r="J70" s="86">
        <v>1680000730454</v>
      </c>
      <c r="K70" s="86" t="s">
        <v>54</v>
      </c>
      <c r="L70" s="86" t="s">
        <v>305</v>
      </c>
      <c r="M70" s="173">
        <f>IF(G70="","",ABS(SUMIFS('System(MB51)'!$K:$K,'System(MB51)'!$L:$L,'Checking(ZSERIALS)'!$J70,'System(MB51)'!$O:$O,'Checking(ZSERIALS)'!$L70,'System(MB51)'!$A:$A,'Checking(ZSERIALS)'!M$3)))</f>
        <v>0</v>
      </c>
      <c r="N70" s="173">
        <f>IF(H70="","",ABS(SUMIFS('System(MB51)'!$K:$K,'System(MB51)'!$L:$L,'Checking(ZSERIALS)'!$J70,'System(MB51)'!$O:$O,'Checking(ZSERIALS)'!$L70,'System(MB51)'!$A:$A,'Checking(ZSERIALS)'!N$3)))</f>
        <v>2</v>
      </c>
      <c r="O70" s="173">
        <f>IF(I70="","",ABS(SUMIFS('System(MB51)'!$K:$K,'System(MB51)'!$L:$L,'Checking(ZSERIALS)'!$J70,'System(MB51)'!$O:$O,'Checking(ZSERIALS)'!$L70,'System(MB51)'!$A:$A,'Checking(ZSERIALS)'!O$3)))</f>
        <v>0</v>
      </c>
      <c r="P70" s="173">
        <f>IF(J70="","",ABS(SUMIFS('System(MB51)'!$K:$K,'System(MB51)'!$L:$L,'Checking(ZSERIALS)'!$J70,'System(MB51)'!$O:$O,'Checking(ZSERIALS)'!$L70,'System(MB51)'!$A:$A,'Checking(ZSERIALS)'!P$3)))</f>
        <v>1</v>
      </c>
      <c r="Q70" s="173">
        <f>IF(K70="","",ABS(SUMIFS('System(MB51)'!$K:$K,'System(MB51)'!$L:$L,'Checking(ZSERIALS)'!$J70,'System(MB51)'!$O:$O,'Checking(ZSERIALS)'!$L70,'System(MB51)'!$A:$A,'Checking(ZSERIALS)'!Q$3)))</f>
        <v>0</v>
      </c>
      <c r="R70" s="173">
        <f>IF(L70="","",ABS(SUMIFS('System(MB51)'!$K:$K,'System(MB51)'!$L:$L,'Checking(ZSERIALS)'!$J70,'System(MB51)'!$O:$O,'Checking(ZSERIALS)'!$L70,'System(MB51)'!$A:$A,'Checking(ZSERIALS)'!R$3)))</f>
        <v>0</v>
      </c>
      <c r="S70" s="173">
        <f>IF(M70="","",ABS(SUMIFS('System(MB51)'!$K:$K,'System(MB51)'!$L:$L,'Checking(ZSERIALS)'!$J70,'System(MB51)'!$O:$O,'Checking(ZSERIALS)'!$L70,'System(MB51)'!$A:$A,'Checking(ZSERIALS)'!S$3)))</f>
        <v>0</v>
      </c>
      <c r="T70" s="173">
        <f>IF(N70="","",ABS(SUMIFS('System(MB51)'!$K:$K,'System(MB51)'!$L:$L,'Checking(ZSERIALS)'!$J70,'System(MB51)'!$O:$O,'Checking(ZSERIALS)'!$L70,'System(MB51)'!$A:$A,'Checking(ZSERIALS)'!T$3)))</f>
        <v>1</v>
      </c>
      <c r="U70" s="173">
        <f>IF(O70="","",ABS(SUMIFS('System(MB51)'!$K:$K,'System(MB51)'!$L:$L,'Checking(ZSERIALS)'!$J70,'System(MB51)'!$O:$O,'Checking(ZSERIALS)'!$L70,'System(MB51)'!$A:$A,'Checking(ZSERIALS)'!U$3)))</f>
        <v>0</v>
      </c>
      <c r="V70" s="165"/>
      <c r="W70" s="173" t="e">
        <f>IF($G70="","",INDEX(MLR!$1:$1048576,MATCH($G70,MLR!$J:$J,0),MATCH(W$3,MLR!$1:$1,0)))</f>
        <v>#N/A</v>
      </c>
      <c r="X70" s="173" t="e">
        <f>IF($G70="","",INDEX(MLR!$1:$1048576,MATCH($G70,MLR!$J:$J,0),MATCH(X$3,MLR!$1:$1,0)))</f>
        <v>#N/A</v>
      </c>
      <c r="Y70" s="173" t="e">
        <f>IF($G70="","",INDEX(MLR!$1:$1048576,MATCH($G70,MLR!$J:$J,0),MATCH(Y$3,MLR!$1:$1,0)))</f>
        <v>#N/A</v>
      </c>
      <c r="Z70" s="173" t="e">
        <f>IF($G70="","",INDEX(MLR!$1:$1048576,MATCH($G70,MLR!$J:$J,0),MATCH(Z$3,MLR!$1:$1,0)))</f>
        <v>#N/A</v>
      </c>
      <c r="AA70" s="173" t="e">
        <f>IF($G70="","",INDEX(MLR!$1:$1048576,MATCH($G70,MLR!$J:$J,0),MATCH(AA$3,MLR!$1:$1,0)))</f>
        <v>#N/A</v>
      </c>
      <c r="AB70" s="173" t="e">
        <f>IF($G70="","",INDEX(MLR!$1:$1048576,MATCH($G70,MLR!$J:$J,0),MATCH(AB$3,MLR!$1:$1,0)))</f>
        <v>#N/A</v>
      </c>
      <c r="AC70" s="173" t="e">
        <f>IF($G70="","",INDEX(MLR!$1:$1048576,MATCH($G70,MLR!$J:$J,0),MATCH(AC$3,MLR!$1:$1,0)))</f>
        <v>#N/A</v>
      </c>
      <c r="AD70" s="173" t="e">
        <f>IF($G70="","",INDEX(MLR!$1:$1048576,MATCH($G70,MLR!$J:$J,0),MATCH(AD$3,MLR!$1:$1,0)))</f>
        <v>#N/A</v>
      </c>
      <c r="AE70" s="173" t="e">
        <f>IF($G70="","",INDEX(MLR!$1:$1048576,MATCH($G70,MLR!$J:$J,0),MATCH(AE$3,MLR!$1:$1,0)))</f>
        <v>#N/A</v>
      </c>
      <c r="AF70" s="174" t="str">
        <f>IF(G70="","",IFERROR(IF(MATCH($G70,MLR!$J:$J,0)&gt;0,"Installed","Not Found"),"Not Found"))</f>
        <v>Not Found</v>
      </c>
      <c r="AG70" s="165"/>
      <c r="AH70" s="175" t="e">
        <f t="shared" si="38"/>
        <v>#N/A</v>
      </c>
      <c r="AI70" s="175" t="e">
        <f t="shared" si="39"/>
        <v>#N/A</v>
      </c>
      <c r="AJ70" s="175" t="e">
        <f t="shared" si="40"/>
        <v>#N/A</v>
      </c>
      <c r="AK70" s="175" t="e">
        <f t="shared" si="41"/>
        <v>#N/A</v>
      </c>
      <c r="AL70" s="175" t="e">
        <f t="shared" si="42"/>
        <v>#N/A</v>
      </c>
      <c r="AM70" s="175" t="e">
        <f t="shared" si="43"/>
        <v>#N/A</v>
      </c>
      <c r="AN70" s="175" t="e">
        <f t="shared" si="44"/>
        <v>#N/A</v>
      </c>
      <c r="AO70" s="175" t="e">
        <f t="shared" si="45"/>
        <v>#N/A</v>
      </c>
      <c r="AP70" s="175" t="e">
        <f t="shared" si="46"/>
        <v>#N/A</v>
      </c>
      <c r="AQ70" s="165"/>
      <c r="AR70" s="173" t="e">
        <f t="shared" si="47"/>
        <v>#N/A</v>
      </c>
      <c r="AS70" s="173" t="e">
        <f t="shared" si="48"/>
        <v>#N/A</v>
      </c>
      <c r="AT70" s="173" t="e">
        <f t="shared" si="49"/>
        <v>#N/A</v>
      </c>
      <c r="AU70" s="173" t="e">
        <f t="shared" si="50"/>
        <v>#N/A</v>
      </c>
      <c r="AV70" s="173" t="e">
        <f t="shared" si="51"/>
        <v>#N/A</v>
      </c>
      <c r="AW70" s="173" t="e">
        <f t="shared" si="52"/>
        <v>#N/A</v>
      </c>
      <c r="AX70" s="173" t="e">
        <f t="shared" si="53"/>
        <v>#N/A</v>
      </c>
      <c r="AY70" s="173" t="e">
        <f t="shared" si="54"/>
        <v>#N/A</v>
      </c>
      <c r="AZ70" s="173" t="e">
        <f t="shared" si="55"/>
        <v>#N/A</v>
      </c>
      <c r="BA70" s="165"/>
      <c r="BB70" s="174" t="str">
        <f t="shared" si="56"/>
        <v>No MLR</v>
      </c>
    </row>
    <row r="71" spans="1:54" s="36" customFormat="1" ht="13.8" x14ac:dyDescent="0.3">
      <c r="A71" s="128" t="str">
        <f>_xlfn.XLOOKUP(B71,'Cuttof Mapping'!A:A,'Cuttof Mapping'!D:D)</f>
        <v>2024 Jan 1st</v>
      </c>
      <c r="B71" s="133">
        <v>45306</v>
      </c>
      <c r="C71" s="86" t="s">
        <v>306</v>
      </c>
      <c r="D71" s="79" t="s">
        <v>63</v>
      </c>
      <c r="E71" s="86">
        <v>4500866</v>
      </c>
      <c r="F71" s="86" t="s">
        <v>91</v>
      </c>
      <c r="G71" s="86" t="s">
        <v>307</v>
      </c>
      <c r="H71" s="86">
        <v>10001035</v>
      </c>
      <c r="I71" s="86" t="s">
        <v>90</v>
      </c>
      <c r="J71" s="86">
        <v>1680000742601</v>
      </c>
      <c r="K71" s="86" t="s">
        <v>54</v>
      </c>
      <c r="L71" s="86" t="s">
        <v>308</v>
      </c>
      <c r="M71" s="173">
        <f>IF(G71="","",ABS(SUMIFS('System(MB51)'!$K:$K,'System(MB51)'!$L:$L,'Checking(ZSERIALS)'!$J71,'System(MB51)'!$O:$O,'Checking(ZSERIALS)'!$L71,'System(MB51)'!$A:$A,'Checking(ZSERIALS)'!M$3)))</f>
        <v>0</v>
      </c>
      <c r="N71" s="173">
        <f>IF(H71="","",ABS(SUMIFS('System(MB51)'!$K:$K,'System(MB51)'!$L:$L,'Checking(ZSERIALS)'!$J71,'System(MB51)'!$O:$O,'Checking(ZSERIALS)'!$L71,'System(MB51)'!$A:$A,'Checking(ZSERIALS)'!N$3)))</f>
        <v>2</v>
      </c>
      <c r="O71" s="173">
        <f>IF(I71="","",ABS(SUMIFS('System(MB51)'!$K:$K,'System(MB51)'!$L:$L,'Checking(ZSERIALS)'!$J71,'System(MB51)'!$O:$O,'Checking(ZSERIALS)'!$L71,'System(MB51)'!$A:$A,'Checking(ZSERIALS)'!O$3)))</f>
        <v>0</v>
      </c>
      <c r="P71" s="173">
        <f>IF(J71="","",ABS(SUMIFS('System(MB51)'!$K:$K,'System(MB51)'!$L:$L,'Checking(ZSERIALS)'!$J71,'System(MB51)'!$O:$O,'Checking(ZSERIALS)'!$L71,'System(MB51)'!$A:$A,'Checking(ZSERIALS)'!P$3)))</f>
        <v>1</v>
      </c>
      <c r="Q71" s="173">
        <f>IF(K71="","",ABS(SUMIFS('System(MB51)'!$K:$K,'System(MB51)'!$L:$L,'Checking(ZSERIALS)'!$J71,'System(MB51)'!$O:$O,'Checking(ZSERIALS)'!$L71,'System(MB51)'!$A:$A,'Checking(ZSERIALS)'!Q$3)))</f>
        <v>0</v>
      </c>
      <c r="R71" s="173">
        <f>IF(L71="","",ABS(SUMIFS('System(MB51)'!$K:$K,'System(MB51)'!$L:$L,'Checking(ZSERIALS)'!$J71,'System(MB51)'!$O:$O,'Checking(ZSERIALS)'!$L71,'System(MB51)'!$A:$A,'Checking(ZSERIALS)'!R$3)))</f>
        <v>0</v>
      </c>
      <c r="S71" s="173">
        <f>IF(M71="","",ABS(SUMIFS('System(MB51)'!$K:$K,'System(MB51)'!$L:$L,'Checking(ZSERIALS)'!$J71,'System(MB51)'!$O:$O,'Checking(ZSERIALS)'!$L71,'System(MB51)'!$A:$A,'Checking(ZSERIALS)'!S$3)))</f>
        <v>8</v>
      </c>
      <c r="T71" s="173">
        <f>IF(N71="","",ABS(SUMIFS('System(MB51)'!$K:$K,'System(MB51)'!$L:$L,'Checking(ZSERIALS)'!$J71,'System(MB51)'!$O:$O,'Checking(ZSERIALS)'!$L71,'System(MB51)'!$A:$A,'Checking(ZSERIALS)'!T$3)))</f>
        <v>1</v>
      </c>
      <c r="U71" s="173">
        <f>IF(O71="","",ABS(SUMIFS('System(MB51)'!$K:$K,'System(MB51)'!$L:$L,'Checking(ZSERIALS)'!$J71,'System(MB51)'!$O:$O,'Checking(ZSERIALS)'!$L71,'System(MB51)'!$A:$A,'Checking(ZSERIALS)'!U$3)))</f>
        <v>8</v>
      </c>
      <c r="V71" s="165"/>
      <c r="W71" s="173" t="e">
        <f>IF($G71="","",INDEX(MLR!$1:$1048576,MATCH($G71,MLR!$J:$J,0),MATCH(W$3,MLR!$1:$1,0)))</f>
        <v>#N/A</v>
      </c>
      <c r="X71" s="173" t="e">
        <f>IF($G71="","",INDEX(MLR!$1:$1048576,MATCH($G71,MLR!$J:$J,0),MATCH(X$3,MLR!$1:$1,0)))</f>
        <v>#N/A</v>
      </c>
      <c r="Y71" s="173" t="e">
        <f>IF($G71="","",INDEX(MLR!$1:$1048576,MATCH($G71,MLR!$J:$J,0),MATCH(Y$3,MLR!$1:$1,0)))</f>
        <v>#N/A</v>
      </c>
      <c r="Z71" s="173" t="e">
        <f>IF($G71="","",INDEX(MLR!$1:$1048576,MATCH($G71,MLR!$J:$J,0),MATCH(Z$3,MLR!$1:$1,0)))</f>
        <v>#N/A</v>
      </c>
      <c r="AA71" s="173" t="e">
        <f>IF($G71="","",INDEX(MLR!$1:$1048576,MATCH($G71,MLR!$J:$J,0),MATCH(AA$3,MLR!$1:$1,0)))</f>
        <v>#N/A</v>
      </c>
      <c r="AB71" s="173" t="e">
        <f>IF($G71="","",INDEX(MLR!$1:$1048576,MATCH($G71,MLR!$J:$J,0),MATCH(AB$3,MLR!$1:$1,0)))</f>
        <v>#N/A</v>
      </c>
      <c r="AC71" s="173" t="e">
        <f>IF($G71="","",INDEX(MLR!$1:$1048576,MATCH($G71,MLR!$J:$J,0),MATCH(AC$3,MLR!$1:$1,0)))</f>
        <v>#N/A</v>
      </c>
      <c r="AD71" s="173" t="e">
        <f>IF($G71="","",INDEX(MLR!$1:$1048576,MATCH($G71,MLR!$J:$J,0),MATCH(AD$3,MLR!$1:$1,0)))</f>
        <v>#N/A</v>
      </c>
      <c r="AE71" s="173" t="e">
        <f>IF($G71="","",INDEX(MLR!$1:$1048576,MATCH($G71,MLR!$J:$J,0),MATCH(AE$3,MLR!$1:$1,0)))</f>
        <v>#N/A</v>
      </c>
      <c r="AF71" s="174" t="str">
        <f>IF(G71="","",IFERROR(IF(MATCH($G71,MLR!$J:$J,0)&gt;0,"Installed","Not Found"),"Not Found"))</f>
        <v>Not Found</v>
      </c>
      <c r="AG71" s="165"/>
      <c r="AH71" s="175" t="e">
        <f t="shared" si="38"/>
        <v>#N/A</v>
      </c>
      <c r="AI71" s="175" t="e">
        <f t="shared" si="39"/>
        <v>#N/A</v>
      </c>
      <c r="AJ71" s="175" t="e">
        <f t="shared" si="40"/>
        <v>#N/A</v>
      </c>
      <c r="AK71" s="175" t="e">
        <f t="shared" si="41"/>
        <v>#N/A</v>
      </c>
      <c r="AL71" s="175" t="e">
        <f t="shared" si="42"/>
        <v>#N/A</v>
      </c>
      <c r="AM71" s="175" t="e">
        <f t="shared" si="43"/>
        <v>#N/A</v>
      </c>
      <c r="AN71" s="175" t="e">
        <f t="shared" si="44"/>
        <v>#N/A</v>
      </c>
      <c r="AO71" s="175" t="e">
        <f t="shared" si="45"/>
        <v>#N/A</v>
      </c>
      <c r="AP71" s="175" t="e">
        <f t="shared" si="46"/>
        <v>#N/A</v>
      </c>
      <c r="AQ71" s="165"/>
      <c r="AR71" s="173" t="e">
        <f t="shared" si="47"/>
        <v>#N/A</v>
      </c>
      <c r="AS71" s="173" t="e">
        <f t="shared" si="48"/>
        <v>#N/A</v>
      </c>
      <c r="AT71" s="173" t="e">
        <f t="shared" si="49"/>
        <v>#N/A</v>
      </c>
      <c r="AU71" s="173" t="e">
        <f t="shared" si="50"/>
        <v>#N/A</v>
      </c>
      <c r="AV71" s="173" t="e">
        <f t="shared" si="51"/>
        <v>#N/A</v>
      </c>
      <c r="AW71" s="173" t="e">
        <f t="shared" si="52"/>
        <v>#N/A</v>
      </c>
      <c r="AX71" s="173" t="e">
        <f t="shared" si="53"/>
        <v>#N/A</v>
      </c>
      <c r="AY71" s="173" t="e">
        <f t="shared" si="54"/>
        <v>#N/A</v>
      </c>
      <c r="AZ71" s="173" t="e">
        <f t="shared" si="55"/>
        <v>#N/A</v>
      </c>
      <c r="BA71" s="165"/>
      <c r="BB71" s="174" t="str">
        <f t="shared" si="56"/>
        <v>No MLR</v>
      </c>
    </row>
    <row r="72" spans="1:54" s="36" customFormat="1" ht="13.8" x14ac:dyDescent="0.3">
      <c r="A72" s="128" t="str">
        <f>_xlfn.XLOOKUP(B72,'Cuttof Mapping'!A:A,'Cuttof Mapping'!D:D)</f>
        <v>2024 Jan 1st</v>
      </c>
      <c r="B72" s="133">
        <v>45306</v>
      </c>
      <c r="C72" s="86" t="s">
        <v>309</v>
      </c>
      <c r="D72" s="79" t="s">
        <v>63</v>
      </c>
      <c r="E72" s="86">
        <v>4500866</v>
      </c>
      <c r="F72" s="86" t="s">
        <v>91</v>
      </c>
      <c r="G72" s="86" t="s">
        <v>310</v>
      </c>
      <c r="H72" s="86">
        <v>10001035</v>
      </c>
      <c r="I72" s="86" t="s">
        <v>90</v>
      </c>
      <c r="J72" s="86">
        <v>1680000740302</v>
      </c>
      <c r="K72" s="86" t="s">
        <v>54</v>
      </c>
      <c r="L72" s="86" t="s">
        <v>311</v>
      </c>
      <c r="M72" s="173">
        <f>IF(G72="","",ABS(SUMIFS('System(MB51)'!$K:$K,'System(MB51)'!$L:$L,'Checking(ZSERIALS)'!$J72,'System(MB51)'!$O:$O,'Checking(ZSERIALS)'!$L72,'System(MB51)'!$A:$A,'Checking(ZSERIALS)'!M$3)))</f>
        <v>0</v>
      </c>
      <c r="N72" s="173">
        <f>IF(H72="","",ABS(SUMIFS('System(MB51)'!$K:$K,'System(MB51)'!$L:$L,'Checking(ZSERIALS)'!$J72,'System(MB51)'!$O:$O,'Checking(ZSERIALS)'!$L72,'System(MB51)'!$A:$A,'Checking(ZSERIALS)'!N$3)))</f>
        <v>2</v>
      </c>
      <c r="O72" s="173">
        <f>IF(I72="","",ABS(SUMIFS('System(MB51)'!$K:$K,'System(MB51)'!$L:$L,'Checking(ZSERIALS)'!$J72,'System(MB51)'!$O:$O,'Checking(ZSERIALS)'!$L72,'System(MB51)'!$A:$A,'Checking(ZSERIALS)'!O$3)))</f>
        <v>0</v>
      </c>
      <c r="P72" s="173">
        <f>IF(J72="","",ABS(SUMIFS('System(MB51)'!$K:$K,'System(MB51)'!$L:$L,'Checking(ZSERIALS)'!$J72,'System(MB51)'!$O:$O,'Checking(ZSERIALS)'!$L72,'System(MB51)'!$A:$A,'Checking(ZSERIALS)'!P$3)))</f>
        <v>1</v>
      </c>
      <c r="Q72" s="173">
        <f>IF(K72="","",ABS(SUMIFS('System(MB51)'!$K:$K,'System(MB51)'!$L:$L,'Checking(ZSERIALS)'!$J72,'System(MB51)'!$O:$O,'Checking(ZSERIALS)'!$L72,'System(MB51)'!$A:$A,'Checking(ZSERIALS)'!Q$3)))</f>
        <v>0</v>
      </c>
      <c r="R72" s="173">
        <f>IF(L72="","",ABS(SUMIFS('System(MB51)'!$K:$K,'System(MB51)'!$L:$L,'Checking(ZSERIALS)'!$J72,'System(MB51)'!$O:$O,'Checking(ZSERIALS)'!$L72,'System(MB51)'!$A:$A,'Checking(ZSERIALS)'!R$3)))</f>
        <v>0</v>
      </c>
      <c r="S72" s="173">
        <f>IF(M72="","",ABS(SUMIFS('System(MB51)'!$K:$K,'System(MB51)'!$L:$L,'Checking(ZSERIALS)'!$J72,'System(MB51)'!$O:$O,'Checking(ZSERIALS)'!$L72,'System(MB51)'!$A:$A,'Checking(ZSERIALS)'!S$3)))</f>
        <v>10</v>
      </c>
      <c r="T72" s="173">
        <f>IF(N72="","",ABS(SUMIFS('System(MB51)'!$K:$K,'System(MB51)'!$L:$L,'Checking(ZSERIALS)'!$J72,'System(MB51)'!$O:$O,'Checking(ZSERIALS)'!$L72,'System(MB51)'!$A:$A,'Checking(ZSERIALS)'!T$3)))</f>
        <v>1</v>
      </c>
      <c r="U72" s="173">
        <f>IF(O72="","",ABS(SUMIFS('System(MB51)'!$K:$K,'System(MB51)'!$L:$L,'Checking(ZSERIALS)'!$J72,'System(MB51)'!$O:$O,'Checking(ZSERIALS)'!$L72,'System(MB51)'!$A:$A,'Checking(ZSERIALS)'!U$3)))</f>
        <v>8</v>
      </c>
      <c r="V72" s="165"/>
      <c r="W72" s="173" t="e">
        <f>IF($G72="","",INDEX(MLR!$1:$1048576,MATCH($G72,MLR!$J:$J,0),MATCH(W$3,MLR!$1:$1,0)))</f>
        <v>#N/A</v>
      </c>
      <c r="X72" s="173" t="e">
        <f>IF($G72="","",INDEX(MLR!$1:$1048576,MATCH($G72,MLR!$J:$J,0),MATCH(X$3,MLR!$1:$1,0)))</f>
        <v>#N/A</v>
      </c>
      <c r="Y72" s="173" t="e">
        <f>IF($G72="","",INDEX(MLR!$1:$1048576,MATCH($G72,MLR!$J:$J,0),MATCH(Y$3,MLR!$1:$1,0)))</f>
        <v>#N/A</v>
      </c>
      <c r="Z72" s="173" t="e">
        <f>IF($G72="","",INDEX(MLR!$1:$1048576,MATCH($G72,MLR!$J:$J,0),MATCH(Z$3,MLR!$1:$1,0)))</f>
        <v>#N/A</v>
      </c>
      <c r="AA72" s="173" t="e">
        <f>IF($G72="","",INDEX(MLR!$1:$1048576,MATCH($G72,MLR!$J:$J,0),MATCH(AA$3,MLR!$1:$1,0)))</f>
        <v>#N/A</v>
      </c>
      <c r="AB72" s="173" t="e">
        <f>IF($G72="","",INDEX(MLR!$1:$1048576,MATCH($G72,MLR!$J:$J,0),MATCH(AB$3,MLR!$1:$1,0)))</f>
        <v>#N/A</v>
      </c>
      <c r="AC72" s="173" t="e">
        <f>IF($G72="","",INDEX(MLR!$1:$1048576,MATCH($G72,MLR!$J:$J,0),MATCH(AC$3,MLR!$1:$1,0)))</f>
        <v>#N/A</v>
      </c>
      <c r="AD72" s="173" t="e">
        <f>IF($G72="","",INDEX(MLR!$1:$1048576,MATCH($G72,MLR!$J:$J,0),MATCH(AD$3,MLR!$1:$1,0)))</f>
        <v>#N/A</v>
      </c>
      <c r="AE72" s="173" t="e">
        <f>IF($G72="","",INDEX(MLR!$1:$1048576,MATCH($G72,MLR!$J:$J,0),MATCH(AE$3,MLR!$1:$1,0)))</f>
        <v>#N/A</v>
      </c>
      <c r="AF72" s="174" t="str">
        <f>IF(G72="","",IFERROR(IF(MATCH($G72,MLR!$J:$J,0)&gt;0,"Installed","Not Found"),"Not Found"))</f>
        <v>Not Found</v>
      </c>
      <c r="AG72" s="165"/>
      <c r="AH72" s="175" t="e">
        <f t="shared" si="38"/>
        <v>#N/A</v>
      </c>
      <c r="AI72" s="175" t="e">
        <f t="shared" si="39"/>
        <v>#N/A</v>
      </c>
      <c r="AJ72" s="175" t="e">
        <f t="shared" si="40"/>
        <v>#N/A</v>
      </c>
      <c r="AK72" s="175" t="e">
        <f t="shared" si="41"/>
        <v>#N/A</v>
      </c>
      <c r="AL72" s="175" t="e">
        <f t="shared" si="42"/>
        <v>#N/A</v>
      </c>
      <c r="AM72" s="175" t="e">
        <f t="shared" si="43"/>
        <v>#N/A</v>
      </c>
      <c r="AN72" s="175" t="e">
        <f t="shared" si="44"/>
        <v>#N/A</v>
      </c>
      <c r="AO72" s="175" t="e">
        <f t="shared" si="45"/>
        <v>#N/A</v>
      </c>
      <c r="AP72" s="175" t="e">
        <f t="shared" si="46"/>
        <v>#N/A</v>
      </c>
      <c r="AQ72" s="165"/>
      <c r="AR72" s="173" t="e">
        <f t="shared" si="47"/>
        <v>#N/A</v>
      </c>
      <c r="AS72" s="173" t="e">
        <f t="shared" si="48"/>
        <v>#N/A</v>
      </c>
      <c r="AT72" s="173" t="e">
        <f t="shared" si="49"/>
        <v>#N/A</v>
      </c>
      <c r="AU72" s="173" t="e">
        <f t="shared" si="50"/>
        <v>#N/A</v>
      </c>
      <c r="AV72" s="173" t="e">
        <f t="shared" si="51"/>
        <v>#N/A</v>
      </c>
      <c r="AW72" s="173" t="e">
        <f t="shared" si="52"/>
        <v>#N/A</v>
      </c>
      <c r="AX72" s="173" t="e">
        <f t="shared" si="53"/>
        <v>#N/A</v>
      </c>
      <c r="AY72" s="173" t="e">
        <f t="shared" si="54"/>
        <v>#N/A</v>
      </c>
      <c r="AZ72" s="173" t="e">
        <f t="shared" si="55"/>
        <v>#N/A</v>
      </c>
      <c r="BA72" s="165"/>
      <c r="BB72" s="174" t="str">
        <f t="shared" si="56"/>
        <v>No MLR</v>
      </c>
    </row>
    <row r="73" spans="1:54" s="36" customFormat="1" ht="13.8" x14ac:dyDescent="0.3">
      <c r="A73" s="128" t="str">
        <f>_xlfn.XLOOKUP(B73,'Cuttof Mapping'!A:A,'Cuttof Mapping'!D:D)</f>
        <v>2024 Jan 1st</v>
      </c>
      <c r="B73" s="133">
        <v>45306</v>
      </c>
      <c r="C73" s="86" t="s">
        <v>312</v>
      </c>
      <c r="D73" s="79" t="s">
        <v>63</v>
      </c>
      <c r="E73" s="86">
        <v>4500866</v>
      </c>
      <c r="F73" s="86" t="s">
        <v>91</v>
      </c>
      <c r="G73" s="86" t="s">
        <v>313</v>
      </c>
      <c r="H73" s="86">
        <v>10001035</v>
      </c>
      <c r="I73" s="86" t="s">
        <v>90</v>
      </c>
      <c r="J73" s="86">
        <v>1680000740804</v>
      </c>
      <c r="K73" s="86" t="s">
        <v>54</v>
      </c>
      <c r="L73" s="86" t="s">
        <v>314</v>
      </c>
      <c r="M73" s="173">
        <f>IF(G73="","",ABS(SUMIFS('System(MB51)'!$K:$K,'System(MB51)'!$L:$L,'Checking(ZSERIALS)'!$J73,'System(MB51)'!$O:$O,'Checking(ZSERIALS)'!$L73,'System(MB51)'!$A:$A,'Checking(ZSERIALS)'!M$3)))</f>
        <v>0</v>
      </c>
      <c r="N73" s="173">
        <f>IF(H73="","",ABS(SUMIFS('System(MB51)'!$K:$K,'System(MB51)'!$L:$L,'Checking(ZSERIALS)'!$J73,'System(MB51)'!$O:$O,'Checking(ZSERIALS)'!$L73,'System(MB51)'!$A:$A,'Checking(ZSERIALS)'!N$3)))</f>
        <v>2</v>
      </c>
      <c r="O73" s="173">
        <f>IF(I73="","",ABS(SUMIFS('System(MB51)'!$K:$K,'System(MB51)'!$L:$L,'Checking(ZSERIALS)'!$J73,'System(MB51)'!$O:$O,'Checking(ZSERIALS)'!$L73,'System(MB51)'!$A:$A,'Checking(ZSERIALS)'!O$3)))</f>
        <v>0</v>
      </c>
      <c r="P73" s="173">
        <f>IF(J73="","",ABS(SUMIFS('System(MB51)'!$K:$K,'System(MB51)'!$L:$L,'Checking(ZSERIALS)'!$J73,'System(MB51)'!$O:$O,'Checking(ZSERIALS)'!$L73,'System(MB51)'!$A:$A,'Checking(ZSERIALS)'!P$3)))</f>
        <v>1</v>
      </c>
      <c r="Q73" s="173">
        <f>IF(K73="","",ABS(SUMIFS('System(MB51)'!$K:$K,'System(MB51)'!$L:$L,'Checking(ZSERIALS)'!$J73,'System(MB51)'!$O:$O,'Checking(ZSERIALS)'!$L73,'System(MB51)'!$A:$A,'Checking(ZSERIALS)'!Q$3)))</f>
        <v>0</v>
      </c>
      <c r="R73" s="173">
        <f>IF(L73="","",ABS(SUMIFS('System(MB51)'!$K:$K,'System(MB51)'!$L:$L,'Checking(ZSERIALS)'!$J73,'System(MB51)'!$O:$O,'Checking(ZSERIALS)'!$L73,'System(MB51)'!$A:$A,'Checking(ZSERIALS)'!R$3)))</f>
        <v>0</v>
      </c>
      <c r="S73" s="173">
        <f>IF(M73="","",ABS(SUMIFS('System(MB51)'!$K:$K,'System(MB51)'!$L:$L,'Checking(ZSERIALS)'!$J73,'System(MB51)'!$O:$O,'Checking(ZSERIALS)'!$L73,'System(MB51)'!$A:$A,'Checking(ZSERIALS)'!S$3)))</f>
        <v>5</v>
      </c>
      <c r="T73" s="173">
        <f>IF(N73="","",ABS(SUMIFS('System(MB51)'!$K:$K,'System(MB51)'!$L:$L,'Checking(ZSERIALS)'!$J73,'System(MB51)'!$O:$O,'Checking(ZSERIALS)'!$L73,'System(MB51)'!$A:$A,'Checking(ZSERIALS)'!T$3)))</f>
        <v>1</v>
      </c>
      <c r="U73" s="173">
        <f>IF(O73="","",ABS(SUMIFS('System(MB51)'!$K:$K,'System(MB51)'!$L:$L,'Checking(ZSERIALS)'!$J73,'System(MB51)'!$O:$O,'Checking(ZSERIALS)'!$L73,'System(MB51)'!$A:$A,'Checking(ZSERIALS)'!U$3)))</f>
        <v>10</v>
      </c>
      <c r="V73" s="165"/>
      <c r="W73" s="173" t="e">
        <f>IF($G73="","",INDEX(MLR!$1:$1048576,MATCH($G73,MLR!$J:$J,0),MATCH(W$3,MLR!$1:$1,0)))</f>
        <v>#N/A</v>
      </c>
      <c r="X73" s="173" t="e">
        <f>IF($G73="","",INDEX(MLR!$1:$1048576,MATCH($G73,MLR!$J:$J,0),MATCH(X$3,MLR!$1:$1,0)))</f>
        <v>#N/A</v>
      </c>
      <c r="Y73" s="173" t="e">
        <f>IF($G73="","",INDEX(MLR!$1:$1048576,MATCH($G73,MLR!$J:$J,0),MATCH(Y$3,MLR!$1:$1,0)))</f>
        <v>#N/A</v>
      </c>
      <c r="Z73" s="173" t="e">
        <f>IF($G73="","",INDEX(MLR!$1:$1048576,MATCH($G73,MLR!$J:$J,0),MATCH(Z$3,MLR!$1:$1,0)))</f>
        <v>#N/A</v>
      </c>
      <c r="AA73" s="173" t="e">
        <f>IF($G73="","",INDEX(MLR!$1:$1048576,MATCH($G73,MLR!$J:$J,0),MATCH(AA$3,MLR!$1:$1,0)))</f>
        <v>#N/A</v>
      </c>
      <c r="AB73" s="173" t="e">
        <f>IF($G73="","",INDEX(MLR!$1:$1048576,MATCH($G73,MLR!$J:$J,0),MATCH(AB$3,MLR!$1:$1,0)))</f>
        <v>#N/A</v>
      </c>
      <c r="AC73" s="173" t="e">
        <f>IF($G73="","",INDEX(MLR!$1:$1048576,MATCH($G73,MLR!$J:$J,0),MATCH(AC$3,MLR!$1:$1,0)))</f>
        <v>#N/A</v>
      </c>
      <c r="AD73" s="173" t="e">
        <f>IF($G73="","",INDEX(MLR!$1:$1048576,MATCH($G73,MLR!$J:$J,0),MATCH(AD$3,MLR!$1:$1,0)))</f>
        <v>#N/A</v>
      </c>
      <c r="AE73" s="173" t="e">
        <f>IF($G73="","",INDEX(MLR!$1:$1048576,MATCH($G73,MLR!$J:$J,0),MATCH(AE$3,MLR!$1:$1,0)))</f>
        <v>#N/A</v>
      </c>
      <c r="AF73" s="174" t="str">
        <f>IF(G73="","",IFERROR(IF(MATCH($G73,MLR!$J:$J,0)&gt;0,"Installed","Not Found"),"Not Found"))</f>
        <v>Not Found</v>
      </c>
      <c r="AG73" s="165"/>
      <c r="AH73" s="175" t="e">
        <f t="shared" si="38"/>
        <v>#N/A</v>
      </c>
      <c r="AI73" s="175" t="e">
        <f t="shared" si="39"/>
        <v>#N/A</v>
      </c>
      <c r="AJ73" s="175" t="e">
        <f t="shared" si="40"/>
        <v>#N/A</v>
      </c>
      <c r="AK73" s="175" t="e">
        <f t="shared" si="41"/>
        <v>#N/A</v>
      </c>
      <c r="AL73" s="175" t="e">
        <f t="shared" si="42"/>
        <v>#N/A</v>
      </c>
      <c r="AM73" s="175" t="e">
        <f t="shared" si="43"/>
        <v>#N/A</v>
      </c>
      <c r="AN73" s="175" t="e">
        <f t="shared" si="44"/>
        <v>#N/A</v>
      </c>
      <c r="AO73" s="175" t="e">
        <f t="shared" si="45"/>
        <v>#N/A</v>
      </c>
      <c r="AP73" s="175" t="e">
        <f t="shared" si="46"/>
        <v>#N/A</v>
      </c>
      <c r="AQ73" s="165"/>
      <c r="AR73" s="173" t="e">
        <f t="shared" si="47"/>
        <v>#N/A</v>
      </c>
      <c r="AS73" s="173" t="e">
        <f t="shared" si="48"/>
        <v>#N/A</v>
      </c>
      <c r="AT73" s="173" t="e">
        <f t="shared" si="49"/>
        <v>#N/A</v>
      </c>
      <c r="AU73" s="173" t="e">
        <f t="shared" si="50"/>
        <v>#N/A</v>
      </c>
      <c r="AV73" s="173" t="e">
        <f t="shared" si="51"/>
        <v>#N/A</v>
      </c>
      <c r="AW73" s="173" t="e">
        <f t="shared" si="52"/>
        <v>#N/A</v>
      </c>
      <c r="AX73" s="173" t="e">
        <f t="shared" si="53"/>
        <v>#N/A</v>
      </c>
      <c r="AY73" s="173" t="e">
        <f t="shared" si="54"/>
        <v>#N/A</v>
      </c>
      <c r="AZ73" s="173" t="e">
        <f t="shared" si="55"/>
        <v>#N/A</v>
      </c>
      <c r="BA73" s="165"/>
      <c r="BB73" s="174" t="str">
        <f t="shared" si="56"/>
        <v>No MLR</v>
      </c>
    </row>
    <row r="74" spans="1:54" s="36" customFormat="1" ht="13.8" x14ac:dyDescent="0.3">
      <c r="A74" s="128" t="str">
        <f>_xlfn.XLOOKUP(B74,'Cuttof Mapping'!A:A,'Cuttof Mapping'!D:D)</f>
        <v>2024 Jan 1st</v>
      </c>
      <c r="B74" s="133">
        <v>45306</v>
      </c>
      <c r="C74" s="86" t="s">
        <v>315</v>
      </c>
      <c r="D74" s="79" t="s">
        <v>63</v>
      </c>
      <c r="E74" s="86">
        <v>4500866</v>
      </c>
      <c r="F74" s="86" t="s">
        <v>91</v>
      </c>
      <c r="G74" s="86" t="s">
        <v>316</v>
      </c>
      <c r="H74" s="86">
        <v>10001035</v>
      </c>
      <c r="I74" s="86" t="s">
        <v>90</v>
      </c>
      <c r="J74" s="86">
        <v>1680000743530</v>
      </c>
      <c r="K74" s="86" t="s">
        <v>54</v>
      </c>
      <c r="L74" s="86" t="s">
        <v>317</v>
      </c>
      <c r="M74" s="173">
        <f>IF(G74="","",ABS(SUMIFS('System(MB51)'!$K:$K,'System(MB51)'!$L:$L,'Checking(ZSERIALS)'!$J74,'System(MB51)'!$O:$O,'Checking(ZSERIALS)'!$L74,'System(MB51)'!$A:$A,'Checking(ZSERIALS)'!M$3)))</f>
        <v>0</v>
      </c>
      <c r="N74" s="173">
        <f>IF(H74="","",ABS(SUMIFS('System(MB51)'!$K:$K,'System(MB51)'!$L:$L,'Checking(ZSERIALS)'!$J74,'System(MB51)'!$O:$O,'Checking(ZSERIALS)'!$L74,'System(MB51)'!$A:$A,'Checking(ZSERIALS)'!N$3)))</f>
        <v>2</v>
      </c>
      <c r="O74" s="173">
        <f>IF(I74="","",ABS(SUMIFS('System(MB51)'!$K:$K,'System(MB51)'!$L:$L,'Checking(ZSERIALS)'!$J74,'System(MB51)'!$O:$O,'Checking(ZSERIALS)'!$L74,'System(MB51)'!$A:$A,'Checking(ZSERIALS)'!O$3)))</f>
        <v>0</v>
      </c>
      <c r="P74" s="173">
        <f>IF(J74="","",ABS(SUMIFS('System(MB51)'!$K:$K,'System(MB51)'!$L:$L,'Checking(ZSERIALS)'!$J74,'System(MB51)'!$O:$O,'Checking(ZSERIALS)'!$L74,'System(MB51)'!$A:$A,'Checking(ZSERIALS)'!P$3)))</f>
        <v>1</v>
      </c>
      <c r="Q74" s="173">
        <f>IF(K74="","",ABS(SUMIFS('System(MB51)'!$K:$K,'System(MB51)'!$L:$L,'Checking(ZSERIALS)'!$J74,'System(MB51)'!$O:$O,'Checking(ZSERIALS)'!$L74,'System(MB51)'!$A:$A,'Checking(ZSERIALS)'!Q$3)))</f>
        <v>0</v>
      </c>
      <c r="R74" s="173">
        <f>IF(L74="","",ABS(SUMIFS('System(MB51)'!$K:$K,'System(MB51)'!$L:$L,'Checking(ZSERIALS)'!$J74,'System(MB51)'!$O:$O,'Checking(ZSERIALS)'!$L74,'System(MB51)'!$A:$A,'Checking(ZSERIALS)'!R$3)))</f>
        <v>0</v>
      </c>
      <c r="S74" s="173">
        <f>IF(M74="","",ABS(SUMIFS('System(MB51)'!$K:$K,'System(MB51)'!$L:$L,'Checking(ZSERIALS)'!$J74,'System(MB51)'!$O:$O,'Checking(ZSERIALS)'!$L74,'System(MB51)'!$A:$A,'Checking(ZSERIALS)'!S$3)))</f>
        <v>5</v>
      </c>
      <c r="T74" s="173">
        <f>IF(N74="","",ABS(SUMIFS('System(MB51)'!$K:$K,'System(MB51)'!$L:$L,'Checking(ZSERIALS)'!$J74,'System(MB51)'!$O:$O,'Checking(ZSERIALS)'!$L74,'System(MB51)'!$A:$A,'Checking(ZSERIALS)'!T$3)))</f>
        <v>1</v>
      </c>
      <c r="U74" s="173">
        <f>IF(O74="","",ABS(SUMIFS('System(MB51)'!$K:$K,'System(MB51)'!$L:$L,'Checking(ZSERIALS)'!$J74,'System(MB51)'!$O:$O,'Checking(ZSERIALS)'!$L74,'System(MB51)'!$A:$A,'Checking(ZSERIALS)'!U$3)))</f>
        <v>8</v>
      </c>
      <c r="V74" s="165"/>
      <c r="W74" s="173" t="e">
        <f>IF($G74="","",INDEX(MLR!$1:$1048576,MATCH($G74,MLR!$J:$J,0),MATCH(W$3,MLR!$1:$1,0)))</f>
        <v>#N/A</v>
      </c>
      <c r="X74" s="173" t="e">
        <f>IF($G74="","",INDEX(MLR!$1:$1048576,MATCH($G74,MLR!$J:$J,0),MATCH(X$3,MLR!$1:$1,0)))</f>
        <v>#N/A</v>
      </c>
      <c r="Y74" s="173" t="e">
        <f>IF($G74="","",INDEX(MLR!$1:$1048576,MATCH($G74,MLR!$J:$J,0),MATCH(Y$3,MLR!$1:$1,0)))</f>
        <v>#N/A</v>
      </c>
      <c r="Z74" s="173" t="e">
        <f>IF($G74="","",INDEX(MLR!$1:$1048576,MATCH($G74,MLR!$J:$J,0),MATCH(Z$3,MLR!$1:$1,0)))</f>
        <v>#N/A</v>
      </c>
      <c r="AA74" s="173" t="e">
        <f>IF($G74="","",INDEX(MLR!$1:$1048576,MATCH($G74,MLR!$J:$J,0),MATCH(AA$3,MLR!$1:$1,0)))</f>
        <v>#N/A</v>
      </c>
      <c r="AB74" s="173" t="e">
        <f>IF($G74="","",INDEX(MLR!$1:$1048576,MATCH($G74,MLR!$J:$J,0),MATCH(AB$3,MLR!$1:$1,0)))</f>
        <v>#N/A</v>
      </c>
      <c r="AC74" s="173" t="e">
        <f>IF($G74="","",INDEX(MLR!$1:$1048576,MATCH($G74,MLR!$J:$J,0),MATCH(AC$3,MLR!$1:$1,0)))</f>
        <v>#N/A</v>
      </c>
      <c r="AD74" s="173" t="e">
        <f>IF($G74="","",INDEX(MLR!$1:$1048576,MATCH($G74,MLR!$J:$J,0),MATCH(AD$3,MLR!$1:$1,0)))</f>
        <v>#N/A</v>
      </c>
      <c r="AE74" s="173" t="e">
        <f>IF($G74="","",INDEX(MLR!$1:$1048576,MATCH($G74,MLR!$J:$J,0),MATCH(AE$3,MLR!$1:$1,0)))</f>
        <v>#N/A</v>
      </c>
      <c r="AF74" s="174" t="str">
        <f>IF(G74="","",IFERROR(IF(MATCH($G74,MLR!$J:$J,0)&gt;0,"Installed","Not Found"),"Not Found"))</f>
        <v>Not Found</v>
      </c>
      <c r="AG74" s="165"/>
      <c r="AH74" s="175" t="e">
        <f t="shared" si="38"/>
        <v>#N/A</v>
      </c>
      <c r="AI74" s="175" t="e">
        <f t="shared" si="39"/>
        <v>#N/A</v>
      </c>
      <c r="AJ74" s="175" t="e">
        <f t="shared" si="40"/>
        <v>#N/A</v>
      </c>
      <c r="AK74" s="175" t="e">
        <f t="shared" si="41"/>
        <v>#N/A</v>
      </c>
      <c r="AL74" s="175" t="e">
        <f t="shared" si="42"/>
        <v>#N/A</v>
      </c>
      <c r="AM74" s="175" t="e">
        <f t="shared" si="43"/>
        <v>#N/A</v>
      </c>
      <c r="AN74" s="175" t="e">
        <f t="shared" si="44"/>
        <v>#N/A</v>
      </c>
      <c r="AO74" s="175" t="e">
        <f t="shared" si="45"/>
        <v>#N/A</v>
      </c>
      <c r="AP74" s="175" t="e">
        <f t="shared" si="46"/>
        <v>#N/A</v>
      </c>
      <c r="AQ74" s="165"/>
      <c r="AR74" s="173" t="e">
        <f t="shared" si="47"/>
        <v>#N/A</v>
      </c>
      <c r="AS74" s="173" t="e">
        <f t="shared" si="48"/>
        <v>#N/A</v>
      </c>
      <c r="AT74" s="173" t="e">
        <f t="shared" si="49"/>
        <v>#N/A</v>
      </c>
      <c r="AU74" s="173" t="e">
        <f t="shared" si="50"/>
        <v>#N/A</v>
      </c>
      <c r="AV74" s="173" t="e">
        <f t="shared" si="51"/>
        <v>#N/A</v>
      </c>
      <c r="AW74" s="173" t="e">
        <f t="shared" si="52"/>
        <v>#N/A</v>
      </c>
      <c r="AX74" s="173" t="e">
        <f t="shared" si="53"/>
        <v>#N/A</v>
      </c>
      <c r="AY74" s="173" t="e">
        <f t="shared" si="54"/>
        <v>#N/A</v>
      </c>
      <c r="AZ74" s="173" t="e">
        <f t="shared" si="55"/>
        <v>#N/A</v>
      </c>
      <c r="BA74" s="165"/>
      <c r="BB74" s="174" t="str">
        <f t="shared" si="56"/>
        <v>No MLR</v>
      </c>
    </row>
    <row r="75" spans="1:54" s="36" customFormat="1" ht="13.8" x14ac:dyDescent="0.3">
      <c r="A75" s="128" t="str">
        <f>_xlfn.XLOOKUP(B75,'Cuttof Mapping'!A:A,'Cuttof Mapping'!D:D)</f>
        <v>2024 Jan 1st</v>
      </c>
      <c r="B75" s="133">
        <v>45306</v>
      </c>
      <c r="C75" s="86" t="s">
        <v>318</v>
      </c>
      <c r="D75" s="79" t="s">
        <v>63</v>
      </c>
      <c r="E75" s="86">
        <v>4500866</v>
      </c>
      <c r="F75" s="86" t="s">
        <v>91</v>
      </c>
      <c r="G75" s="86" t="s">
        <v>319</v>
      </c>
      <c r="H75" s="86">
        <v>10001035</v>
      </c>
      <c r="I75" s="86" t="s">
        <v>90</v>
      </c>
      <c r="J75" s="86">
        <v>1680000730411</v>
      </c>
      <c r="K75" s="86" t="s">
        <v>54</v>
      </c>
      <c r="L75" s="86" t="s">
        <v>320</v>
      </c>
      <c r="M75" s="173">
        <f>IF(G75="","",ABS(SUMIFS('System(MB51)'!$K:$K,'System(MB51)'!$L:$L,'Checking(ZSERIALS)'!$J75,'System(MB51)'!$O:$O,'Checking(ZSERIALS)'!$L75,'System(MB51)'!$A:$A,'Checking(ZSERIALS)'!M$3)))</f>
        <v>0</v>
      </c>
      <c r="N75" s="173">
        <f>IF(H75="","",ABS(SUMIFS('System(MB51)'!$K:$K,'System(MB51)'!$L:$L,'Checking(ZSERIALS)'!$J75,'System(MB51)'!$O:$O,'Checking(ZSERIALS)'!$L75,'System(MB51)'!$A:$A,'Checking(ZSERIALS)'!N$3)))</f>
        <v>0</v>
      </c>
      <c r="O75" s="173">
        <f>IF(I75="","",ABS(SUMIFS('System(MB51)'!$K:$K,'System(MB51)'!$L:$L,'Checking(ZSERIALS)'!$J75,'System(MB51)'!$O:$O,'Checking(ZSERIALS)'!$L75,'System(MB51)'!$A:$A,'Checking(ZSERIALS)'!O$3)))</f>
        <v>0</v>
      </c>
      <c r="P75" s="173">
        <f>IF(J75="","",ABS(SUMIFS('System(MB51)'!$K:$K,'System(MB51)'!$L:$L,'Checking(ZSERIALS)'!$J75,'System(MB51)'!$O:$O,'Checking(ZSERIALS)'!$L75,'System(MB51)'!$A:$A,'Checking(ZSERIALS)'!P$3)))</f>
        <v>0</v>
      </c>
      <c r="Q75" s="173">
        <f>IF(K75="","",ABS(SUMIFS('System(MB51)'!$K:$K,'System(MB51)'!$L:$L,'Checking(ZSERIALS)'!$J75,'System(MB51)'!$O:$O,'Checking(ZSERIALS)'!$L75,'System(MB51)'!$A:$A,'Checking(ZSERIALS)'!Q$3)))</f>
        <v>0</v>
      </c>
      <c r="R75" s="173">
        <f>IF(L75="","",ABS(SUMIFS('System(MB51)'!$K:$K,'System(MB51)'!$L:$L,'Checking(ZSERIALS)'!$J75,'System(MB51)'!$O:$O,'Checking(ZSERIALS)'!$L75,'System(MB51)'!$A:$A,'Checking(ZSERIALS)'!R$3)))</f>
        <v>0</v>
      </c>
      <c r="S75" s="173">
        <f>IF(M75="","",ABS(SUMIFS('System(MB51)'!$K:$K,'System(MB51)'!$L:$L,'Checking(ZSERIALS)'!$J75,'System(MB51)'!$O:$O,'Checking(ZSERIALS)'!$L75,'System(MB51)'!$A:$A,'Checking(ZSERIALS)'!S$3)))</f>
        <v>0</v>
      </c>
      <c r="T75" s="173">
        <f>IF(N75="","",ABS(SUMIFS('System(MB51)'!$K:$K,'System(MB51)'!$L:$L,'Checking(ZSERIALS)'!$J75,'System(MB51)'!$O:$O,'Checking(ZSERIALS)'!$L75,'System(MB51)'!$A:$A,'Checking(ZSERIALS)'!T$3)))</f>
        <v>1</v>
      </c>
      <c r="U75" s="173">
        <f>IF(O75="","",ABS(SUMIFS('System(MB51)'!$K:$K,'System(MB51)'!$L:$L,'Checking(ZSERIALS)'!$J75,'System(MB51)'!$O:$O,'Checking(ZSERIALS)'!$L75,'System(MB51)'!$A:$A,'Checking(ZSERIALS)'!U$3)))</f>
        <v>0</v>
      </c>
      <c r="V75" s="165"/>
      <c r="W75" s="173" t="e">
        <f>IF($G75="","",INDEX(MLR!$1:$1048576,MATCH($G75,MLR!$J:$J,0),MATCH(W$3,MLR!$1:$1,0)))</f>
        <v>#N/A</v>
      </c>
      <c r="X75" s="173" t="e">
        <f>IF($G75="","",INDEX(MLR!$1:$1048576,MATCH($G75,MLR!$J:$J,0),MATCH(X$3,MLR!$1:$1,0)))</f>
        <v>#N/A</v>
      </c>
      <c r="Y75" s="173" t="e">
        <f>IF($G75="","",INDEX(MLR!$1:$1048576,MATCH($G75,MLR!$J:$J,0),MATCH(Y$3,MLR!$1:$1,0)))</f>
        <v>#N/A</v>
      </c>
      <c r="Z75" s="173" t="e">
        <f>IF($G75="","",INDEX(MLR!$1:$1048576,MATCH($G75,MLR!$J:$J,0),MATCH(Z$3,MLR!$1:$1,0)))</f>
        <v>#N/A</v>
      </c>
      <c r="AA75" s="173" t="e">
        <f>IF($G75="","",INDEX(MLR!$1:$1048576,MATCH($G75,MLR!$J:$J,0),MATCH(AA$3,MLR!$1:$1,0)))</f>
        <v>#N/A</v>
      </c>
      <c r="AB75" s="173" t="e">
        <f>IF($G75="","",INDEX(MLR!$1:$1048576,MATCH($G75,MLR!$J:$J,0),MATCH(AB$3,MLR!$1:$1,0)))</f>
        <v>#N/A</v>
      </c>
      <c r="AC75" s="173" t="e">
        <f>IF($G75="","",INDEX(MLR!$1:$1048576,MATCH($G75,MLR!$J:$J,0),MATCH(AC$3,MLR!$1:$1,0)))</f>
        <v>#N/A</v>
      </c>
      <c r="AD75" s="173" t="e">
        <f>IF($G75="","",INDEX(MLR!$1:$1048576,MATCH($G75,MLR!$J:$J,0),MATCH(AD$3,MLR!$1:$1,0)))</f>
        <v>#N/A</v>
      </c>
      <c r="AE75" s="173" t="e">
        <f>IF($G75="","",INDEX(MLR!$1:$1048576,MATCH($G75,MLR!$J:$J,0),MATCH(AE$3,MLR!$1:$1,0)))</f>
        <v>#N/A</v>
      </c>
      <c r="AF75" s="174" t="str">
        <f>IF(G75="","",IFERROR(IF(MATCH($G75,MLR!$J:$J,0)&gt;0,"Installed","Not Found"),"Not Found"))</f>
        <v>Not Found</v>
      </c>
      <c r="AG75" s="165"/>
      <c r="AH75" s="175" t="e">
        <f t="shared" si="38"/>
        <v>#N/A</v>
      </c>
      <c r="AI75" s="175" t="e">
        <f t="shared" si="39"/>
        <v>#N/A</v>
      </c>
      <c r="AJ75" s="175" t="e">
        <f t="shared" si="40"/>
        <v>#N/A</v>
      </c>
      <c r="AK75" s="175" t="e">
        <f t="shared" si="41"/>
        <v>#N/A</v>
      </c>
      <c r="AL75" s="175" t="e">
        <f t="shared" si="42"/>
        <v>#N/A</v>
      </c>
      <c r="AM75" s="175" t="e">
        <f t="shared" si="43"/>
        <v>#N/A</v>
      </c>
      <c r="AN75" s="175" t="e">
        <f t="shared" si="44"/>
        <v>#N/A</v>
      </c>
      <c r="AO75" s="175" t="e">
        <f t="shared" si="45"/>
        <v>#N/A</v>
      </c>
      <c r="AP75" s="175" t="e">
        <f t="shared" si="46"/>
        <v>#N/A</v>
      </c>
      <c r="AQ75" s="165"/>
      <c r="AR75" s="173" t="e">
        <f t="shared" si="47"/>
        <v>#N/A</v>
      </c>
      <c r="AS75" s="173" t="e">
        <f t="shared" si="48"/>
        <v>#N/A</v>
      </c>
      <c r="AT75" s="173" t="e">
        <f t="shared" si="49"/>
        <v>#N/A</v>
      </c>
      <c r="AU75" s="173" t="e">
        <f t="shared" si="50"/>
        <v>#N/A</v>
      </c>
      <c r="AV75" s="173" t="e">
        <f t="shared" si="51"/>
        <v>#N/A</v>
      </c>
      <c r="AW75" s="173" t="e">
        <f t="shared" si="52"/>
        <v>#N/A</v>
      </c>
      <c r="AX75" s="173" t="e">
        <f t="shared" si="53"/>
        <v>#N/A</v>
      </c>
      <c r="AY75" s="173" t="e">
        <f t="shared" si="54"/>
        <v>#N/A</v>
      </c>
      <c r="AZ75" s="173" t="e">
        <f t="shared" si="55"/>
        <v>#N/A</v>
      </c>
      <c r="BA75" s="165"/>
      <c r="BB75" s="174" t="str">
        <f t="shared" si="56"/>
        <v>No MLR</v>
      </c>
    </row>
    <row r="76" spans="1:54" s="36" customFormat="1" ht="13.8" x14ac:dyDescent="0.3">
      <c r="A76" s="128" t="str">
        <f>_xlfn.XLOOKUP(B76,'Cuttof Mapping'!A:A,'Cuttof Mapping'!D:D)</f>
        <v>2024 Jan 1st</v>
      </c>
      <c r="B76" s="133">
        <v>45306</v>
      </c>
      <c r="C76" s="86" t="s">
        <v>321</v>
      </c>
      <c r="D76" s="79" t="s">
        <v>63</v>
      </c>
      <c r="E76" s="86">
        <v>4500866</v>
      </c>
      <c r="F76" s="86" t="s">
        <v>91</v>
      </c>
      <c r="G76" s="86" t="s">
        <v>322</v>
      </c>
      <c r="H76" s="86">
        <v>10001035</v>
      </c>
      <c r="I76" s="86" t="s">
        <v>90</v>
      </c>
      <c r="J76" s="86">
        <v>1680000743454</v>
      </c>
      <c r="K76" s="86" t="s">
        <v>54</v>
      </c>
      <c r="L76" s="86" t="s">
        <v>323</v>
      </c>
      <c r="M76" s="173">
        <f>IF(G76="","",ABS(SUMIFS('System(MB51)'!$K:$K,'System(MB51)'!$L:$L,'Checking(ZSERIALS)'!$J76,'System(MB51)'!$O:$O,'Checking(ZSERIALS)'!$L76,'System(MB51)'!$A:$A,'Checking(ZSERIALS)'!M$3)))</f>
        <v>0</v>
      </c>
      <c r="N76" s="173">
        <f>IF(H76="","",ABS(SUMIFS('System(MB51)'!$K:$K,'System(MB51)'!$L:$L,'Checking(ZSERIALS)'!$J76,'System(MB51)'!$O:$O,'Checking(ZSERIALS)'!$L76,'System(MB51)'!$A:$A,'Checking(ZSERIALS)'!N$3)))</f>
        <v>2</v>
      </c>
      <c r="O76" s="173">
        <f>IF(I76="","",ABS(SUMIFS('System(MB51)'!$K:$K,'System(MB51)'!$L:$L,'Checking(ZSERIALS)'!$J76,'System(MB51)'!$O:$O,'Checking(ZSERIALS)'!$L76,'System(MB51)'!$A:$A,'Checking(ZSERIALS)'!O$3)))</f>
        <v>0</v>
      </c>
      <c r="P76" s="173">
        <f>IF(J76="","",ABS(SUMIFS('System(MB51)'!$K:$K,'System(MB51)'!$L:$L,'Checking(ZSERIALS)'!$J76,'System(MB51)'!$O:$O,'Checking(ZSERIALS)'!$L76,'System(MB51)'!$A:$A,'Checking(ZSERIALS)'!P$3)))</f>
        <v>1</v>
      </c>
      <c r="Q76" s="173">
        <f>IF(K76="","",ABS(SUMIFS('System(MB51)'!$K:$K,'System(MB51)'!$L:$L,'Checking(ZSERIALS)'!$J76,'System(MB51)'!$O:$O,'Checking(ZSERIALS)'!$L76,'System(MB51)'!$A:$A,'Checking(ZSERIALS)'!Q$3)))</f>
        <v>0</v>
      </c>
      <c r="R76" s="173">
        <f>IF(L76="","",ABS(SUMIFS('System(MB51)'!$K:$K,'System(MB51)'!$L:$L,'Checking(ZSERIALS)'!$J76,'System(MB51)'!$O:$O,'Checking(ZSERIALS)'!$L76,'System(MB51)'!$A:$A,'Checking(ZSERIALS)'!R$3)))</f>
        <v>0</v>
      </c>
      <c r="S76" s="173">
        <f>IF(M76="","",ABS(SUMIFS('System(MB51)'!$K:$K,'System(MB51)'!$L:$L,'Checking(ZSERIALS)'!$J76,'System(MB51)'!$O:$O,'Checking(ZSERIALS)'!$L76,'System(MB51)'!$A:$A,'Checking(ZSERIALS)'!S$3)))</f>
        <v>5</v>
      </c>
      <c r="T76" s="173">
        <f>IF(N76="","",ABS(SUMIFS('System(MB51)'!$K:$K,'System(MB51)'!$L:$L,'Checking(ZSERIALS)'!$J76,'System(MB51)'!$O:$O,'Checking(ZSERIALS)'!$L76,'System(MB51)'!$A:$A,'Checking(ZSERIALS)'!T$3)))</f>
        <v>1</v>
      </c>
      <c r="U76" s="173">
        <f>IF(O76="","",ABS(SUMIFS('System(MB51)'!$K:$K,'System(MB51)'!$L:$L,'Checking(ZSERIALS)'!$J76,'System(MB51)'!$O:$O,'Checking(ZSERIALS)'!$L76,'System(MB51)'!$A:$A,'Checking(ZSERIALS)'!U$3)))</f>
        <v>8</v>
      </c>
      <c r="V76" s="165"/>
      <c r="W76" s="173" t="e">
        <f>IF($G76="","",INDEX(MLR!$1:$1048576,MATCH($G76,MLR!$J:$J,0),MATCH(W$3,MLR!$1:$1,0)))</f>
        <v>#N/A</v>
      </c>
      <c r="X76" s="173" t="e">
        <f>IF($G76="","",INDEX(MLR!$1:$1048576,MATCH($G76,MLR!$J:$J,0),MATCH(X$3,MLR!$1:$1,0)))</f>
        <v>#N/A</v>
      </c>
      <c r="Y76" s="173" t="e">
        <f>IF($G76="","",INDEX(MLR!$1:$1048576,MATCH($G76,MLR!$J:$J,0),MATCH(Y$3,MLR!$1:$1,0)))</f>
        <v>#N/A</v>
      </c>
      <c r="Z76" s="173" t="e">
        <f>IF($G76="","",INDEX(MLR!$1:$1048576,MATCH($G76,MLR!$J:$J,0),MATCH(Z$3,MLR!$1:$1,0)))</f>
        <v>#N/A</v>
      </c>
      <c r="AA76" s="173" t="e">
        <f>IF($G76="","",INDEX(MLR!$1:$1048576,MATCH($G76,MLR!$J:$J,0),MATCH(AA$3,MLR!$1:$1,0)))</f>
        <v>#N/A</v>
      </c>
      <c r="AB76" s="173" t="e">
        <f>IF($G76="","",INDEX(MLR!$1:$1048576,MATCH($G76,MLR!$J:$J,0),MATCH(AB$3,MLR!$1:$1,0)))</f>
        <v>#N/A</v>
      </c>
      <c r="AC76" s="173" t="e">
        <f>IF($G76="","",INDEX(MLR!$1:$1048576,MATCH($G76,MLR!$J:$J,0),MATCH(AC$3,MLR!$1:$1,0)))</f>
        <v>#N/A</v>
      </c>
      <c r="AD76" s="173" t="e">
        <f>IF($G76="","",INDEX(MLR!$1:$1048576,MATCH($G76,MLR!$J:$J,0),MATCH(AD$3,MLR!$1:$1,0)))</f>
        <v>#N/A</v>
      </c>
      <c r="AE76" s="173" t="e">
        <f>IF($G76="","",INDEX(MLR!$1:$1048576,MATCH($G76,MLR!$J:$J,0),MATCH(AE$3,MLR!$1:$1,0)))</f>
        <v>#N/A</v>
      </c>
      <c r="AF76" s="174" t="str">
        <f>IF(G76="","",IFERROR(IF(MATCH($G76,MLR!$J:$J,0)&gt;0,"Installed","Not Found"),"Not Found"))</f>
        <v>Not Found</v>
      </c>
      <c r="AG76" s="165"/>
      <c r="AH76" s="175" t="e">
        <f t="shared" si="38"/>
        <v>#N/A</v>
      </c>
      <c r="AI76" s="175" t="e">
        <f t="shared" si="39"/>
        <v>#N/A</v>
      </c>
      <c r="AJ76" s="175" t="e">
        <f t="shared" si="40"/>
        <v>#N/A</v>
      </c>
      <c r="AK76" s="175" t="e">
        <f t="shared" si="41"/>
        <v>#N/A</v>
      </c>
      <c r="AL76" s="175" t="e">
        <f t="shared" si="42"/>
        <v>#N/A</v>
      </c>
      <c r="AM76" s="175" t="e">
        <f t="shared" si="43"/>
        <v>#N/A</v>
      </c>
      <c r="AN76" s="175" t="e">
        <f t="shared" si="44"/>
        <v>#N/A</v>
      </c>
      <c r="AO76" s="175" t="e">
        <f t="shared" si="45"/>
        <v>#N/A</v>
      </c>
      <c r="AP76" s="175" t="e">
        <f t="shared" si="46"/>
        <v>#N/A</v>
      </c>
      <c r="AQ76" s="165"/>
      <c r="AR76" s="173" t="e">
        <f t="shared" si="47"/>
        <v>#N/A</v>
      </c>
      <c r="AS76" s="173" t="e">
        <f t="shared" si="48"/>
        <v>#N/A</v>
      </c>
      <c r="AT76" s="173" t="e">
        <f t="shared" si="49"/>
        <v>#N/A</v>
      </c>
      <c r="AU76" s="173" t="e">
        <f t="shared" si="50"/>
        <v>#N/A</v>
      </c>
      <c r="AV76" s="173" t="e">
        <f t="shared" si="51"/>
        <v>#N/A</v>
      </c>
      <c r="AW76" s="173" t="e">
        <f t="shared" si="52"/>
        <v>#N/A</v>
      </c>
      <c r="AX76" s="173" t="e">
        <f t="shared" si="53"/>
        <v>#N/A</v>
      </c>
      <c r="AY76" s="173" t="e">
        <f t="shared" si="54"/>
        <v>#N/A</v>
      </c>
      <c r="AZ76" s="173" t="e">
        <f t="shared" si="55"/>
        <v>#N/A</v>
      </c>
      <c r="BA76" s="165"/>
      <c r="BB76" s="174" t="str">
        <f t="shared" si="56"/>
        <v>No MLR</v>
      </c>
    </row>
    <row r="77" spans="1:54" s="36" customFormat="1" ht="13.8" x14ac:dyDescent="0.3">
      <c r="A77" s="128" t="str">
        <f>_xlfn.XLOOKUP(B77,'Cuttof Mapping'!A:A,'Cuttof Mapping'!D:D)</f>
        <v>2024 Jan 1st</v>
      </c>
      <c r="B77" s="133">
        <v>45307</v>
      </c>
      <c r="C77" s="86" t="s">
        <v>324</v>
      </c>
      <c r="D77" s="79" t="s">
        <v>63</v>
      </c>
      <c r="E77" s="86">
        <v>4500866</v>
      </c>
      <c r="F77" s="86" t="s">
        <v>91</v>
      </c>
      <c r="G77" s="86" t="s">
        <v>325</v>
      </c>
      <c r="H77" s="86">
        <v>10001035</v>
      </c>
      <c r="I77" s="86" t="s">
        <v>90</v>
      </c>
      <c r="J77" s="86">
        <v>1680000745056</v>
      </c>
      <c r="K77" s="86" t="s">
        <v>54</v>
      </c>
      <c r="L77" s="86" t="s">
        <v>326</v>
      </c>
      <c r="M77" s="173">
        <f>IF(G77="","",ABS(SUMIFS('System(MB51)'!$K:$K,'System(MB51)'!$L:$L,'Checking(ZSERIALS)'!$J77,'System(MB51)'!$O:$O,'Checking(ZSERIALS)'!$L77,'System(MB51)'!$A:$A,'Checking(ZSERIALS)'!M$3)))</f>
        <v>0</v>
      </c>
      <c r="N77" s="173">
        <f>IF(H77="","",ABS(SUMIFS('System(MB51)'!$K:$K,'System(MB51)'!$L:$L,'Checking(ZSERIALS)'!$J77,'System(MB51)'!$O:$O,'Checking(ZSERIALS)'!$L77,'System(MB51)'!$A:$A,'Checking(ZSERIALS)'!N$3)))</f>
        <v>2</v>
      </c>
      <c r="O77" s="173">
        <f>IF(I77="","",ABS(SUMIFS('System(MB51)'!$K:$K,'System(MB51)'!$L:$L,'Checking(ZSERIALS)'!$J77,'System(MB51)'!$O:$O,'Checking(ZSERIALS)'!$L77,'System(MB51)'!$A:$A,'Checking(ZSERIALS)'!O$3)))</f>
        <v>0</v>
      </c>
      <c r="P77" s="173">
        <f>IF(J77="","",ABS(SUMIFS('System(MB51)'!$K:$K,'System(MB51)'!$L:$L,'Checking(ZSERIALS)'!$J77,'System(MB51)'!$O:$O,'Checking(ZSERIALS)'!$L77,'System(MB51)'!$A:$A,'Checking(ZSERIALS)'!P$3)))</f>
        <v>1</v>
      </c>
      <c r="Q77" s="173">
        <f>IF(K77="","",ABS(SUMIFS('System(MB51)'!$K:$K,'System(MB51)'!$L:$L,'Checking(ZSERIALS)'!$J77,'System(MB51)'!$O:$O,'Checking(ZSERIALS)'!$L77,'System(MB51)'!$A:$A,'Checking(ZSERIALS)'!Q$3)))</f>
        <v>0</v>
      </c>
      <c r="R77" s="173">
        <f>IF(L77="","",ABS(SUMIFS('System(MB51)'!$K:$K,'System(MB51)'!$L:$L,'Checking(ZSERIALS)'!$J77,'System(MB51)'!$O:$O,'Checking(ZSERIALS)'!$L77,'System(MB51)'!$A:$A,'Checking(ZSERIALS)'!R$3)))</f>
        <v>0</v>
      </c>
      <c r="S77" s="173">
        <f>IF(M77="","",ABS(SUMIFS('System(MB51)'!$K:$K,'System(MB51)'!$L:$L,'Checking(ZSERIALS)'!$J77,'System(MB51)'!$O:$O,'Checking(ZSERIALS)'!$L77,'System(MB51)'!$A:$A,'Checking(ZSERIALS)'!S$3)))</f>
        <v>8</v>
      </c>
      <c r="T77" s="173">
        <f>IF(N77="","",ABS(SUMIFS('System(MB51)'!$K:$K,'System(MB51)'!$L:$L,'Checking(ZSERIALS)'!$J77,'System(MB51)'!$O:$O,'Checking(ZSERIALS)'!$L77,'System(MB51)'!$A:$A,'Checking(ZSERIALS)'!T$3)))</f>
        <v>1</v>
      </c>
      <c r="U77" s="173">
        <f>IF(O77="","",ABS(SUMIFS('System(MB51)'!$K:$K,'System(MB51)'!$L:$L,'Checking(ZSERIALS)'!$J77,'System(MB51)'!$O:$O,'Checking(ZSERIALS)'!$L77,'System(MB51)'!$A:$A,'Checking(ZSERIALS)'!U$3)))</f>
        <v>8</v>
      </c>
      <c r="V77" s="165"/>
      <c r="W77" s="173" t="e">
        <f>IF($G77="","",INDEX(MLR!$1:$1048576,MATCH($G77,MLR!$J:$J,0),MATCH(W$3,MLR!$1:$1,0)))</f>
        <v>#N/A</v>
      </c>
      <c r="X77" s="173" t="e">
        <f>IF($G77="","",INDEX(MLR!$1:$1048576,MATCH($G77,MLR!$J:$J,0),MATCH(X$3,MLR!$1:$1,0)))</f>
        <v>#N/A</v>
      </c>
      <c r="Y77" s="173" t="e">
        <f>IF($G77="","",INDEX(MLR!$1:$1048576,MATCH($G77,MLR!$J:$J,0),MATCH(Y$3,MLR!$1:$1,0)))</f>
        <v>#N/A</v>
      </c>
      <c r="Z77" s="173" t="e">
        <f>IF($G77="","",INDEX(MLR!$1:$1048576,MATCH($G77,MLR!$J:$J,0),MATCH(Z$3,MLR!$1:$1,0)))</f>
        <v>#N/A</v>
      </c>
      <c r="AA77" s="173" t="e">
        <f>IF($G77="","",INDEX(MLR!$1:$1048576,MATCH($G77,MLR!$J:$J,0),MATCH(AA$3,MLR!$1:$1,0)))</f>
        <v>#N/A</v>
      </c>
      <c r="AB77" s="173" t="e">
        <f>IF($G77="","",INDEX(MLR!$1:$1048576,MATCH($G77,MLR!$J:$J,0),MATCH(AB$3,MLR!$1:$1,0)))</f>
        <v>#N/A</v>
      </c>
      <c r="AC77" s="173" t="e">
        <f>IF($G77="","",INDEX(MLR!$1:$1048576,MATCH($G77,MLR!$J:$J,0),MATCH(AC$3,MLR!$1:$1,0)))</f>
        <v>#N/A</v>
      </c>
      <c r="AD77" s="173" t="e">
        <f>IF($G77="","",INDEX(MLR!$1:$1048576,MATCH($G77,MLR!$J:$J,0),MATCH(AD$3,MLR!$1:$1,0)))</f>
        <v>#N/A</v>
      </c>
      <c r="AE77" s="173" t="e">
        <f>IF($G77="","",INDEX(MLR!$1:$1048576,MATCH($G77,MLR!$J:$J,0),MATCH(AE$3,MLR!$1:$1,0)))</f>
        <v>#N/A</v>
      </c>
      <c r="AF77" s="174" t="str">
        <f>IF(G77="","",IFERROR(IF(MATCH($G77,MLR!$J:$J,0)&gt;0,"Installed","Not Found"),"Not Found"))</f>
        <v>Not Found</v>
      </c>
      <c r="AG77" s="165"/>
      <c r="AH77" s="175" t="e">
        <f t="shared" si="38"/>
        <v>#N/A</v>
      </c>
      <c r="AI77" s="175" t="e">
        <f t="shared" si="39"/>
        <v>#N/A</v>
      </c>
      <c r="AJ77" s="175" t="e">
        <f t="shared" si="40"/>
        <v>#N/A</v>
      </c>
      <c r="AK77" s="175" t="e">
        <f t="shared" si="41"/>
        <v>#N/A</v>
      </c>
      <c r="AL77" s="175" t="e">
        <f t="shared" si="42"/>
        <v>#N/A</v>
      </c>
      <c r="AM77" s="175" t="e">
        <f t="shared" si="43"/>
        <v>#N/A</v>
      </c>
      <c r="AN77" s="175" t="e">
        <f t="shared" si="44"/>
        <v>#N/A</v>
      </c>
      <c r="AO77" s="175" t="e">
        <f t="shared" si="45"/>
        <v>#N/A</v>
      </c>
      <c r="AP77" s="175" t="e">
        <f t="shared" si="46"/>
        <v>#N/A</v>
      </c>
      <c r="AQ77" s="165"/>
      <c r="AR77" s="173" t="e">
        <f t="shared" si="47"/>
        <v>#N/A</v>
      </c>
      <c r="AS77" s="173" t="e">
        <f t="shared" si="48"/>
        <v>#N/A</v>
      </c>
      <c r="AT77" s="173" t="e">
        <f t="shared" si="49"/>
        <v>#N/A</v>
      </c>
      <c r="AU77" s="173" t="e">
        <f t="shared" si="50"/>
        <v>#N/A</v>
      </c>
      <c r="AV77" s="173" t="e">
        <f t="shared" si="51"/>
        <v>#N/A</v>
      </c>
      <c r="AW77" s="173" t="e">
        <f t="shared" si="52"/>
        <v>#N/A</v>
      </c>
      <c r="AX77" s="173" t="e">
        <f t="shared" si="53"/>
        <v>#N/A</v>
      </c>
      <c r="AY77" s="173" t="e">
        <f t="shared" si="54"/>
        <v>#N/A</v>
      </c>
      <c r="AZ77" s="173" t="e">
        <f t="shared" si="55"/>
        <v>#N/A</v>
      </c>
      <c r="BA77" s="165"/>
      <c r="BB77" s="174" t="str">
        <f t="shared" si="56"/>
        <v>No MLR</v>
      </c>
    </row>
    <row r="78" spans="1:54" s="36" customFormat="1" ht="13.8" x14ac:dyDescent="0.3">
      <c r="A78" s="128" t="str">
        <f>_xlfn.XLOOKUP(B78,'Cuttof Mapping'!A:A,'Cuttof Mapping'!D:D)</f>
        <v>2024 Jan 1st</v>
      </c>
      <c r="B78" s="133">
        <v>45307</v>
      </c>
      <c r="C78" s="86" t="s">
        <v>327</v>
      </c>
      <c r="D78" s="79" t="s">
        <v>63</v>
      </c>
      <c r="E78" s="86">
        <v>4500866</v>
      </c>
      <c r="F78" s="86" t="s">
        <v>91</v>
      </c>
      <c r="G78" s="86" t="s">
        <v>328</v>
      </c>
      <c r="H78" s="86">
        <v>10001035</v>
      </c>
      <c r="I78" s="86" t="s">
        <v>90</v>
      </c>
      <c r="J78" s="86">
        <v>1680000745079</v>
      </c>
      <c r="K78" s="86" t="s">
        <v>54</v>
      </c>
      <c r="L78" s="86" t="s">
        <v>329</v>
      </c>
      <c r="M78" s="173">
        <f>IF(G78="","",ABS(SUMIFS('System(MB51)'!$K:$K,'System(MB51)'!$L:$L,'Checking(ZSERIALS)'!$J78,'System(MB51)'!$O:$O,'Checking(ZSERIALS)'!$L78,'System(MB51)'!$A:$A,'Checking(ZSERIALS)'!M$3)))</f>
        <v>0</v>
      </c>
      <c r="N78" s="173">
        <f>IF(H78="","",ABS(SUMIFS('System(MB51)'!$K:$K,'System(MB51)'!$L:$L,'Checking(ZSERIALS)'!$J78,'System(MB51)'!$O:$O,'Checking(ZSERIALS)'!$L78,'System(MB51)'!$A:$A,'Checking(ZSERIALS)'!N$3)))</f>
        <v>2</v>
      </c>
      <c r="O78" s="173">
        <f>IF(I78="","",ABS(SUMIFS('System(MB51)'!$K:$K,'System(MB51)'!$L:$L,'Checking(ZSERIALS)'!$J78,'System(MB51)'!$O:$O,'Checking(ZSERIALS)'!$L78,'System(MB51)'!$A:$A,'Checking(ZSERIALS)'!O$3)))</f>
        <v>0</v>
      </c>
      <c r="P78" s="173">
        <f>IF(J78="","",ABS(SUMIFS('System(MB51)'!$K:$K,'System(MB51)'!$L:$L,'Checking(ZSERIALS)'!$J78,'System(MB51)'!$O:$O,'Checking(ZSERIALS)'!$L78,'System(MB51)'!$A:$A,'Checking(ZSERIALS)'!P$3)))</f>
        <v>1</v>
      </c>
      <c r="Q78" s="173">
        <f>IF(K78="","",ABS(SUMIFS('System(MB51)'!$K:$K,'System(MB51)'!$L:$L,'Checking(ZSERIALS)'!$J78,'System(MB51)'!$O:$O,'Checking(ZSERIALS)'!$L78,'System(MB51)'!$A:$A,'Checking(ZSERIALS)'!Q$3)))</f>
        <v>0</v>
      </c>
      <c r="R78" s="173">
        <f>IF(L78="","",ABS(SUMIFS('System(MB51)'!$K:$K,'System(MB51)'!$L:$L,'Checking(ZSERIALS)'!$J78,'System(MB51)'!$O:$O,'Checking(ZSERIALS)'!$L78,'System(MB51)'!$A:$A,'Checking(ZSERIALS)'!R$3)))</f>
        <v>0</v>
      </c>
      <c r="S78" s="173">
        <f>IF(M78="","",ABS(SUMIFS('System(MB51)'!$K:$K,'System(MB51)'!$L:$L,'Checking(ZSERIALS)'!$J78,'System(MB51)'!$O:$O,'Checking(ZSERIALS)'!$L78,'System(MB51)'!$A:$A,'Checking(ZSERIALS)'!S$3)))</f>
        <v>5</v>
      </c>
      <c r="T78" s="173">
        <f>IF(N78="","",ABS(SUMIFS('System(MB51)'!$K:$K,'System(MB51)'!$L:$L,'Checking(ZSERIALS)'!$J78,'System(MB51)'!$O:$O,'Checking(ZSERIALS)'!$L78,'System(MB51)'!$A:$A,'Checking(ZSERIALS)'!T$3)))</f>
        <v>1</v>
      </c>
      <c r="U78" s="173">
        <f>IF(O78="","",ABS(SUMIFS('System(MB51)'!$K:$K,'System(MB51)'!$L:$L,'Checking(ZSERIALS)'!$J78,'System(MB51)'!$O:$O,'Checking(ZSERIALS)'!$L78,'System(MB51)'!$A:$A,'Checking(ZSERIALS)'!U$3)))</f>
        <v>8</v>
      </c>
      <c r="V78" s="165"/>
      <c r="W78" s="173" t="e">
        <f>IF($G78="","",INDEX(MLR!$1:$1048576,MATCH($G78,MLR!$J:$J,0),MATCH(W$3,MLR!$1:$1,0)))</f>
        <v>#N/A</v>
      </c>
      <c r="X78" s="173" t="e">
        <f>IF($G78="","",INDEX(MLR!$1:$1048576,MATCH($G78,MLR!$J:$J,0),MATCH(X$3,MLR!$1:$1,0)))</f>
        <v>#N/A</v>
      </c>
      <c r="Y78" s="173" t="e">
        <f>IF($G78="","",INDEX(MLR!$1:$1048576,MATCH($G78,MLR!$J:$J,0),MATCH(Y$3,MLR!$1:$1,0)))</f>
        <v>#N/A</v>
      </c>
      <c r="Z78" s="173" t="e">
        <f>IF($G78="","",INDEX(MLR!$1:$1048576,MATCH($G78,MLR!$J:$J,0),MATCH(Z$3,MLR!$1:$1,0)))</f>
        <v>#N/A</v>
      </c>
      <c r="AA78" s="173" t="e">
        <f>IF($G78="","",INDEX(MLR!$1:$1048576,MATCH($G78,MLR!$J:$J,0),MATCH(AA$3,MLR!$1:$1,0)))</f>
        <v>#N/A</v>
      </c>
      <c r="AB78" s="173" t="e">
        <f>IF($G78="","",INDEX(MLR!$1:$1048576,MATCH($G78,MLR!$J:$J,0),MATCH(AB$3,MLR!$1:$1,0)))</f>
        <v>#N/A</v>
      </c>
      <c r="AC78" s="173" t="e">
        <f>IF($G78="","",INDEX(MLR!$1:$1048576,MATCH($G78,MLR!$J:$J,0),MATCH(AC$3,MLR!$1:$1,0)))</f>
        <v>#N/A</v>
      </c>
      <c r="AD78" s="173" t="e">
        <f>IF($G78="","",INDEX(MLR!$1:$1048576,MATCH($G78,MLR!$J:$J,0),MATCH(AD$3,MLR!$1:$1,0)))</f>
        <v>#N/A</v>
      </c>
      <c r="AE78" s="173" t="e">
        <f>IF($G78="","",INDEX(MLR!$1:$1048576,MATCH($G78,MLR!$J:$J,0),MATCH(AE$3,MLR!$1:$1,0)))</f>
        <v>#N/A</v>
      </c>
      <c r="AF78" s="174" t="str">
        <f>IF(G78="","",IFERROR(IF(MATCH($G78,MLR!$J:$J,0)&gt;0,"Installed","Not Found"),"Not Found"))</f>
        <v>Not Found</v>
      </c>
      <c r="AG78" s="165"/>
      <c r="AH78" s="175" t="e">
        <f t="shared" ref="AH78:AH106" si="57">IF(G78="","",IF(W78=M78,"Correct",IF(W78&gt;M78,"Short",IF(W78&lt;M78,"Over","Err."))))</f>
        <v>#N/A</v>
      </c>
      <c r="AI78" s="175" t="e">
        <f t="shared" ref="AI78:AI106" si="58">IF(H78="","",IF(X78=N78,"Correct",IF(X78&gt;N78,"Short",IF(X78&lt;N78,"Over","Err."))))</f>
        <v>#N/A</v>
      </c>
      <c r="AJ78" s="175" t="e">
        <f t="shared" ref="AJ78:AJ106" si="59">IF(I78="","",IF(Y78=O78,"Correct",IF(Y78&gt;O78,"Short",IF(Y78&lt;O78,"Over","Err."))))</f>
        <v>#N/A</v>
      </c>
      <c r="AK78" s="175" t="e">
        <f t="shared" ref="AK78:AK106" si="60">IF(J78="","",IF(Z78=P78,"Correct",IF(Z78&gt;P78,"Short",IF(Z78&lt;P78,"Over","Err."))))</f>
        <v>#N/A</v>
      </c>
      <c r="AL78" s="175" t="e">
        <f t="shared" ref="AL78:AL106" si="61">IF(K78="","",IF(AA78=Q78,"Correct",IF(AA78&gt;Q78,"Short",IF(AA78&lt;Q78,"Over","Err."))))</f>
        <v>#N/A</v>
      </c>
      <c r="AM78" s="175" t="e">
        <f t="shared" ref="AM78:AM106" si="62">IF(L78="","",IF(AB78=R78,"Correct",IF(AB78&gt;R78,"Short",IF(AB78&lt;R78,"Over","Err."))))</f>
        <v>#N/A</v>
      </c>
      <c r="AN78" s="175" t="e">
        <f t="shared" ref="AN78:AN106" si="63">IF(M78="","",IF(AC78=S78,"Correct",IF(AC78&gt;S78,"Short",IF(AC78&lt;S78,"Over","Err."))))</f>
        <v>#N/A</v>
      </c>
      <c r="AO78" s="175" t="e">
        <f t="shared" ref="AO78:AO106" si="64">IF(N78="","",IF(AD78=T78,"Correct",IF(AD78&gt;T78,"Short",IF(AD78&lt;T78,"Over","Err."))))</f>
        <v>#N/A</v>
      </c>
      <c r="AP78" s="175" t="e">
        <f t="shared" ref="AP78:AP106" si="65">IF(O78="","",IF(AE78=U78,"Correct",IF(AE78&gt;U78,"Short",IF(AE78&lt;U78,"Over","Err."))))</f>
        <v>#N/A</v>
      </c>
      <c r="AQ78" s="165"/>
      <c r="AR78" s="173" t="e">
        <f t="shared" si="47"/>
        <v>#N/A</v>
      </c>
      <c r="AS78" s="173" t="e">
        <f t="shared" si="48"/>
        <v>#N/A</v>
      </c>
      <c r="AT78" s="173" t="e">
        <f t="shared" si="49"/>
        <v>#N/A</v>
      </c>
      <c r="AU78" s="173" t="e">
        <f t="shared" si="50"/>
        <v>#N/A</v>
      </c>
      <c r="AV78" s="173" t="e">
        <f t="shared" si="51"/>
        <v>#N/A</v>
      </c>
      <c r="AW78" s="173" t="e">
        <f t="shared" si="52"/>
        <v>#N/A</v>
      </c>
      <c r="AX78" s="173" t="e">
        <f t="shared" si="53"/>
        <v>#N/A</v>
      </c>
      <c r="AY78" s="173" t="e">
        <f t="shared" si="54"/>
        <v>#N/A</v>
      </c>
      <c r="AZ78" s="173" t="e">
        <f t="shared" si="55"/>
        <v>#N/A</v>
      </c>
      <c r="BA78" s="165"/>
      <c r="BB78" s="174" t="str">
        <f t="shared" si="56"/>
        <v>No MLR</v>
      </c>
    </row>
    <row r="79" spans="1:54" s="36" customFormat="1" ht="13.8" x14ac:dyDescent="0.3">
      <c r="A79" s="128" t="str">
        <f>_xlfn.XLOOKUP(B79,'Cuttof Mapping'!A:A,'Cuttof Mapping'!D:D)</f>
        <v>2023 Dec 2nd</v>
      </c>
      <c r="B79" s="133">
        <v>45286</v>
      </c>
      <c r="C79" s="86" t="s">
        <v>330</v>
      </c>
      <c r="D79" s="79" t="s">
        <v>63</v>
      </c>
      <c r="E79" s="86">
        <v>4500866</v>
      </c>
      <c r="F79" s="86" t="s">
        <v>91</v>
      </c>
      <c r="G79" s="86" t="s">
        <v>331</v>
      </c>
      <c r="H79" s="86">
        <v>10001035</v>
      </c>
      <c r="I79" s="86" t="s">
        <v>90</v>
      </c>
      <c r="J79" s="86">
        <v>1680000691706</v>
      </c>
      <c r="K79" s="86" t="s">
        <v>54</v>
      </c>
      <c r="L79" s="86" t="s">
        <v>332</v>
      </c>
      <c r="M79" s="173">
        <f>IF(G79="","",ABS(SUMIFS('System(MB51)'!$K:$K,'System(MB51)'!$L:$L,'Checking(ZSERIALS)'!$J79,'System(MB51)'!$O:$O,'Checking(ZSERIALS)'!$L79,'System(MB51)'!$A:$A,'Checking(ZSERIALS)'!M$3)))</f>
        <v>327</v>
      </c>
      <c r="N79" s="173">
        <f>IF(H79="","",ABS(SUMIFS('System(MB51)'!$K:$K,'System(MB51)'!$L:$L,'Checking(ZSERIALS)'!$J79,'System(MB51)'!$O:$O,'Checking(ZSERIALS)'!$L79,'System(MB51)'!$A:$A,'Checking(ZSERIALS)'!N$3)))</f>
        <v>2</v>
      </c>
      <c r="O79" s="173">
        <f>IF(I79="","",ABS(SUMIFS('System(MB51)'!$K:$K,'System(MB51)'!$L:$L,'Checking(ZSERIALS)'!$J79,'System(MB51)'!$O:$O,'Checking(ZSERIALS)'!$L79,'System(MB51)'!$A:$A,'Checking(ZSERIALS)'!O$3)))</f>
        <v>0</v>
      </c>
      <c r="P79" s="173">
        <f>IF(J79="","",ABS(SUMIFS('System(MB51)'!$K:$K,'System(MB51)'!$L:$L,'Checking(ZSERIALS)'!$J79,'System(MB51)'!$O:$O,'Checking(ZSERIALS)'!$L79,'System(MB51)'!$A:$A,'Checking(ZSERIALS)'!P$3)))</f>
        <v>1</v>
      </c>
      <c r="Q79" s="173">
        <f>IF(K79="","",ABS(SUMIFS('System(MB51)'!$K:$K,'System(MB51)'!$L:$L,'Checking(ZSERIALS)'!$J79,'System(MB51)'!$O:$O,'Checking(ZSERIALS)'!$L79,'System(MB51)'!$A:$A,'Checking(ZSERIALS)'!Q$3)))</f>
        <v>0</v>
      </c>
      <c r="R79" s="173">
        <f>IF(L79="","",ABS(SUMIFS('System(MB51)'!$K:$K,'System(MB51)'!$L:$L,'Checking(ZSERIALS)'!$J79,'System(MB51)'!$O:$O,'Checking(ZSERIALS)'!$L79,'System(MB51)'!$A:$A,'Checking(ZSERIALS)'!R$3)))</f>
        <v>0</v>
      </c>
      <c r="S79" s="173">
        <f>IF(M79="","",ABS(SUMIFS('System(MB51)'!$K:$K,'System(MB51)'!$L:$L,'Checking(ZSERIALS)'!$J79,'System(MB51)'!$O:$O,'Checking(ZSERIALS)'!$L79,'System(MB51)'!$A:$A,'Checking(ZSERIALS)'!S$3)))</f>
        <v>5</v>
      </c>
      <c r="T79" s="173">
        <f>IF(N79="","",ABS(SUMIFS('System(MB51)'!$K:$K,'System(MB51)'!$L:$L,'Checking(ZSERIALS)'!$J79,'System(MB51)'!$O:$O,'Checking(ZSERIALS)'!$L79,'System(MB51)'!$A:$A,'Checking(ZSERIALS)'!T$3)))</f>
        <v>1</v>
      </c>
      <c r="U79" s="173">
        <f>IF(O79="","",ABS(SUMIFS('System(MB51)'!$K:$K,'System(MB51)'!$L:$L,'Checking(ZSERIALS)'!$J79,'System(MB51)'!$O:$O,'Checking(ZSERIALS)'!$L79,'System(MB51)'!$A:$A,'Checking(ZSERIALS)'!U$3)))</f>
        <v>0</v>
      </c>
      <c r="V79" s="165"/>
      <c r="W79" s="173">
        <f>IF($G79="","",INDEX(MLR!$1:$1048576,MATCH($G79,MLR!$J:$J,0),MATCH(W$3,MLR!$1:$1,0)))</f>
        <v>355</v>
      </c>
      <c r="X79" s="173">
        <f>IF($G79="","",INDEX(MLR!$1:$1048576,MATCH($G79,MLR!$J:$J,0),MATCH(X$3,MLR!$1:$1,0)))</f>
        <v>2</v>
      </c>
      <c r="Y79" s="173">
        <f>IF($G79="","",INDEX(MLR!$1:$1048576,MATCH($G79,MLR!$J:$J,0),MATCH(Y$3,MLR!$1:$1,0)))</f>
        <v>12</v>
      </c>
      <c r="Z79" s="173">
        <f>IF($G79="","",INDEX(MLR!$1:$1048576,MATCH($G79,MLR!$J:$J,0),MATCH(Z$3,MLR!$1:$1,0)))</f>
        <v>1</v>
      </c>
      <c r="AA79" s="173">
        <f>IF($G79="","",INDEX(MLR!$1:$1048576,MATCH($G79,MLR!$J:$J,0),MATCH(AA$3,MLR!$1:$1,0)))</f>
        <v>0</v>
      </c>
      <c r="AB79" s="173">
        <f>IF($G79="","",INDEX(MLR!$1:$1048576,MATCH($G79,MLR!$J:$J,0),MATCH(AB$3,MLR!$1:$1,0)))</f>
        <v>0</v>
      </c>
      <c r="AC79" s="173">
        <f>IF($G79="","",INDEX(MLR!$1:$1048576,MATCH($G79,MLR!$J:$J,0),MATCH(AC$3,MLR!$1:$1,0)))</f>
        <v>5</v>
      </c>
      <c r="AD79" s="173">
        <f>IF($G79="","",INDEX(MLR!$1:$1048576,MATCH($G79,MLR!$J:$J,0),MATCH(AD$3,MLR!$1:$1,0)))</f>
        <v>1</v>
      </c>
      <c r="AE79" s="173">
        <f>IF($G79="","",INDEX(MLR!$1:$1048576,MATCH($G79,MLR!$J:$J,0),MATCH(AE$3,MLR!$1:$1,0)))</f>
        <v>10</v>
      </c>
      <c r="AF79" s="174" t="str">
        <f>IF(G79="","",IFERROR(IF(MATCH($G79,MLR!$J:$J,0)&gt;0,"Installed","Not Found"),"Not Found"))</f>
        <v>Installed</v>
      </c>
      <c r="AG79" s="165"/>
      <c r="AH79" s="175" t="str">
        <f t="shared" si="57"/>
        <v>Short</v>
      </c>
      <c r="AI79" s="175" t="str">
        <f t="shared" si="58"/>
        <v>Correct</v>
      </c>
      <c r="AJ79" s="175" t="str">
        <f t="shared" si="59"/>
        <v>Short</v>
      </c>
      <c r="AK79" s="175" t="str">
        <f t="shared" si="60"/>
        <v>Correct</v>
      </c>
      <c r="AL79" s="175" t="str">
        <f t="shared" si="61"/>
        <v>Correct</v>
      </c>
      <c r="AM79" s="175" t="str">
        <f t="shared" si="62"/>
        <v>Correct</v>
      </c>
      <c r="AN79" s="175" t="str">
        <f t="shared" si="63"/>
        <v>Correct</v>
      </c>
      <c r="AO79" s="175" t="str">
        <f t="shared" si="64"/>
        <v>Correct</v>
      </c>
      <c r="AP79" s="175" t="str">
        <f t="shared" si="65"/>
        <v>Short</v>
      </c>
      <c r="AQ79" s="165"/>
      <c r="AR79" s="173">
        <f t="shared" si="47"/>
        <v>-28</v>
      </c>
      <c r="AS79" s="173">
        <f t="shared" si="48"/>
        <v>0</v>
      </c>
      <c r="AT79" s="173">
        <f t="shared" si="49"/>
        <v>-12</v>
      </c>
      <c r="AU79" s="173">
        <f t="shared" si="50"/>
        <v>0</v>
      </c>
      <c r="AV79" s="173">
        <f t="shared" si="51"/>
        <v>0</v>
      </c>
      <c r="AW79" s="173">
        <f t="shared" si="52"/>
        <v>0</v>
      </c>
      <c r="AX79" s="173">
        <f t="shared" si="53"/>
        <v>0</v>
      </c>
      <c r="AY79" s="173">
        <f t="shared" si="54"/>
        <v>0</v>
      </c>
      <c r="AZ79" s="173">
        <f t="shared" si="55"/>
        <v>-10</v>
      </c>
      <c r="BA79" s="165"/>
      <c r="BB79" s="174" t="str">
        <f t="shared" si="56"/>
        <v>With Variance</v>
      </c>
    </row>
    <row r="80" spans="1:54" s="36" customFormat="1" ht="13.8" x14ac:dyDescent="0.3">
      <c r="A80" s="128" t="str">
        <f>_xlfn.XLOOKUP(B80,'Cuttof Mapping'!A:A,'Cuttof Mapping'!D:D)</f>
        <v>2023 Dec 2nd</v>
      </c>
      <c r="B80" s="133">
        <v>45287</v>
      </c>
      <c r="C80" s="86" t="s">
        <v>333</v>
      </c>
      <c r="D80" s="79" t="s">
        <v>63</v>
      </c>
      <c r="E80" s="86">
        <v>4500866</v>
      </c>
      <c r="F80" s="86" t="s">
        <v>91</v>
      </c>
      <c r="G80" s="86" t="s">
        <v>334</v>
      </c>
      <c r="H80" s="86">
        <v>10001035</v>
      </c>
      <c r="I80" s="86" t="s">
        <v>90</v>
      </c>
      <c r="J80" s="86">
        <v>1680000693742</v>
      </c>
      <c r="K80" s="86" t="s">
        <v>54</v>
      </c>
      <c r="L80" s="86" t="s">
        <v>335</v>
      </c>
      <c r="M80" s="173">
        <f>IF(G80="","",ABS(SUMIFS('System(MB51)'!$K:$K,'System(MB51)'!$L:$L,'Checking(ZSERIALS)'!$J80,'System(MB51)'!$O:$O,'Checking(ZSERIALS)'!$L80,'System(MB51)'!$A:$A,'Checking(ZSERIALS)'!M$3)))</f>
        <v>1716</v>
      </c>
      <c r="N80" s="173">
        <f>IF(H80="","",ABS(SUMIFS('System(MB51)'!$K:$K,'System(MB51)'!$L:$L,'Checking(ZSERIALS)'!$J80,'System(MB51)'!$O:$O,'Checking(ZSERIALS)'!$L80,'System(MB51)'!$A:$A,'Checking(ZSERIALS)'!N$3)))</f>
        <v>2</v>
      </c>
      <c r="O80" s="173">
        <f>IF(I80="","",ABS(SUMIFS('System(MB51)'!$K:$K,'System(MB51)'!$L:$L,'Checking(ZSERIALS)'!$J80,'System(MB51)'!$O:$O,'Checking(ZSERIALS)'!$L80,'System(MB51)'!$A:$A,'Checking(ZSERIALS)'!O$3)))</f>
        <v>0</v>
      </c>
      <c r="P80" s="173">
        <f>IF(J80="","",ABS(SUMIFS('System(MB51)'!$K:$K,'System(MB51)'!$L:$L,'Checking(ZSERIALS)'!$J80,'System(MB51)'!$O:$O,'Checking(ZSERIALS)'!$L80,'System(MB51)'!$A:$A,'Checking(ZSERIALS)'!P$3)))</f>
        <v>1</v>
      </c>
      <c r="Q80" s="173">
        <f>IF(K80="","",ABS(SUMIFS('System(MB51)'!$K:$K,'System(MB51)'!$L:$L,'Checking(ZSERIALS)'!$J80,'System(MB51)'!$O:$O,'Checking(ZSERIALS)'!$L80,'System(MB51)'!$A:$A,'Checking(ZSERIALS)'!Q$3)))</f>
        <v>0</v>
      </c>
      <c r="R80" s="173">
        <f>IF(L80="","",ABS(SUMIFS('System(MB51)'!$K:$K,'System(MB51)'!$L:$L,'Checking(ZSERIALS)'!$J80,'System(MB51)'!$O:$O,'Checking(ZSERIALS)'!$L80,'System(MB51)'!$A:$A,'Checking(ZSERIALS)'!R$3)))</f>
        <v>0</v>
      </c>
      <c r="S80" s="173">
        <f>IF(M80="","",ABS(SUMIFS('System(MB51)'!$K:$K,'System(MB51)'!$L:$L,'Checking(ZSERIALS)'!$J80,'System(MB51)'!$O:$O,'Checking(ZSERIALS)'!$L80,'System(MB51)'!$A:$A,'Checking(ZSERIALS)'!S$3)))</f>
        <v>5</v>
      </c>
      <c r="T80" s="173">
        <f>IF(N80="","",ABS(SUMIFS('System(MB51)'!$K:$K,'System(MB51)'!$L:$L,'Checking(ZSERIALS)'!$J80,'System(MB51)'!$O:$O,'Checking(ZSERIALS)'!$L80,'System(MB51)'!$A:$A,'Checking(ZSERIALS)'!T$3)))</f>
        <v>1</v>
      </c>
      <c r="U80" s="173">
        <f>IF(O80="","",ABS(SUMIFS('System(MB51)'!$K:$K,'System(MB51)'!$L:$L,'Checking(ZSERIALS)'!$J80,'System(MB51)'!$O:$O,'Checking(ZSERIALS)'!$L80,'System(MB51)'!$A:$A,'Checking(ZSERIALS)'!U$3)))</f>
        <v>8</v>
      </c>
      <c r="V80" s="165"/>
      <c r="W80" s="173">
        <f>IF($G80="","",INDEX(MLR!$1:$1048576,MATCH($G80,MLR!$J:$J,0),MATCH(W$3,MLR!$1:$1,0)))</f>
        <v>59</v>
      </c>
      <c r="X80" s="173">
        <f>IF($G80="","",INDEX(MLR!$1:$1048576,MATCH($G80,MLR!$J:$J,0),MATCH(X$3,MLR!$1:$1,0)))</f>
        <v>2</v>
      </c>
      <c r="Y80" s="173">
        <f>IF($G80="","",INDEX(MLR!$1:$1048576,MATCH($G80,MLR!$J:$J,0),MATCH(Y$3,MLR!$1:$1,0)))</f>
        <v>6</v>
      </c>
      <c r="Z80" s="173">
        <f>IF($G80="","",INDEX(MLR!$1:$1048576,MATCH($G80,MLR!$J:$J,0),MATCH(Z$3,MLR!$1:$1,0)))</f>
        <v>1</v>
      </c>
      <c r="AA80" s="173">
        <f>IF($G80="","",INDEX(MLR!$1:$1048576,MATCH($G80,MLR!$J:$J,0),MATCH(AA$3,MLR!$1:$1,0)))</f>
        <v>0</v>
      </c>
      <c r="AB80" s="173">
        <f>IF($G80="","",INDEX(MLR!$1:$1048576,MATCH($G80,MLR!$J:$J,0),MATCH(AB$3,MLR!$1:$1,0)))</f>
        <v>0</v>
      </c>
      <c r="AC80" s="173">
        <f>IF($G80="","",INDEX(MLR!$1:$1048576,MATCH($G80,MLR!$J:$J,0),MATCH(AC$3,MLR!$1:$1,0)))</f>
        <v>5</v>
      </c>
      <c r="AD80" s="173">
        <f>IF($G80="","",INDEX(MLR!$1:$1048576,MATCH($G80,MLR!$J:$J,0),MATCH(AD$3,MLR!$1:$1,0)))</f>
        <v>1</v>
      </c>
      <c r="AE80" s="173">
        <f>IF($G80="","",INDEX(MLR!$1:$1048576,MATCH($G80,MLR!$J:$J,0),MATCH(AE$3,MLR!$1:$1,0)))</f>
        <v>10</v>
      </c>
      <c r="AF80" s="174" t="str">
        <f>IF(G80="","",IFERROR(IF(MATCH($G80,MLR!$J:$J,0)&gt;0,"Installed","Not Found"),"Not Found"))</f>
        <v>Installed</v>
      </c>
      <c r="AG80" s="165"/>
      <c r="AH80" s="175" t="str">
        <f t="shared" si="57"/>
        <v>Over</v>
      </c>
      <c r="AI80" s="175" t="str">
        <f t="shared" si="58"/>
        <v>Correct</v>
      </c>
      <c r="AJ80" s="175" t="str">
        <f t="shared" si="59"/>
        <v>Short</v>
      </c>
      <c r="AK80" s="175" t="str">
        <f t="shared" si="60"/>
        <v>Correct</v>
      </c>
      <c r="AL80" s="175" t="str">
        <f t="shared" si="61"/>
        <v>Correct</v>
      </c>
      <c r="AM80" s="175" t="str">
        <f t="shared" si="62"/>
        <v>Correct</v>
      </c>
      <c r="AN80" s="175" t="str">
        <f t="shared" si="63"/>
        <v>Correct</v>
      </c>
      <c r="AO80" s="175" t="str">
        <f t="shared" si="64"/>
        <v>Correct</v>
      </c>
      <c r="AP80" s="175" t="str">
        <f t="shared" si="65"/>
        <v>Short</v>
      </c>
      <c r="AQ80" s="165"/>
      <c r="AR80" s="173">
        <f t="shared" si="47"/>
        <v>1657</v>
      </c>
      <c r="AS80" s="173">
        <f t="shared" si="48"/>
        <v>0</v>
      </c>
      <c r="AT80" s="173">
        <f t="shared" si="49"/>
        <v>-6</v>
      </c>
      <c r="AU80" s="173">
        <f t="shared" si="50"/>
        <v>0</v>
      </c>
      <c r="AV80" s="173">
        <f t="shared" si="51"/>
        <v>0</v>
      </c>
      <c r="AW80" s="173">
        <f t="shared" si="52"/>
        <v>0</v>
      </c>
      <c r="AX80" s="173">
        <f t="shared" si="53"/>
        <v>0</v>
      </c>
      <c r="AY80" s="173">
        <f t="shared" si="54"/>
        <v>0</v>
      </c>
      <c r="AZ80" s="173">
        <f t="shared" si="55"/>
        <v>-2</v>
      </c>
      <c r="BA80" s="165"/>
      <c r="BB80" s="174" t="str">
        <f t="shared" si="56"/>
        <v>With Variance</v>
      </c>
    </row>
    <row r="81" spans="1:54" s="36" customFormat="1" ht="13.8" x14ac:dyDescent="0.3">
      <c r="A81" s="128" t="str">
        <f>_xlfn.XLOOKUP(B81,'Cuttof Mapping'!A:A,'Cuttof Mapping'!D:D)</f>
        <v>2023 Dec 2nd</v>
      </c>
      <c r="B81" s="133">
        <v>45287</v>
      </c>
      <c r="C81" s="86" t="s">
        <v>336</v>
      </c>
      <c r="D81" s="79" t="s">
        <v>63</v>
      </c>
      <c r="E81" s="86">
        <v>4500866</v>
      </c>
      <c r="F81" s="86" t="s">
        <v>91</v>
      </c>
      <c r="G81" s="86" t="s">
        <v>337</v>
      </c>
      <c r="H81" s="86">
        <v>10001035</v>
      </c>
      <c r="I81" s="86" t="s">
        <v>90</v>
      </c>
      <c r="J81" s="86">
        <v>1680000577687</v>
      </c>
      <c r="K81" s="86" t="s">
        <v>54</v>
      </c>
      <c r="L81" s="86">
        <v>10973205223</v>
      </c>
      <c r="M81" s="173">
        <f>IF(G81="","",ABS(SUMIFS('System(MB51)'!$K:$K,'System(MB51)'!$L:$L,'Checking(ZSERIALS)'!$J81,'System(MB51)'!$O:$O,'Checking(ZSERIALS)'!$L81,'System(MB51)'!$A:$A,'Checking(ZSERIALS)'!M$3)))</f>
        <v>0</v>
      </c>
      <c r="N81" s="173">
        <f>IF(H81="","",ABS(SUMIFS('System(MB51)'!$K:$K,'System(MB51)'!$L:$L,'Checking(ZSERIALS)'!$J81,'System(MB51)'!$O:$O,'Checking(ZSERIALS)'!$L81,'System(MB51)'!$A:$A,'Checking(ZSERIALS)'!N$3)))</f>
        <v>0</v>
      </c>
      <c r="O81" s="173">
        <f>IF(I81="","",ABS(SUMIFS('System(MB51)'!$K:$K,'System(MB51)'!$L:$L,'Checking(ZSERIALS)'!$J81,'System(MB51)'!$O:$O,'Checking(ZSERIALS)'!$L81,'System(MB51)'!$A:$A,'Checking(ZSERIALS)'!O$3)))</f>
        <v>0</v>
      </c>
      <c r="P81" s="173">
        <f>IF(J81="","",ABS(SUMIFS('System(MB51)'!$K:$K,'System(MB51)'!$L:$L,'Checking(ZSERIALS)'!$J81,'System(MB51)'!$O:$O,'Checking(ZSERIALS)'!$L81,'System(MB51)'!$A:$A,'Checking(ZSERIALS)'!P$3)))</f>
        <v>0</v>
      </c>
      <c r="Q81" s="173">
        <f>IF(K81="","",ABS(SUMIFS('System(MB51)'!$K:$K,'System(MB51)'!$L:$L,'Checking(ZSERIALS)'!$J81,'System(MB51)'!$O:$O,'Checking(ZSERIALS)'!$L81,'System(MB51)'!$A:$A,'Checking(ZSERIALS)'!Q$3)))</f>
        <v>0</v>
      </c>
      <c r="R81" s="173">
        <f>IF(L81="","",ABS(SUMIFS('System(MB51)'!$K:$K,'System(MB51)'!$L:$L,'Checking(ZSERIALS)'!$J81,'System(MB51)'!$O:$O,'Checking(ZSERIALS)'!$L81,'System(MB51)'!$A:$A,'Checking(ZSERIALS)'!R$3)))</f>
        <v>0</v>
      </c>
      <c r="S81" s="173">
        <f>IF(M81="","",ABS(SUMIFS('System(MB51)'!$K:$K,'System(MB51)'!$L:$L,'Checking(ZSERIALS)'!$J81,'System(MB51)'!$O:$O,'Checking(ZSERIALS)'!$L81,'System(MB51)'!$A:$A,'Checking(ZSERIALS)'!S$3)))</f>
        <v>0</v>
      </c>
      <c r="T81" s="173">
        <f>IF(N81="","",ABS(SUMIFS('System(MB51)'!$K:$K,'System(MB51)'!$L:$L,'Checking(ZSERIALS)'!$J81,'System(MB51)'!$O:$O,'Checking(ZSERIALS)'!$L81,'System(MB51)'!$A:$A,'Checking(ZSERIALS)'!T$3)))</f>
        <v>0</v>
      </c>
      <c r="U81" s="173">
        <f>IF(O81="","",ABS(SUMIFS('System(MB51)'!$K:$K,'System(MB51)'!$L:$L,'Checking(ZSERIALS)'!$J81,'System(MB51)'!$O:$O,'Checking(ZSERIALS)'!$L81,'System(MB51)'!$A:$A,'Checking(ZSERIALS)'!U$3)))</f>
        <v>0</v>
      </c>
      <c r="V81" s="165"/>
      <c r="W81" s="173" t="e">
        <f>IF($G81="","",INDEX(MLR!$1:$1048576,MATCH($G81,MLR!$J:$J,0),MATCH(W$3,MLR!$1:$1,0)))</f>
        <v>#N/A</v>
      </c>
      <c r="X81" s="173" t="e">
        <f>IF($G81="","",INDEX(MLR!$1:$1048576,MATCH($G81,MLR!$J:$J,0),MATCH(X$3,MLR!$1:$1,0)))</f>
        <v>#N/A</v>
      </c>
      <c r="Y81" s="173" t="e">
        <f>IF($G81="","",INDEX(MLR!$1:$1048576,MATCH($G81,MLR!$J:$J,0),MATCH(Y$3,MLR!$1:$1,0)))</f>
        <v>#N/A</v>
      </c>
      <c r="Z81" s="173" t="e">
        <f>IF($G81="","",INDEX(MLR!$1:$1048576,MATCH($G81,MLR!$J:$J,0),MATCH(Z$3,MLR!$1:$1,0)))</f>
        <v>#N/A</v>
      </c>
      <c r="AA81" s="173" t="e">
        <f>IF($G81="","",INDEX(MLR!$1:$1048576,MATCH($G81,MLR!$J:$J,0),MATCH(AA$3,MLR!$1:$1,0)))</f>
        <v>#N/A</v>
      </c>
      <c r="AB81" s="173" t="e">
        <f>IF($G81="","",INDEX(MLR!$1:$1048576,MATCH($G81,MLR!$J:$J,0),MATCH(AB$3,MLR!$1:$1,0)))</f>
        <v>#N/A</v>
      </c>
      <c r="AC81" s="173" t="e">
        <f>IF($G81="","",INDEX(MLR!$1:$1048576,MATCH($G81,MLR!$J:$J,0),MATCH(AC$3,MLR!$1:$1,0)))</f>
        <v>#N/A</v>
      </c>
      <c r="AD81" s="173" t="e">
        <f>IF($G81="","",INDEX(MLR!$1:$1048576,MATCH($G81,MLR!$J:$J,0),MATCH(AD$3,MLR!$1:$1,0)))</f>
        <v>#N/A</v>
      </c>
      <c r="AE81" s="173" t="e">
        <f>IF($G81="","",INDEX(MLR!$1:$1048576,MATCH($G81,MLR!$J:$J,0),MATCH(AE$3,MLR!$1:$1,0)))</f>
        <v>#N/A</v>
      </c>
      <c r="AF81" s="174" t="str">
        <f>IF(G81="","",IFERROR(IF(MATCH($G81,MLR!$J:$J,0)&gt;0,"Installed","Not Found"),"Not Found"))</f>
        <v>Not Found</v>
      </c>
      <c r="AG81" s="165"/>
      <c r="AH81" s="175" t="e">
        <f t="shared" si="57"/>
        <v>#N/A</v>
      </c>
      <c r="AI81" s="175" t="e">
        <f t="shared" si="58"/>
        <v>#N/A</v>
      </c>
      <c r="AJ81" s="175" t="e">
        <f t="shared" si="59"/>
        <v>#N/A</v>
      </c>
      <c r="AK81" s="175" t="e">
        <f t="shared" si="60"/>
        <v>#N/A</v>
      </c>
      <c r="AL81" s="175" t="e">
        <f t="shared" si="61"/>
        <v>#N/A</v>
      </c>
      <c r="AM81" s="175" t="e">
        <f t="shared" si="62"/>
        <v>#N/A</v>
      </c>
      <c r="AN81" s="175" t="e">
        <f t="shared" si="63"/>
        <v>#N/A</v>
      </c>
      <c r="AO81" s="175" t="e">
        <f t="shared" si="64"/>
        <v>#N/A</v>
      </c>
      <c r="AP81" s="175" t="e">
        <f t="shared" si="65"/>
        <v>#N/A</v>
      </c>
      <c r="AQ81" s="165"/>
      <c r="AR81" s="173" t="e">
        <f t="shared" si="47"/>
        <v>#N/A</v>
      </c>
      <c r="AS81" s="173" t="e">
        <f t="shared" si="48"/>
        <v>#N/A</v>
      </c>
      <c r="AT81" s="173" t="e">
        <f t="shared" si="49"/>
        <v>#N/A</v>
      </c>
      <c r="AU81" s="173" t="e">
        <f t="shared" si="50"/>
        <v>#N/A</v>
      </c>
      <c r="AV81" s="173" t="e">
        <f t="shared" si="51"/>
        <v>#N/A</v>
      </c>
      <c r="AW81" s="173" t="e">
        <f t="shared" si="52"/>
        <v>#N/A</v>
      </c>
      <c r="AX81" s="173" t="e">
        <f t="shared" si="53"/>
        <v>#N/A</v>
      </c>
      <c r="AY81" s="173" t="e">
        <f t="shared" si="54"/>
        <v>#N/A</v>
      </c>
      <c r="AZ81" s="173" t="e">
        <f t="shared" si="55"/>
        <v>#N/A</v>
      </c>
      <c r="BA81" s="165"/>
      <c r="BB81" s="174" t="str">
        <f t="shared" si="56"/>
        <v>No MLR</v>
      </c>
    </row>
    <row r="82" spans="1:54" s="36" customFormat="1" ht="13.8" x14ac:dyDescent="0.3">
      <c r="A82" s="128" t="str">
        <f>_xlfn.XLOOKUP(B82,'Cuttof Mapping'!A:A,'Cuttof Mapping'!D:D)</f>
        <v>2023 Dec 2nd</v>
      </c>
      <c r="B82" s="133">
        <v>45287</v>
      </c>
      <c r="C82" s="86" t="s">
        <v>338</v>
      </c>
      <c r="D82" s="79" t="s">
        <v>63</v>
      </c>
      <c r="E82" s="86">
        <v>4500866</v>
      </c>
      <c r="F82" s="86" t="s">
        <v>91</v>
      </c>
      <c r="G82" s="86" t="s">
        <v>339</v>
      </c>
      <c r="H82" s="86">
        <v>10001035</v>
      </c>
      <c r="I82" s="86" t="s">
        <v>90</v>
      </c>
      <c r="J82" s="86">
        <v>1680000692270</v>
      </c>
      <c r="K82" s="86" t="s">
        <v>54</v>
      </c>
      <c r="L82" s="86" t="s">
        <v>340</v>
      </c>
      <c r="M82" s="173">
        <f>IF(G82="","",ABS(SUMIFS('System(MB51)'!$K:$K,'System(MB51)'!$L:$L,'Checking(ZSERIALS)'!$J82,'System(MB51)'!$O:$O,'Checking(ZSERIALS)'!$L82,'System(MB51)'!$A:$A,'Checking(ZSERIALS)'!M$3)))</f>
        <v>132</v>
      </c>
      <c r="N82" s="173">
        <f>IF(H82="","",ABS(SUMIFS('System(MB51)'!$K:$K,'System(MB51)'!$L:$L,'Checking(ZSERIALS)'!$J82,'System(MB51)'!$O:$O,'Checking(ZSERIALS)'!$L82,'System(MB51)'!$A:$A,'Checking(ZSERIALS)'!N$3)))</f>
        <v>2</v>
      </c>
      <c r="O82" s="173">
        <f>IF(I82="","",ABS(SUMIFS('System(MB51)'!$K:$K,'System(MB51)'!$L:$L,'Checking(ZSERIALS)'!$J82,'System(MB51)'!$O:$O,'Checking(ZSERIALS)'!$L82,'System(MB51)'!$A:$A,'Checking(ZSERIALS)'!O$3)))</f>
        <v>0</v>
      </c>
      <c r="P82" s="173">
        <f>IF(J82="","",ABS(SUMIFS('System(MB51)'!$K:$K,'System(MB51)'!$L:$L,'Checking(ZSERIALS)'!$J82,'System(MB51)'!$O:$O,'Checking(ZSERIALS)'!$L82,'System(MB51)'!$A:$A,'Checking(ZSERIALS)'!P$3)))</f>
        <v>1</v>
      </c>
      <c r="Q82" s="173">
        <f>IF(K82="","",ABS(SUMIFS('System(MB51)'!$K:$K,'System(MB51)'!$L:$L,'Checking(ZSERIALS)'!$J82,'System(MB51)'!$O:$O,'Checking(ZSERIALS)'!$L82,'System(MB51)'!$A:$A,'Checking(ZSERIALS)'!Q$3)))</f>
        <v>0</v>
      </c>
      <c r="R82" s="173">
        <f>IF(L82="","",ABS(SUMIFS('System(MB51)'!$K:$K,'System(MB51)'!$L:$L,'Checking(ZSERIALS)'!$J82,'System(MB51)'!$O:$O,'Checking(ZSERIALS)'!$L82,'System(MB51)'!$A:$A,'Checking(ZSERIALS)'!R$3)))</f>
        <v>0</v>
      </c>
      <c r="S82" s="173">
        <f>IF(M82="","",ABS(SUMIFS('System(MB51)'!$K:$K,'System(MB51)'!$L:$L,'Checking(ZSERIALS)'!$J82,'System(MB51)'!$O:$O,'Checking(ZSERIALS)'!$L82,'System(MB51)'!$A:$A,'Checking(ZSERIALS)'!S$3)))</f>
        <v>5</v>
      </c>
      <c r="T82" s="173">
        <f>IF(N82="","",ABS(SUMIFS('System(MB51)'!$K:$K,'System(MB51)'!$L:$L,'Checking(ZSERIALS)'!$J82,'System(MB51)'!$O:$O,'Checking(ZSERIALS)'!$L82,'System(MB51)'!$A:$A,'Checking(ZSERIALS)'!T$3)))</f>
        <v>1</v>
      </c>
      <c r="U82" s="173">
        <f>IF(O82="","",ABS(SUMIFS('System(MB51)'!$K:$K,'System(MB51)'!$L:$L,'Checking(ZSERIALS)'!$J82,'System(MB51)'!$O:$O,'Checking(ZSERIALS)'!$L82,'System(MB51)'!$A:$A,'Checking(ZSERIALS)'!U$3)))</f>
        <v>0</v>
      </c>
      <c r="V82" s="165"/>
      <c r="W82" s="173">
        <f>IF($G82="","",INDEX(MLR!$1:$1048576,MATCH($G82,MLR!$J:$J,0),MATCH(W$3,MLR!$1:$1,0)))</f>
        <v>195</v>
      </c>
      <c r="X82" s="173">
        <f>IF($G82="","",INDEX(MLR!$1:$1048576,MATCH($G82,MLR!$J:$J,0),MATCH(X$3,MLR!$1:$1,0)))</f>
        <v>2</v>
      </c>
      <c r="Y82" s="173">
        <f>IF($G82="","",INDEX(MLR!$1:$1048576,MATCH($G82,MLR!$J:$J,0),MATCH(Y$3,MLR!$1:$1,0)))</f>
        <v>6</v>
      </c>
      <c r="Z82" s="173">
        <f>IF($G82="","",INDEX(MLR!$1:$1048576,MATCH($G82,MLR!$J:$J,0),MATCH(Z$3,MLR!$1:$1,0)))</f>
        <v>1</v>
      </c>
      <c r="AA82" s="173">
        <f>IF($G82="","",INDEX(MLR!$1:$1048576,MATCH($G82,MLR!$J:$J,0),MATCH(AA$3,MLR!$1:$1,0)))</f>
        <v>0</v>
      </c>
      <c r="AB82" s="173">
        <f>IF($G82="","",INDEX(MLR!$1:$1048576,MATCH($G82,MLR!$J:$J,0),MATCH(AB$3,MLR!$1:$1,0)))</f>
        <v>0</v>
      </c>
      <c r="AC82" s="173">
        <f>IF($G82="","",INDEX(MLR!$1:$1048576,MATCH($G82,MLR!$J:$J,0),MATCH(AC$3,MLR!$1:$1,0)))</f>
        <v>5</v>
      </c>
      <c r="AD82" s="173">
        <f>IF($G82="","",INDEX(MLR!$1:$1048576,MATCH($G82,MLR!$J:$J,0),MATCH(AD$3,MLR!$1:$1,0)))</f>
        <v>1</v>
      </c>
      <c r="AE82" s="173">
        <f>IF($G82="","",INDEX(MLR!$1:$1048576,MATCH($G82,MLR!$J:$J,0),MATCH(AE$3,MLR!$1:$1,0)))</f>
        <v>8</v>
      </c>
      <c r="AF82" s="174" t="str">
        <f>IF(G82="","",IFERROR(IF(MATCH($G82,MLR!$J:$J,0)&gt;0,"Installed","Not Found"),"Not Found"))</f>
        <v>Installed</v>
      </c>
      <c r="AG82" s="165"/>
      <c r="AH82" s="175" t="str">
        <f t="shared" si="57"/>
        <v>Short</v>
      </c>
      <c r="AI82" s="175" t="str">
        <f t="shared" si="58"/>
        <v>Correct</v>
      </c>
      <c r="AJ82" s="175" t="str">
        <f t="shared" si="59"/>
        <v>Short</v>
      </c>
      <c r="AK82" s="175" t="str">
        <f t="shared" si="60"/>
        <v>Correct</v>
      </c>
      <c r="AL82" s="175" t="str">
        <f t="shared" si="61"/>
        <v>Correct</v>
      </c>
      <c r="AM82" s="175" t="str">
        <f t="shared" si="62"/>
        <v>Correct</v>
      </c>
      <c r="AN82" s="175" t="str">
        <f t="shared" si="63"/>
        <v>Correct</v>
      </c>
      <c r="AO82" s="175" t="str">
        <f t="shared" si="64"/>
        <v>Correct</v>
      </c>
      <c r="AP82" s="175" t="str">
        <f t="shared" si="65"/>
        <v>Short</v>
      </c>
      <c r="AQ82" s="165"/>
      <c r="AR82" s="173">
        <f t="shared" si="47"/>
        <v>-63</v>
      </c>
      <c r="AS82" s="173">
        <f t="shared" si="48"/>
        <v>0</v>
      </c>
      <c r="AT82" s="173">
        <f t="shared" si="49"/>
        <v>-6</v>
      </c>
      <c r="AU82" s="173">
        <f t="shared" si="50"/>
        <v>0</v>
      </c>
      <c r="AV82" s="173">
        <f t="shared" si="51"/>
        <v>0</v>
      </c>
      <c r="AW82" s="173">
        <f t="shared" si="52"/>
        <v>0</v>
      </c>
      <c r="AX82" s="173">
        <f t="shared" si="53"/>
        <v>0</v>
      </c>
      <c r="AY82" s="173">
        <f t="shared" si="54"/>
        <v>0</v>
      </c>
      <c r="AZ82" s="173">
        <f t="shared" si="55"/>
        <v>-8</v>
      </c>
      <c r="BA82" s="165"/>
      <c r="BB82" s="174" t="str">
        <f t="shared" si="56"/>
        <v>With Variance</v>
      </c>
    </row>
    <row r="83" spans="1:54" s="36" customFormat="1" ht="13.8" x14ac:dyDescent="0.3">
      <c r="A83" s="128" t="str">
        <f>_xlfn.XLOOKUP(B83,'Cuttof Mapping'!A:A,'Cuttof Mapping'!D:D)</f>
        <v>2023 Dec 2nd</v>
      </c>
      <c r="B83" s="133">
        <v>45288</v>
      </c>
      <c r="C83" s="86" t="s">
        <v>341</v>
      </c>
      <c r="D83" s="79" t="s">
        <v>63</v>
      </c>
      <c r="E83" s="86">
        <v>4500866</v>
      </c>
      <c r="F83" s="86" t="s">
        <v>91</v>
      </c>
      <c r="G83" s="86" t="s">
        <v>342</v>
      </c>
      <c r="H83" s="86">
        <v>10001003</v>
      </c>
      <c r="I83" s="86" t="s">
        <v>89</v>
      </c>
      <c r="J83" s="86">
        <v>1680000695397</v>
      </c>
      <c r="K83" s="86" t="s">
        <v>54</v>
      </c>
      <c r="L83" s="86" t="s">
        <v>343</v>
      </c>
      <c r="M83" s="173">
        <f>IF(G83="","",ABS(SUMIFS('System(MB51)'!$K:$K,'System(MB51)'!$L:$L,'Checking(ZSERIALS)'!$J83,'System(MB51)'!$O:$O,'Checking(ZSERIALS)'!$L83,'System(MB51)'!$A:$A,'Checking(ZSERIALS)'!M$3)))</f>
        <v>1627</v>
      </c>
      <c r="N83" s="173">
        <f>IF(H83="","",ABS(SUMIFS('System(MB51)'!$K:$K,'System(MB51)'!$L:$L,'Checking(ZSERIALS)'!$J83,'System(MB51)'!$O:$O,'Checking(ZSERIALS)'!$L83,'System(MB51)'!$A:$A,'Checking(ZSERIALS)'!N$3)))</f>
        <v>2</v>
      </c>
      <c r="O83" s="173">
        <f>IF(I83="","",ABS(SUMIFS('System(MB51)'!$K:$K,'System(MB51)'!$L:$L,'Checking(ZSERIALS)'!$J83,'System(MB51)'!$O:$O,'Checking(ZSERIALS)'!$L83,'System(MB51)'!$A:$A,'Checking(ZSERIALS)'!O$3)))</f>
        <v>0</v>
      </c>
      <c r="P83" s="173">
        <f>IF(J83="","",ABS(SUMIFS('System(MB51)'!$K:$K,'System(MB51)'!$L:$L,'Checking(ZSERIALS)'!$J83,'System(MB51)'!$O:$O,'Checking(ZSERIALS)'!$L83,'System(MB51)'!$A:$A,'Checking(ZSERIALS)'!P$3)))</f>
        <v>1</v>
      </c>
      <c r="Q83" s="173">
        <f>IF(K83="","",ABS(SUMIFS('System(MB51)'!$K:$K,'System(MB51)'!$L:$L,'Checking(ZSERIALS)'!$J83,'System(MB51)'!$O:$O,'Checking(ZSERIALS)'!$L83,'System(MB51)'!$A:$A,'Checking(ZSERIALS)'!Q$3)))</f>
        <v>0</v>
      </c>
      <c r="R83" s="173">
        <f>IF(L83="","",ABS(SUMIFS('System(MB51)'!$K:$K,'System(MB51)'!$L:$L,'Checking(ZSERIALS)'!$J83,'System(MB51)'!$O:$O,'Checking(ZSERIALS)'!$L83,'System(MB51)'!$A:$A,'Checking(ZSERIALS)'!R$3)))</f>
        <v>0</v>
      </c>
      <c r="S83" s="173">
        <f>IF(M83="","",ABS(SUMIFS('System(MB51)'!$K:$K,'System(MB51)'!$L:$L,'Checking(ZSERIALS)'!$J83,'System(MB51)'!$O:$O,'Checking(ZSERIALS)'!$L83,'System(MB51)'!$A:$A,'Checking(ZSERIALS)'!S$3)))</f>
        <v>5</v>
      </c>
      <c r="T83" s="173">
        <f>IF(N83="","",ABS(SUMIFS('System(MB51)'!$K:$K,'System(MB51)'!$L:$L,'Checking(ZSERIALS)'!$J83,'System(MB51)'!$O:$O,'Checking(ZSERIALS)'!$L83,'System(MB51)'!$A:$A,'Checking(ZSERIALS)'!T$3)))</f>
        <v>1</v>
      </c>
      <c r="U83" s="173">
        <f>IF(O83="","",ABS(SUMIFS('System(MB51)'!$K:$K,'System(MB51)'!$L:$L,'Checking(ZSERIALS)'!$J83,'System(MB51)'!$O:$O,'Checking(ZSERIALS)'!$L83,'System(MB51)'!$A:$A,'Checking(ZSERIALS)'!U$3)))</f>
        <v>8</v>
      </c>
      <c r="V83" s="165"/>
      <c r="W83" s="173">
        <f>IF($G83="","",INDEX(MLR!$1:$1048576,MATCH($G83,MLR!$J:$J,0),MATCH(W$3,MLR!$1:$1,0)))</f>
        <v>89</v>
      </c>
      <c r="X83" s="173">
        <f>IF($G83="","",INDEX(MLR!$1:$1048576,MATCH($G83,MLR!$J:$J,0),MATCH(X$3,MLR!$1:$1,0)))</f>
        <v>2</v>
      </c>
      <c r="Y83" s="173">
        <f>IF($G83="","",INDEX(MLR!$1:$1048576,MATCH($G83,MLR!$J:$J,0),MATCH(Y$3,MLR!$1:$1,0)))</f>
        <v>6</v>
      </c>
      <c r="Z83" s="173">
        <f>IF($G83="","",INDEX(MLR!$1:$1048576,MATCH($G83,MLR!$J:$J,0),MATCH(Z$3,MLR!$1:$1,0)))</f>
        <v>1</v>
      </c>
      <c r="AA83" s="173">
        <f>IF($G83="","",INDEX(MLR!$1:$1048576,MATCH($G83,MLR!$J:$J,0),MATCH(AA$3,MLR!$1:$1,0)))</f>
        <v>0</v>
      </c>
      <c r="AB83" s="173">
        <f>IF($G83="","",INDEX(MLR!$1:$1048576,MATCH($G83,MLR!$J:$J,0),MATCH(AB$3,MLR!$1:$1,0)))</f>
        <v>0</v>
      </c>
      <c r="AC83" s="173">
        <f>IF($G83="","",INDEX(MLR!$1:$1048576,MATCH($G83,MLR!$J:$J,0),MATCH(AC$3,MLR!$1:$1,0)))</f>
        <v>5</v>
      </c>
      <c r="AD83" s="173">
        <f>IF($G83="","",INDEX(MLR!$1:$1048576,MATCH($G83,MLR!$J:$J,0),MATCH(AD$3,MLR!$1:$1,0)))</f>
        <v>1</v>
      </c>
      <c r="AE83" s="173">
        <f>IF($G83="","",INDEX(MLR!$1:$1048576,MATCH($G83,MLR!$J:$J,0),MATCH(AE$3,MLR!$1:$1,0)))</f>
        <v>8</v>
      </c>
      <c r="AF83" s="174" t="str">
        <f>IF(G83="","",IFERROR(IF(MATCH($G83,MLR!$J:$J,0)&gt;0,"Installed","Not Found"),"Not Found"))</f>
        <v>Installed</v>
      </c>
      <c r="AG83" s="165"/>
      <c r="AH83" s="175" t="str">
        <f t="shared" si="57"/>
        <v>Over</v>
      </c>
      <c r="AI83" s="175" t="str">
        <f t="shared" si="58"/>
        <v>Correct</v>
      </c>
      <c r="AJ83" s="175" t="str">
        <f t="shared" si="59"/>
        <v>Short</v>
      </c>
      <c r="AK83" s="175" t="str">
        <f t="shared" si="60"/>
        <v>Correct</v>
      </c>
      <c r="AL83" s="175" t="str">
        <f t="shared" si="61"/>
        <v>Correct</v>
      </c>
      <c r="AM83" s="175" t="str">
        <f t="shared" si="62"/>
        <v>Correct</v>
      </c>
      <c r="AN83" s="175" t="str">
        <f t="shared" si="63"/>
        <v>Correct</v>
      </c>
      <c r="AO83" s="175" t="str">
        <f t="shared" si="64"/>
        <v>Correct</v>
      </c>
      <c r="AP83" s="175" t="str">
        <f t="shared" si="65"/>
        <v>Correct</v>
      </c>
      <c r="AQ83" s="165"/>
      <c r="AR83" s="173">
        <f t="shared" si="47"/>
        <v>1538</v>
      </c>
      <c r="AS83" s="173">
        <f t="shared" si="48"/>
        <v>0</v>
      </c>
      <c r="AT83" s="173">
        <f t="shared" si="49"/>
        <v>-6</v>
      </c>
      <c r="AU83" s="173">
        <f t="shared" si="50"/>
        <v>0</v>
      </c>
      <c r="AV83" s="173">
        <f t="shared" si="51"/>
        <v>0</v>
      </c>
      <c r="AW83" s="173">
        <f t="shared" si="52"/>
        <v>0</v>
      </c>
      <c r="AX83" s="173">
        <f t="shared" si="53"/>
        <v>0</v>
      </c>
      <c r="AY83" s="173">
        <f t="shared" si="54"/>
        <v>0</v>
      </c>
      <c r="AZ83" s="173">
        <f t="shared" si="55"/>
        <v>0</v>
      </c>
      <c r="BA83" s="165"/>
      <c r="BB83" s="174" t="str">
        <f t="shared" si="56"/>
        <v>With Variance</v>
      </c>
    </row>
    <row r="84" spans="1:54" s="36" customFormat="1" ht="13.8" x14ac:dyDescent="0.3">
      <c r="A84" s="128" t="str">
        <f>_xlfn.XLOOKUP(B84,'Cuttof Mapping'!A:A,'Cuttof Mapping'!D:D)</f>
        <v>2023 Dec 2nd</v>
      </c>
      <c r="B84" s="133">
        <v>45288</v>
      </c>
      <c r="C84" s="86" t="s">
        <v>344</v>
      </c>
      <c r="D84" s="79" t="s">
        <v>63</v>
      </c>
      <c r="E84" s="86">
        <v>4500866</v>
      </c>
      <c r="F84" s="86" t="s">
        <v>91</v>
      </c>
      <c r="G84" s="86" t="s">
        <v>345</v>
      </c>
      <c r="H84" s="86">
        <v>10001035</v>
      </c>
      <c r="I84" s="86" t="s">
        <v>90</v>
      </c>
      <c r="J84" s="86">
        <v>1680000696871</v>
      </c>
      <c r="K84" s="86" t="s">
        <v>54</v>
      </c>
      <c r="L84" s="86" t="s">
        <v>346</v>
      </c>
      <c r="M84" s="173">
        <f>IF(G84="","",ABS(SUMIFS('System(MB51)'!$K:$K,'System(MB51)'!$L:$L,'Checking(ZSERIALS)'!$J84,'System(MB51)'!$O:$O,'Checking(ZSERIALS)'!$L84,'System(MB51)'!$A:$A,'Checking(ZSERIALS)'!M$3)))</f>
        <v>1559</v>
      </c>
      <c r="N84" s="173">
        <f>IF(H84="","",ABS(SUMIFS('System(MB51)'!$K:$K,'System(MB51)'!$L:$L,'Checking(ZSERIALS)'!$J84,'System(MB51)'!$O:$O,'Checking(ZSERIALS)'!$L84,'System(MB51)'!$A:$A,'Checking(ZSERIALS)'!N$3)))</f>
        <v>2</v>
      </c>
      <c r="O84" s="173">
        <f>IF(I84="","",ABS(SUMIFS('System(MB51)'!$K:$K,'System(MB51)'!$L:$L,'Checking(ZSERIALS)'!$J84,'System(MB51)'!$O:$O,'Checking(ZSERIALS)'!$L84,'System(MB51)'!$A:$A,'Checking(ZSERIALS)'!O$3)))</f>
        <v>0</v>
      </c>
      <c r="P84" s="173">
        <f>IF(J84="","",ABS(SUMIFS('System(MB51)'!$K:$K,'System(MB51)'!$L:$L,'Checking(ZSERIALS)'!$J84,'System(MB51)'!$O:$O,'Checking(ZSERIALS)'!$L84,'System(MB51)'!$A:$A,'Checking(ZSERIALS)'!P$3)))</f>
        <v>1</v>
      </c>
      <c r="Q84" s="173">
        <f>IF(K84="","",ABS(SUMIFS('System(MB51)'!$K:$K,'System(MB51)'!$L:$L,'Checking(ZSERIALS)'!$J84,'System(MB51)'!$O:$O,'Checking(ZSERIALS)'!$L84,'System(MB51)'!$A:$A,'Checking(ZSERIALS)'!Q$3)))</f>
        <v>0</v>
      </c>
      <c r="R84" s="173">
        <f>IF(L84="","",ABS(SUMIFS('System(MB51)'!$K:$K,'System(MB51)'!$L:$L,'Checking(ZSERIALS)'!$J84,'System(MB51)'!$O:$O,'Checking(ZSERIALS)'!$L84,'System(MB51)'!$A:$A,'Checking(ZSERIALS)'!R$3)))</f>
        <v>0</v>
      </c>
      <c r="S84" s="173">
        <f>IF(M84="","",ABS(SUMIFS('System(MB51)'!$K:$K,'System(MB51)'!$L:$L,'Checking(ZSERIALS)'!$J84,'System(MB51)'!$O:$O,'Checking(ZSERIALS)'!$L84,'System(MB51)'!$A:$A,'Checking(ZSERIALS)'!S$3)))</f>
        <v>5</v>
      </c>
      <c r="T84" s="173">
        <f>IF(N84="","",ABS(SUMIFS('System(MB51)'!$K:$K,'System(MB51)'!$L:$L,'Checking(ZSERIALS)'!$J84,'System(MB51)'!$O:$O,'Checking(ZSERIALS)'!$L84,'System(MB51)'!$A:$A,'Checking(ZSERIALS)'!T$3)))</f>
        <v>1</v>
      </c>
      <c r="U84" s="173">
        <f>IF(O84="","",ABS(SUMIFS('System(MB51)'!$K:$K,'System(MB51)'!$L:$L,'Checking(ZSERIALS)'!$J84,'System(MB51)'!$O:$O,'Checking(ZSERIALS)'!$L84,'System(MB51)'!$A:$A,'Checking(ZSERIALS)'!U$3)))</f>
        <v>8</v>
      </c>
      <c r="V84" s="165"/>
      <c r="W84" s="173">
        <f>IF($G84="","",INDEX(MLR!$1:$1048576,MATCH($G84,MLR!$J:$J,0),MATCH(W$3,MLR!$1:$1,0)))</f>
        <v>68</v>
      </c>
      <c r="X84" s="173">
        <f>IF($G84="","",INDEX(MLR!$1:$1048576,MATCH($G84,MLR!$J:$J,0),MATCH(X$3,MLR!$1:$1,0)))</f>
        <v>2</v>
      </c>
      <c r="Y84" s="173">
        <f>IF($G84="","",INDEX(MLR!$1:$1048576,MATCH($G84,MLR!$J:$J,0),MATCH(Y$3,MLR!$1:$1,0)))</f>
        <v>4</v>
      </c>
      <c r="Z84" s="173">
        <f>IF($G84="","",INDEX(MLR!$1:$1048576,MATCH($G84,MLR!$J:$J,0),MATCH(Z$3,MLR!$1:$1,0)))</f>
        <v>1</v>
      </c>
      <c r="AA84" s="173">
        <f>IF($G84="","",INDEX(MLR!$1:$1048576,MATCH($G84,MLR!$J:$J,0),MATCH(AA$3,MLR!$1:$1,0)))</f>
        <v>0</v>
      </c>
      <c r="AB84" s="173">
        <f>IF($G84="","",INDEX(MLR!$1:$1048576,MATCH($G84,MLR!$J:$J,0),MATCH(AB$3,MLR!$1:$1,0)))</f>
        <v>0</v>
      </c>
      <c r="AC84" s="173">
        <f>IF($G84="","",INDEX(MLR!$1:$1048576,MATCH($G84,MLR!$J:$J,0),MATCH(AC$3,MLR!$1:$1,0)))</f>
        <v>5</v>
      </c>
      <c r="AD84" s="173">
        <f>IF($G84="","",INDEX(MLR!$1:$1048576,MATCH($G84,MLR!$J:$J,0),MATCH(AD$3,MLR!$1:$1,0)))</f>
        <v>1</v>
      </c>
      <c r="AE84" s="173">
        <f>IF($G84="","",INDEX(MLR!$1:$1048576,MATCH($G84,MLR!$J:$J,0),MATCH(AE$3,MLR!$1:$1,0)))</f>
        <v>10</v>
      </c>
      <c r="AF84" s="174" t="str">
        <f>IF(G84="","",IFERROR(IF(MATCH($G84,MLR!$J:$J,0)&gt;0,"Installed","Not Found"),"Not Found"))</f>
        <v>Installed</v>
      </c>
      <c r="AG84" s="165"/>
      <c r="AH84" s="175" t="str">
        <f t="shared" si="57"/>
        <v>Over</v>
      </c>
      <c r="AI84" s="175" t="str">
        <f t="shared" si="58"/>
        <v>Correct</v>
      </c>
      <c r="AJ84" s="175" t="str">
        <f t="shared" si="59"/>
        <v>Short</v>
      </c>
      <c r="AK84" s="175" t="str">
        <f t="shared" si="60"/>
        <v>Correct</v>
      </c>
      <c r="AL84" s="175" t="str">
        <f t="shared" si="61"/>
        <v>Correct</v>
      </c>
      <c r="AM84" s="175" t="str">
        <f t="shared" si="62"/>
        <v>Correct</v>
      </c>
      <c r="AN84" s="175" t="str">
        <f t="shared" si="63"/>
        <v>Correct</v>
      </c>
      <c r="AO84" s="175" t="str">
        <f t="shared" si="64"/>
        <v>Correct</v>
      </c>
      <c r="AP84" s="175" t="str">
        <f t="shared" si="65"/>
        <v>Short</v>
      </c>
      <c r="AQ84" s="165"/>
      <c r="AR84" s="173">
        <f t="shared" si="47"/>
        <v>1491</v>
      </c>
      <c r="AS84" s="173">
        <f t="shared" si="48"/>
        <v>0</v>
      </c>
      <c r="AT84" s="173">
        <f t="shared" si="49"/>
        <v>-4</v>
      </c>
      <c r="AU84" s="173">
        <f t="shared" si="50"/>
        <v>0</v>
      </c>
      <c r="AV84" s="173">
        <f t="shared" si="51"/>
        <v>0</v>
      </c>
      <c r="AW84" s="173">
        <f t="shared" si="52"/>
        <v>0</v>
      </c>
      <c r="AX84" s="173">
        <f t="shared" si="53"/>
        <v>0</v>
      </c>
      <c r="AY84" s="173">
        <f t="shared" si="54"/>
        <v>0</v>
      </c>
      <c r="AZ84" s="173">
        <f t="shared" si="55"/>
        <v>-2</v>
      </c>
      <c r="BA84" s="165"/>
      <c r="BB84" s="174" t="str">
        <f t="shared" si="56"/>
        <v>With Variance</v>
      </c>
    </row>
    <row r="85" spans="1:54" s="36" customFormat="1" ht="13.8" x14ac:dyDescent="0.3">
      <c r="A85" s="128" t="str">
        <f>_xlfn.XLOOKUP(B85,'Cuttof Mapping'!A:A,'Cuttof Mapping'!D:D)</f>
        <v>2023 Dec 2nd</v>
      </c>
      <c r="B85" s="133">
        <v>45288</v>
      </c>
      <c r="C85" s="86" t="s">
        <v>347</v>
      </c>
      <c r="D85" s="79" t="s">
        <v>63</v>
      </c>
      <c r="E85" s="86">
        <v>4500866</v>
      </c>
      <c r="F85" s="86" t="s">
        <v>91</v>
      </c>
      <c r="G85" s="86" t="s">
        <v>348</v>
      </c>
      <c r="H85" s="86">
        <v>10001035</v>
      </c>
      <c r="I85" s="86" t="s">
        <v>90</v>
      </c>
      <c r="J85" s="86">
        <v>1680000697505</v>
      </c>
      <c r="K85" s="86" t="s">
        <v>54</v>
      </c>
      <c r="L85" s="86" t="s">
        <v>349</v>
      </c>
      <c r="M85" s="173">
        <f>IF(G85="","",ABS(SUMIFS('System(MB51)'!$K:$K,'System(MB51)'!$L:$L,'Checking(ZSERIALS)'!$J85,'System(MB51)'!$O:$O,'Checking(ZSERIALS)'!$L85,'System(MB51)'!$A:$A,'Checking(ZSERIALS)'!M$3)))</f>
        <v>1262</v>
      </c>
      <c r="N85" s="173">
        <f>IF(H85="","",ABS(SUMIFS('System(MB51)'!$K:$K,'System(MB51)'!$L:$L,'Checking(ZSERIALS)'!$J85,'System(MB51)'!$O:$O,'Checking(ZSERIALS)'!$L85,'System(MB51)'!$A:$A,'Checking(ZSERIALS)'!N$3)))</f>
        <v>2</v>
      </c>
      <c r="O85" s="173">
        <f>IF(I85="","",ABS(SUMIFS('System(MB51)'!$K:$K,'System(MB51)'!$L:$L,'Checking(ZSERIALS)'!$J85,'System(MB51)'!$O:$O,'Checking(ZSERIALS)'!$L85,'System(MB51)'!$A:$A,'Checking(ZSERIALS)'!O$3)))</f>
        <v>0</v>
      </c>
      <c r="P85" s="173">
        <f>IF(J85="","",ABS(SUMIFS('System(MB51)'!$K:$K,'System(MB51)'!$L:$L,'Checking(ZSERIALS)'!$J85,'System(MB51)'!$O:$O,'Checking(ZSERIALS)'!$L85,'System(MB51)'!$A:$A,'Checking(ZSERIALS)'!P$3)))</f>
        <v>1</v>
      </c>
      <c r="Q85" s="173">
        <f>IF(K85="","",ABS(SUMIFS('System(MB51)'!$K:$K,'System(MB51)'!$L:$L,'Checking(ZSERIALS)'!$J85,'System(MB51)'!$O:$O,'Checking(ZSERIALS)'!$L85,'System(MB51)'!$A:$A,'Checking(ZSERIALS)'!Q$3)))</f>
        <v>0</v>
      </c>
      <c r="R85" s="173">
        <f>IF(L85="","",ABS(SUMIFS('System(MB51)'!$K:$K,'System(MB51)'!$L:$L,'Checking(ZSERIALS)'!$J85,'System(MB51)'!$O:$O,'Checking(ZSERIALS)'!$L85,'System(MB51)'!$A:$A,'Checking(ZSERIALS)'!R$3)))</f>
        <v>0</v>
      </c>
      <c r="S85" s="173">
        <f>IF(M85="","",ABS(SUMIFS('System(MB51)'!$K:$K,'System(MB51)'!$L:$L,'Checking(ZSERIALS)'!$J85,'System(MB51)'!$O:$O,'Checking(ZSERIALS)'!$L85,'System(MB51)'!$A:$A,'Checking(ZSERIALS)'!S$3)))</f>
        <v>10</v>
      </c>
      <c r="T85" s="173">
        <f>IF(N85="","",ABS(SUMIFS('System(MB51)'!$K:$K,'System(MB51)'!$L:$L,'Checking(ZSERIALS)'!$J85,'System(MB51)'!$O:$O,'Checking(ZSERIALS)'!$L85,'System(MB51)'!$A:$A,'Checking(ZSERIALS)'!T$3)))</f>
        <v>1</v>
      </c>
      <c r="U85" s="173">
        <f>IF(O85="","",ABS(SUMIFS('System(MB51)'!$K:$K,'System(MB51)'!$L:$L,'Checking(ZSERIALS)'!$J85,'System(MB51)'!$O:$O,'Checking(ZSERIALS)'!$L85,'System(MB51)'!$A:$A,'Checking(ZSERIALS)'!U$3)))</f>
        <v>8</v>
      </c>
      <c r="V85" s="165"/>
      <c r="W85" s="173">
        <f>IF($G85="","",INDEX(MLR!$1:$1048576,MATCH($G85,MLR!$J:$J,0),MATCH(W$3,MLR!$1:$1,0)))</f>
        <v>297</v>
      </c>
      <c r="X85" s="173">
        <f>IF($G85="","",INDEX(MLR!$1:$1048576,MATCH($G85,MLR!$J:$J,0),MATCH(X$3,MLR!$1:$1,0)))</f>
        <v>2</v>
      </c>
      <c r="Y85" s="173">
        <f>IF($G85="","",INDEX(MLR!$1:$1048576,MATCH($G85,MLR!$J:$J,0),MATCH(Y$3,MLR!$1:$1,0)))</f>
        <v>10</v>
      </c>
      <c r="Z85" s="173">
        <f>IF($G85="","",INDEX(MLR!$1:$1048576,MATCH($G85,MLR!$J:$J,0),MATCH(Z$3,MLR!$1:$1,0)))</f>
        <v>1</v>
      </c>
      <c r="AA85" s="173">
        <f>IF($G85="","",INDEX(MLR!$1:$1048576,MATCH($G85,MLR!$J:$J,0),MATCH(AA$3,MLR!$1:$1,0)))</f>
        <v>0</v>
      </c>
      <c r="AB85" s="173">
        <f>IF($G85="","",INDEX(MLR!$1:$1048576,MATCH($G85,MLR!$J:$J,0),MATCH(AB$3,MLR!$1:$1,0)))</f>
        <v>0</v>
      </c>
      <c r="AC85" s="173">
        <f>IF($G85="","",INDEX(MLR!$1:$1048576,MATCH($G85,MLR!$J:$J,0),MATCH(AC$3,MLR!$1:$1,0)))</f>
        <v>10</v>
      </c>
      <c r="AD85" s="173">
        <f>IF($G85="","",INDEX(MLR!$1:$1048576,MATCH($G85,MLR!$J:$J,0),MATCH(AD$3,MLR!$1:$1,0)))</f>
        <v>1</v>
      </c>
      <c r="AE85" s="173">
        <f>IF($G85="","",INDEX(MLR!$1:$1048576,MATCH($G85,MLR!$J:$J,0),MATCH(AE$3,MLR!$1:$1,0)))</f>
        <v>8</v>
      </c>
      <c r="AF85" s="174" t="str">
        <f>IF(G85="","",IFERROR(IF(MATCH($G85,MLR!$J:$J,0)&gt;0,"Installed","Not Found"),"Not Found"))</f>
        <v>Installed</v>
      </c>
      <c r="AG85" s="165"/>
      <c r="AH85" s="175" t="str">
        <f t="shared" si="57"/>
        <v>Over</v>
      </c>
      <c r="AI85" s="175" t="str">
        <f t="shared" si="58"/>
        <v>Correct</v>
      </c>
      <c r="AJ85" s="175" t="str">
        <f t="shared" si="59"/>
        <v>Short</v>
      </c>
      <c r="AK85" s="175" t="str">
        <f t="shared" si="60"/>
        <v>Correct</v>
      </c>
      <c r="AL85" s="175" t="str">
        <f t="shared" si="61"/>
        <v>Correct</v>
      </c>
      <c r="AM85" s="175" t="str">
        <f t="shared" si="62"/>
        <v>Correct</v>
      </c>
      <c r="AN85" s="175" t="str">
        <f t="shared" si="63"/>
        <v>Correct</v>
      </c>
      <c r="AO85" s="175" t="str">
        <f t="shared" si="64"/>
        <v>Correct</v>
      </c>
      <c r="AP85" s="175" t="str">
        <f t="shared" si="65"/>
        <v>Correct</v>
      </c>
      <c r="AQ85" s="165"/>
      <c r="AR85" s="173">
        <f t="shared" si="47"/>
        <v>965</v>
      </c>
      <c r="AS85" s="173">
        <f t="shared" si="48"/>
        <v>0</v>
      </c>
      <c r="AT85" s="173">
        <f t="shared" si="49"/>
        <v>-10</v>
      </c>
      <c r="AU85" s="173">
        <f t="shared" si="50"/>
        <v>0</v>
      </c>
      <c r="AV85" s="173">
        <f t="shared" si="51"/>
        <v>0</v>
      </c>
      <c r="AW85" s="173">
        <f t="shared" si="52"/>
        <v>0</v>
      </c>
      <c r="AX85" s="173">
        <f t="shared" si="53"/>
        <v>0</v>
      </c>
      <c r="AY85" s="173">
        <f t="shared" si="54"/>
        <v>0</v>
      </c>
      <c r="AZ85" s="173">
        <f t="shared" si="55"/>
        <v>0</v>
      </c>
      <c r="BA85" s="165"/>
      <c r="BB85" s="174" t="str">
        <f t="shared" si="56"/>
        <v>With Variance</v>
      </c>
    </row>
    <row r="86" spans="1:54" s="36" customFormat="1" ht="13.8" x14ac:dyDescent="0.3">
      <c r="A86" s="128" t="str">
        <f>_xlfn.XLOOKUP(B86,'Cuttof Mapping'!A:A,'Cuttof Mapping'!D:D)</f>
        <v>2023 Dec 2nd</v>
      </c>
      <c r="B86" s="133">
        <v>45288</v>
      </c>
      <c r="C86" s="86" t="s">
        <v>350</v>
      </c>
      <c r="D86" s="79" t="s">
        <v>63</v>
      </c>
      <c r="E86" s="86">
        <v>4500866</v>
      </c>
      <c r="F86" s="86" t="s">
        <v>91</v>
      </c>
      <c r="G86" s="86" t="s">
        <v>351</v>
      </c>
      <c r="H86" s="86">
        <v>10001003</v>
      </c>
      <c r="I86" s="86" t="s">
        <v>89</v>
      </c>
      <c r="J86" s="86">
        <v>1680000242746</v>
      </c>
      <c r="K86" s="86" t="s">
        <v>54</v>
      </c>
      <c r="L86" s="86">
        <v>10996682679</v>
      </c>
      <c r="M86" s="173">
        <f>IF(G86="","",ABS(SUMIFS('System(MB51)'!$K:$K,'System(MB51)'!$L:$L,'Checking(ZSERIALS)'!$J86,'System(MB51)'!$O:$O,'Checking(ZSERIALS)'!$L86,'System(MB51)'!$A:$A,'Checking(ZSERIALS)'!M$3)))</f>
        <v>0</v>
      </c>
      <c r="N86" s="173">
        <f>IF(H86="","",ABS(SUMIFS('System(MB51)'!$K:$K,'System(MB51)'!$L:$L,'Checking(ZSERIALS)'!$J86,'System(MB51)'!$O:$O,'Checking(ZSERIALS)'!$L86,'System(MB51)'!$A:$A,'Checking(ZSERIALS)'!N$3)))</f>
        <v>2</v>
      </c>
      <c r="O86" s="173">
        <f>IF(I86="","",ABS(SUMIFS('System(MB51)'!$K:$K,'System(MB51)'!$L:$L,'Checking(ZSERIALS)'!$J86,'System(MB51)'!$O:$O,'Checking(ZSERIALS)'!$L86,'System(MB51)'!$A:$A,'Checking(ZSERIALS)'!O$3)))</f>
        <v>0</v>
      </c>
      <c r="P86" s="173">
        <f>IF(J86="","",ABS(SUMIFS('System(MB51)'!$K:$K,'System(MB51)'!$L:$L,'Checking(ZSERIALS)'!$J86,'System(MB51)'!$O:$O,'Checking(ZSERIALS)'!$L86,'System(MB51)'!$A:$A,'Checking(ZSERIALS)'!P$3)))</f>
        <v>0</v>
      </c>
      <c r="Q86" s="173">
        <f>IF(K86="","",ABS(SUMIFS('System(MB51)'!$K:$K,'System(MB51)'!$L:$L,'Checking(ZSERIALS)'!$J86,'System(MB51)'!$O:$O,'Checking(ZSERIALS)'!$L86,'System(MB51)'!$A:$A,'Checking(ZSERIALS)'!Q$3)))</f>
        <v>0</v>
      </c>
      <c r="R86" s="173">
        <f>IF(L86="","",ABS(SUMIFS('System(MB51)'!$K:$K,'System(MB51)'!$L:$L,'Checking(ZSERIALS)'!$J86,'System(MB51)'!$O:$O,'Checking(ZSERIALS)'!$L86,'System(MB51)'!$A:$A,'Checking(ZSERIALS)'!R$3)))</f>
        <v>0</v>
      </c>
      <c r="S86" s="173">
        <f>IF(M86="","",ABS(SUMIFS('System(MB51)'!$K:$K,'System(MB51)'!$L:$L,'Checking(ZSERIALS)'!$J86,'System(MB51)'!$O:$O,'Checking(ZSERIALS)'!$L86,'System(MB51)'!$A:$A,'Checking(ZSERIALS)'!S$3)))</f>
        <v>0</v>
      </c>
      <c r="T86" s="173">
        <f>IF(N86="","",ABS(SUMIFS('System(MB51)'!$K:$K,'System(MB51)'!$L:$L,'Checking(ZSERIALS)'!$J86,'System(MB51)'!$O:$O,'Checking(ZSERIALS)'!$L86,'System(MB51)'!$A:$A,'Checking(ZSERIALS)'!T$3)))</f>
        <v>0</v>
      </c>
      <c r="U86" s="173">
        <f>IF(O86="","",ABS(SUMIFS('System(MB51)'!$K:$K,'System(MB51)'!$L:$L,'Checking(ZSERIALS)'!$J86,'System(MB51)'!$O:$O,'Checking(ZSERIALS)'!$L86,'System(MB51)'!$A:$A,'Checking(ZSERIALS)'!U$3)))</f>
        <v>0</v>
      </c>
      <c r="V86" s="165"/>
      <c r="W86" s="173" t="e">
        <f>IF($G86="","",INDEX(MLR!$1:$1048576,MATCH($G86,MLR!$J:$J,0),MATCH(W$3,MLR!$1:$1,0)))</f>
        <v>#N/A</v>
      </c>
      <c r="X86" s="173" t="e">
        <f>IF($G86="","",INDEX(MLR!$1:$1048576,MATCH($G86,MLR!$J:$J,0),MATCH(X$3,MLR!$1:$1,0)))</f>
        <v>#N/A</v>
      </c>
      <c r="Y86" s="173" t="e">
        <f>IF($G86="","",INDEX(MLR!$1:$1048576,MATCH($G86,MLR!$J:$J,0),MATCH(Y$3,MLR!$1:$1,0)))</f>
        <v>#N/A</v>
      </c>
      <c r="Z86" s="173" t="e">
        <f>IF($G86="","",INDEX(MLR!$1:$1048576,MATCH($G86,MLR!$J:$J,0),MATCH(Z$3,MLR!$1:$1,0)))</f>
        <v>#N/A</v>
      </c>
      <c r="AA86" s="173" t="e">
        <f>IF($G86="","",INDEX(MLR!$1:$1048576,MATCH($G86,MLR!$J:$J,0),MATCH(AA$3,MLR!$1:$1,0)))</f>
        <v>#N/A</v>
      </c>
      <c r="AB86" s="173" t="e">
        <f>IF($G86="","",INDEX(MLR!$1:$1048576,MATCH($G86,MLR!$J:$J,0),MATCH(AB$3,MLR!$1:$1,0)))</f>
        <v>#N/A</v>
      </c>
      <c r="AC86" s="173" t="e">
        <f>IF($G86="","",INDEX(MLR!$1:$1048576,MATCH($G86,MLR!$J:$J,0),MATCH(AC$3,MLR!$1:$1,0)))</f>
        <v>#N/A</v>
      </c>
      <c r="AD86" s="173" t="e">
        <f>IF($G86="","",INDEX(MLR!$1:$1048576,MATCH($G86,MLR!$J:$J,0),MATCH(AD$3,MLR!$1:$1,0)))</f>
        <v>#N/A</v>
      </c>
      <c r="AE86" s="173" t="e">
        <f>IF($G86="","",INDEX(MLR!$1:$1048576,MATCH($G86,MLR!$J:$J,0),MATCH(AE$3,MLR!$1:$1,0)))</f>
        <v>#N/A</v>
      </c>
      <c r="AF86" s="174" t="str">
        <f>IF(G86="","",IFERROR(IF(MATCH($G86,MLR!$J:$J,0)&gt;0,"Installed","Not Found"),"Not Found"))</f>
        <v>Not Found</v>
      </c>
      <c r="AG86" s="165"/>
      <c r="AH86" s="175" t="e">
        <f t="shared" si="57"/>
        <v>#N/A</v>
      </c>
      <c r="AI86" s="175" t="e">
        <f t="shared" si="58"/>
        <v>#N/A</v>
      </c>
      <c r="AJ86" s="175" t="e">
        <f t="shared" si="59"/>
        <v>#N/A</v>
      </c>
      <c r="AK86" s="175" t="e">
        <f t="shared" si="60"/>
        <v>#N/A</v>
      </c>
      <c r="AL86" s="175" t="e">
        <f t="shared" si="61"/>
        <v>#N/A</v>
      </c>
      <c r="AM86" s="175" t="e">
        <f t="shared" si="62"/>
        <v>#N/A</v>
      </c>
      <c r="AN86" s="175" t="e">
        <f t="shared" si="63"/>
        <v>#N/A</v>
      </c>
      <c r="AO86" s="175" t="e">
        <f t="shared" si="64"/>
        <v>#N/A</v>
      </c>
      <c r="AP86" s="175" t="e">
        <f t="shared" si="65"/>
        <v>#N/A</v>
      </c>
      <c r="AQ86" s="165"/>
      <c r="AR86" s="173" t="e">
        <f t="shared" si="47"/>
        <v>#N/A</v>
      </c>
      <c r="AS86" s="173" t="e">
        <f t="shared" si="48"/>
        <v>#N/A</v>
      </c>
      <c r="AT86" s="173" t="e">
        <f t="shared" si="49"/>
        <v>#N/A</v>
      </c>
      <c r="AU86" s="173" t="e">
        <f t="shared" si="50"/>
        <v>#N/A</v>
      </c>
      <c r="AV86" s="173" t="e">
        <f t="shared" si="51"/>
        <v>#N/A</v>
      </c>
      <c r="AW86" s="173" t="e">
        <f t="shared" si="52"/>
        <v>#N/A</v>
      </c>
      <c r="AX86" s="173" t="e">
        <f t="shared" si="53"/>
        <v>#N/A</v>
      </c>
      <c r="AY86" s="173" t="e">
        <f t="shared" si="54"/>
        <v>#N/A</v>
      </c>
      <c r="AZ86" s="173" t="e">
        <f t="shared" si="55"/>
        <v>#N/A</v>
      </c>
      <c r="BA86" s="165"/>
      <c r="BB86" s="174" t="str">
        <f t="shared" si="56"/>
        <v>No MLR</v>
      </c>
    </row>
    <row r="87" spans="1:54" s="36" customFormat="1" ht="13.8" x14ac:dyDescent="0.3">
      <c r="A87" s="128" t="str">
        <f>_xlfn.XLOOKUP(B87,'Cuttof Mapping'!A:A,'Cuttof Mapping'!D:D)</f>
        <v>2023 Dec 2nd</v>
      </c>
      <c r="B87" s="133">
        <v>45288</v>
      </c>
      <c r="C87" s="86" t="s">
        <v>352</v>
      </c>
      <c r="D87" s="79" t="s">
        <v>63</v>
      </c>
      <c r="E87" s="86">
        <v>4500866</v>
      </c>
      <c r="F87" s="86" t="s">
        <v>91</v>
      </c>
      <c r="G87" s="86" t="s">
        <v>353</v>
      </c>
      <c r="H87" s="86">
        <v>10001003</v>
      </c>
      <c r="I87" s="86" t="s">
        <v>89</v>
      </c>
      <c r="J87" s="86">
        <v>1680000696047</v>
      </c>
      <c r="K87" s="86" t="s">
        <v>54</v>
      </c>
      <c r="L87" s="86" t="s">
        <v>354</v>
      </c>
      <c r="M87" s="173">
        <f>IF(G87="","",ABS(SUMIFS('System(MB51)'!$K:$K,'System(MB51)'!$L:$L,'Checking(ZSERIALS)'!$J87,'System(MB51)'!$O:$O,'Checking(ZSERIALS)'!$L87,'System(MB51)'!$A:$A,'Checking(ZSERIALS)'!M$3)))</f>
        <v>0</v>
      </c>
      <c r="N87" s="173">
        <f>IF(H87="","",ABS(SUMIFS('System(MB51)'!$K:$K,'System(MB51)'!$L:$L,'Checking(ZSERIALS)'!$J87,'System(MB51)'!$O:$O,'Checking(ZSERIALS)'!$L87,'System(MB51)'!$A:$A,'Checking(ZSERIALS)'!N$3)))</f>
        <v>2</v>
      </c>
      <c r="O87" s="173">
        <f>IF(I87="","",ABS(SUMIFS('System(MB51)'!$K:$K,'System(MB51)'!$L:$L,'Checking(ZSERIALS)'!$J87,'System(MB51)'!$O:$O,'Checking(ZSERIALS)'!$L87,'System(MB51)'!$A:$A,'Checking(ZSERIALS)'!O$3)))</f>
        <v>0</v>
      </c>
      <c r="P87" s="173">
        <f>IF(J87="","",ABS(SUMIFS('System(MB51)'!$K:$K,'System(MB51)'!$L:$L,'Checking(ZSERIALS)'!$J87,'System(MB51)'!$O:$O,'Checking(ZSERIALS)'!$L87,'System(MB51)'!$A:$A,'Checking(ZSERIALS)'!P$3)))</f>
        <v>1</v>
      </c>
      <c r="Q87" s="173">
        <f>IF(K87="","",ABS(SUMIFS('System(MB51)'!$K:$K,'System(MB51)'!$L:$L,'Checking(ZSERIALS)'!$J87,'System(MB51)'!$O:$O,'Checking(ZSERIALS)'!$L87,'System(MB51)'!$A:$A,'Checking(ZSERIALS)'!Q$3)))</f>
        <v>0</v>
      </c>
      <c r="R87" s="173">
        <f>IF(L87="","",ABS(SUMIFS('System(MB51)'!$K:$K,'System(MB51)'!$L:$L,'Checking(ZSERIALS)'!$J87,'System(MB51)'!$O:$O,'Checking(ZSERIALS)'!$L87,'System(MB51)'!$A:$A,'Checking(ZSERIALS)'!R$3)))</f>
        <v>0</v>
      </c>
      <c r="S87" s="173">
        <f>IF(M87="","",ABS(SUMIFS('System(MB51)'!$K:$K,'System(MB51)'!$L:$L,'Checking(ZSERIALS)'!$J87,'System(MB51)'!$O:$O,'Checking(ZSERIALS)'!$L87,'System(MB51)'!$A:$A,'Checking(ZSERIALS)'!S$3)))</f>
        <v>5</v>
      </c>
      <c r="T87" s="173">
        <f>IF(N87="","",ABS(SUMIFS('System(MB51)'!$K:$K,'System(MB51)'!$L:$L,'Checking(ZSERIALS)'!$J87,'System(MB51)'!$O:$O,'Checking(ZSERIALS)'!$L87,'System(MB51)'!$A:$A,'Checking(ZSERIALS)'!T$3)))</f>
        <v>1</v>
      </c>
      <c r="U87" s="173">
        <f>IF(O87="","",ABS(SUMIFS('System(MB51)'!$K:$K,'System(MB51)'!$L:$L,'Checking(ZSERIALS)'!$J87,'System(MB51)'!$O:$O,'Checking(ZSERIALS)'!$L87,'System(MB51)'!$A:$A,'Checking(ZSERIALS)'!U$3)))</f>
        <v>0</v>
      </c>
      <c r="V87" s="165"/>
      <c r="W87" s="173">
        <f>IF($G87="","",INDEX(MLR!$1:$1048576,MATCH($G87,MLR!$J:$J,0),MATCH(W$3,MLR!$1:$1,0)))</f>
        <v>132</v>
      </c>
      <c r="X87" s="173">
        <f>IF($G87="","",INDEX(MLR!$1:$1048576,MATCH($G87,MLR!$J:$J,0),MATCH(X$3,MLR!$1:$1,0)))</f>
        <v>2</v>
      </c>
      <c r="Y87" s="173">
        <f>IF($G87="","",INDEX(MLR!$1:$1048576,MATCH($G87,MLR!$J:$J,0),MATCH(Y$3,MLR!$1:$1,0)))</f>
        <v>6</v>
      </c>
      <c r="Z87" s="173">
        <f>IF($G87="","",INDEX(MLR!$1:$1048576,MATCH($G87,MLR!$J:$J,0),MATCH(Z$3,MLR!$1:$1,0)))</f>
        <v>1</v>
      </c>
      <c r="AA87" s="173">
        <f>IF($G87="","",INDEX(MLR!$1:$1048576,MATCH($G87,MLR!$J:$J,0),MATCH(AA$3,MLR!$1:$1,0)))</f>
        <v>0</v>
      </c>
      <c r="AB87" s="173">
        <f>IF($G87="","",INDEX(MLR!$1:$1048576,MATCH($G87,MLR!$J:$J,0),MATCH(AB$3,MLR!$1:$1,0)))</f>
        <v>0</v>
      </c>
      <c r="AC87" s="173">
        <f>IF($G87="","",INDEX(MLR!$1:$1048576,MATCH($G87,MLR!$J:$J,0),MATCH(AC$3,MLR!$1:$1,0)))</f>
        <v>5</v>
      </c>
      <c r="AD87" s="173">
        <f>IF($G87="","",INDEX(MLR!$1:$1048576,MATCH($G87,MLR!$J:$J,0),MATCH(AD$3,MLR!$1:$1,0)))</f>
        <v>1</v>
      </c>
      <c r="AE87" s="173">
        <f>IF($G87="","",INDEX(MLR!$1:$1048576,MATCH($G87,MLR!$J:$J,0),MATCH(AE$3,MLR!$1:$1,0)))</f>
        <v>10</v>
      </c>
      <c r="AF87" s="174" t="str">
        <f>IF(G87="","",IFERROR(IF(MATCH($G87,MLR!$J:$J,0)&gt;0,"Installed","Not Found"),"Not Found"))</f>
        <v>Installed</v>
      </c>
      <c r="AG87" s="165"/>
      <c r="AH87" s="175" t="str">
        <f t="shared" si="57"/>
        <v>Short</v>
      </c>
      <c r="AI87" s="175" t="str">
        <f t="shared" si="58"/>
        <v>Correct</v>
      </c>
      <c r="AJ87" s="175" t="str">
        <f t="shared" si="59"/>
        <v>Short</v>
      </c>
      <c r="AK87" s="175" t="str">
        <f t="shared" si="60"/>
        <v>Correct</v>
      </c>
      <c r="AL87" s="175" t="str">
        <f t="shared" si="61"/>
        <v>Correct</v>
      </c>
      <c r="AM87" s="175" t="str">
        <f t="shared" si="62"/>
        <v>Correct</v>
      </c>
      <c r="AN87" s="175" t="str">
        <f t="shared" si="63"/>
        <v>Correct</v>
      </c>
      <c r="AO87" s="175" t="str">
        <f t="shared" si="64"/>
        <v>Correct</v>
      </c>
      <c r="AP87" s="175" t="str">
        <f t="shared" si="65"/>
        <v>Short</v>
      </c>
      <c r="AQ87" s="165"/>
      <c r="AR87" s="173">
        <f t="shared" si="47"/>
        <v>-132</v>
      </c>
      <c r="AS87" s="173">
        <f t="shared" si="48"/>
        <v>0</v>
      </c>
      <c r="AT87" s="173">
        <f t="shared" si="49"/>
        <v>-6</v>
      </c>
      <c r="AU87" s="173">
        <f t="shared" si="50"/>
        <v>0</v>
      </c>
      <c r="AV87" s="173">
        <f t="shared" si="51"/>
        <v>0</v>
      </c>
      <c r="AW87" s="173">
        <f t="shared" si="52"/>
        <v>0</v>
      </c>
      <c r="AX87" s="173">
        <f t="shared" si="53"/>
        <v>0</v>
      </c>
      <c r="AY87" s="173">
        <f t="shared" si="54"/>
        <v>0</v>
      </c>
      <c r="AZ87" s="173">
        <f t="shared" si="55"/>
        <v>-10</v>
      </c>
      <c r="BA87" s="165"/>
      <c r="BB87" s="174" t="str">
        <f t="shared" si="56"/>
        <v>With Variance</v>
      </c>
    </row>
    <row r="88" spans="1:54" s="36" customFormat="1" ht="13.8" x14ac:dyDescent="0.3">
      <c r="A88" s="128" t="str">
        <f>_xlfn.XLOOKUP(B88,'Cuttof Mapping'!A:A,'Cuttof Mapping'!D:D)</f>
        <v>2023 Dec 2nd</v>
      </c>
      <c r="B88" s="133">
        <v>45288</v>
      </c>
      <c r="C88" s="86" t="s">
        <v>355</v>
      </c>
      <c r="D88" s="79" t="s">
        <v>63</v>
      </c>
      <c r="E88" s="86">
        <v>4500866</v>
      </c>
      <c r="F88" s="86" t="s">
        <v>91</v>
      </c>
      <c r="G88" s="86" t="s">
        <v>356</v>
      </c>
      <c r="H88" s="86">
        <v>10001003</v>
      </c>
      <c r="I88" s="86" t="s">
        <v>89</v>
      </c>
      <c r="J88" s="86">
        <v>1680000696970</v>
      </c>
      <c r="K88" s="86" t="s">
        <v>54</v>
      </c>
      <c r="L88" s="86" t="s">
        <v>357</v>
      </c>
      <c r="M88" s="173">
        <f>IF(G88="","",ABS(SUMIFS('System(MB51)'!$K:$K,'System(MB51)'!$L:$L,'Checking(ZSERIALS)'!$J88,'System(MB51)'!$O:$O,'Checking(ZSERIALS)'!$L88,'System(MB51)'!$A:$A,'Checking(ZSERIALS)'!M$3)))</f>
        <v>323</v>
      </c>
      <c r="N88" s="173">
        <f>IF(H88="","",ABS(SUMIFS('System(MB51)'!$K:$K,'System(MB51)'!$L:$L,'Checking(ZSERIALS)'!$J88,'System(MB51)'!$O:$O,'Checking(ZSERIALS)'!$L88,'System(MB51)'!$A:$A,'Checking(ZSERIALS)'!N$3)))</f>
        <v>2</v>
      </c>
      <c r="O88" s="173">
        <f>IF(I88="","",ABS(SUMIFS('System(MB51)'!$K:$K,'System(MB51)'!$L:$L,'Checking(ZSERIALS)'!$J88,'System(MB51)'!$O:$O,'Checking(ZSERIALS)'!$L88,'System(MB51)'!$A:$A,'Checking(ZSERIALS)'!O$3)))</f>
        <v>12</v>
      </c>
      <c r="P88" s="173">
        <f>IF(J88="","",ABS(SUMIFS('System(MB51)'!$K:$K,'System(MB51)'!$L:$L,'Checking(ZSERIALS)'!$J88,'System(MB51)'!$O:$O,'Checking(ZSERIALS)'!$L88,'System(MB51)'!$A:$A,'Checking(ZSERIALS)'!P$3)))</f>
        <v>1</v>
      </c>
      <c r="Q88" s="173">
        <f>IF(K88="","",ABS(SUMIFS('System(MB51)'!$K:$K,'System(MB51)'!$L:$L,'Checking(ZSERIALS)'!$J88,'System(MB51)'!$O:$O,'Checking(ZSERIALS)'!$L88,'System(MB51)'!$A:$A,'Checking(ZSERIALS)'!Q$3)))</f>
        <v>0</v>
      </c>
      <c r="R88" s="173">
        <f>IF(L88="","",ABS(SUMIFS('System(MB51)'!$K:$K,'System(MB51)'!$L:$L,'Checking(ZSERIALS)'!$J88,'System(MB51)'!$O:$O,'Checking(ZSERIALS)'!$L88,'System(MB51)'!$A:$A,'Checking(ZSERIALS)'!R$3)))</f>
        <v>0</v>
      </c>
      <c r="S88" s="173">
        <f>IF(M88="","",ABS(SUMIFS('System(MB51)'!$K:$K,'System(MB51)'!$L:$L,'Checking(ZSERIALS)'!$J88,'System(MB51)'!$O:$O,'Checking(ZSERIALS)'!$L88,'System(MB51)'!$A:$A,'Checking(ZSERIALS)'!S$3)))</f>
        <v>6</v>
      </c>
      <c r="T88" s="173">
        <f>IF(N88="","",ABS(SUMIFS('System(MB51)'!$K:$K,'System(MB51)'!$L:$L,'Checking(ZSERIALS)'!$J88,'System(MB51)'!$O:$O,'Checking(ZSERIALS)'!$L88,'System(MB51)'!$A:$A,'Checking(ZSERIALS)'!T$3)))</f>
        <v>1</v>
      </c>
      <c r="U88" s="173">
        <f>IF(O88="","",ABS(SUMIFS('System(MB51)'!$K:$K,'System(MB51)'!$L:$L,'Checking(ZSERIALS)'!$J88,'System(MB51)'!$O:$O,'Checking(ZSERIALS)'!$L88,'System(MB51)'!$A:$A,'Checking(ZSERIALS)'!U$3)))</f>
        <v>10</v>
      </c>
      <c r="V88" s="165"/>
      <c r="W88" s="173">
        <f>IF($G88="","",INDEX(MLR!$1:$1048576,MATCH($G88,MLR!$J:$J,0),MATCH(W$3,MLR!$1:$1,0)))</f>
        <v>323</v>
      </c>
      <c r="X88" s="173">
        <f>IF($G88="","",INDEX(MLR!$1:$1048576,MATCH($G88,MLR!$J:$J,0),MATCH(X$3,MLR!$1:$1,0)))</f>
        <v>2</v>
      </c>
      <c r="Y88" s="173">
        <f>IF($G88="","",INDEX(MLR!$1:$1048576,MATCH($G88,MLR!$J:$J,0),MATCH(Y$3,MLR!$1:$1,0)))</f>
        <v>12</v>
      </c>
      <c r="Z88" s="173">
        <f>IF($G88="","",INDEX(MLR!$1:$1048576,MATCH($G88,MLR!$J:$J,0),MATCH(Z$3,MLR!$1:$1,0)))</f>
        <v>1</v>
      </c>
      <c r="AA88" s="173">
        <f>IF($G88="","",INDEX(MLR!$1:$1048576,MATCH($G88,MLR!$J:$J,0),MATCH(AA$3,MLR!$1:$1,0)))</f>
        <v>0</v>
      </c>
      <c r="AB88" s="173">
        <f>IF($G88="","",INDEX(MLR!$1:$1048576,MATCH($G88,MLR!$J:$J,0),MATCH(AB$3,MLR!$1:$1,0)))</f>
        <v>0</v>
      </c>
      <c r="AC88" s="173">
        <f>IF($G88="","",INDEX(MLR!$1:$1048576,MATCH($G88,MLR!$J:$J,0),MATCH(AC$3,MLR!$1:$1,0)))</f>
        <v>6</v>
      </c>
      <c r="AD88" s="173">
        <f>IF($G88="","",INDEX(MLR!$1:$1048576,MATCH($G88,MLR!$J:$J,0),MATCH(AD$3,MLR!$1:$1,0)))</f>
        <v>1</v>
      </c>
      <c r="AE88" s="173">
        <f>IF($G88="","",INDEX(MLR!$1:$1048576,MATCH($G88,MLR!$J:$J,0),MATCH(AE$3,MLR!$1:$1,0)))</f>
        <v>8</v>
      </c>
      <c r="AF88" s="174" t="str">
        <f>IF(G88="","",IFERROR(IF(MATCH($G88,MLR!$J:$J,0)&gt;0,"Installed","Not Found"),"Not Found"))</f>
        <v>Installed</v>
      </c>
      <c r="AG88" s="165"/>
      <c r="AH88" s="175" t="str">
        <f t="shared" si="57"/>
        <v>Correct</v>
      </c>
      <c r="AI88" s="175" t="str">
        <f t="shared" si="58"/>
        <v>Correct</v>
      </c>
      <c r="AJ88" s="175" t="str">
        <f t="shared" si="59"/>
        <v>Correct</v>
      </c>
      <c r="AK88" s="175" t="str">
        <f t="shared" si="60"/>
        <v>Correct</v>
      </c>
      <c r="AL88" s="175" t="str">
        <f t="shared" si="61"/>
        <v>Correct</v>
      </c>
      <c r="AM88" s="175" t="str">
        <f t="shared" si="62"/>
        <v>Correct</v>
      </c>
      <c r="AN88" s="175" t="str">
        <f t="shared" si="63"/>
        <v>Correct</v>
      </c>
      <c r="AO88" s="175" t="str">
        <f t="shared" si="64"/>
        <v>Correct</v>
      </c>
      <c r="AP88" s="175" t="str">
        <f t="shared" si="65"/>
        <v>Over</v>
      </c>
      <c r="AQ88" s="165"/>
      <c r="AR88" s="173">
        <f t="shared" si="47"/>
        <v>0</v>
      </c>
      <c r="AS88" s="173">
        <f t="shared" si="48"/>
        <v>0</v>
      </c>
      <c r="AT88" s="173">
        <f t="shared" si="49"/>
        <v>0</v>
      </c>
      <c r="AU88" s="173">
        <f t="shared" si="50"/>
        <v>0</v>
      </c>
      <c r="AV88" s="173">
        <f t="shared" si="51"/>
        <v>0</v>
      </c>
      <c r="AW88" s="173">
        <f t="shared" si="52"/>
        <v>0</v>
      </c>
      <c r="AX88" s="173">
        <f t="shared" si="53"/>
        <v>0</v>
      </c>
      <c r="AY88" s="173">
        <f t="shared" si="54"/>
        <v>0</v>
      </c>
      <c r="AZ88" s="173">
        <f t="shared" si="55"/>
        <v>2</v>
      </c>
      <c r="BA88" s="165"/>
      <c r="BB88" s="174" t="str">
        <f t="shared" si="56"/>
        <v>With Variance</v>
      </c>
    </row>
    <row r="89" spans="1:54" s="36" customFormat="1" ht="13.8" x14ac:dyDescent="0.3">
      <c r="A89" s="128" t="str">
        <f>_xlfn.XLOOKUP(B89,'Cuttof Mapping'!A:A,'Cuttof Mapping'!D:D)</f>
        <v>2023 Dec 2nd</v>
      </c>
      <c r="B89" s="133">
        <v>45289</v>
      </c>
      <c r="C89" s="86" t="s">
        <v>358</v>
      </c>
      <c r="D89" s="79" t="s">
        <v>63</v>
      </c>
      <c r="E89" s="86">
        <v>4500866</v>
      </c>
      <c r="F89" s="86" t="s">
        <v>91</v>
      </c>
      <c r="G89" s="86" t="s">
        <v>359</v>
      </c>
      <c r="H89" s="86">
        <v>10001035</v>
      </c>
      <c r="I89" s="86" t="s">
        <v>90</v>
      </c>
      <c r="J89" s="86">
        <v>1680000699895</v>
      </c>
      <c r="K89" s="86" t="s">
        <v>54</v>
      </c>
      <c r="L89" s="86" t="s">
        <v>360</v>
      </c>
      <c r="M89" s="173">
        <f>IF(G89="","",ABS(SUMIFS('System(MB51)'!$K:$K,'System(MB51)'!$L:$L,'Checking(ZSERIALS)'!$J89,'System(MB51)'!$O:$O,'Checking(ZSERIALS)'!$L89,'System(MB51)'!$A:$A,'Checking(ZSERIALS)'!M$3)))</f>
        <v>1220</v>
      </c>
      <c r="N89" s="173">
        <f>IF(H89="","",ABS(SUMIFS('System(MB51)'!$K:$K,'System(MB51)'!$L:$L,'Checking(ZSERIALS)'!$J89,'System(MB51)'!$O:$O,'Checking(ZSERIALS)'!$L89,'System(MB51)'!$A:$A,'Checking(ZSERIALS)'!N$3)))</f>
        <v>2</v>
      </c>
      <c r="O89" s="173">
        <f>IF(I89="","",ABS(SUMIFS('System(MB51)'!$K:$K,'System(MB51)'!$L:$L,'Checking(ZSERIALS)'!$J89,'System(MB51)'!$O:$O,'Checking(ZSERIALS)'!$L89,'System(MB51)'!$A:$A,'Checking(ZSERIALS)'!O$3)))</f>
        <v>0</v>
      </c>
      <c r="P89" s="173">
        <f>IF(J89="","",ABS(SUMIFS('System(MB51)'!$K:$K,'System(MB51)'!$L:$L,'Checking(ZSERIALS)'!$J89,'System(MB51)'!$O:$O,'Checking(ZSERIALS)'!$L89,'System(MB51)'!$A:$A,'Checking(ZSERIALS)'!P$3)))</f>
        <v>1</v>
      </c>
      <c r="Q89" s="173">
        <f>IF(K89="","",ABS(SUMIFS('System(MB51)'!$K:$K,'System(MB51)'!$L:$L,'Checking(ZSERIALS)'!$J89,'System(MB51)'!$O:$O,'Checking(ZSERIALS)'!$L89,'System(MB51)'!$A:$A,'Checking(ZSERIALS)'!Q$3)))</f>
        <v>0</v>
      </c>
      <c r="R89" s="173">
        <f>IF(L89="","",ABS(SUMIFS('System(MB51)'!$K:$K,'System(MB51)'!$L:$L,'Checking(ZSERIALS)'!$J89,'System(MB51)'!$O:$O,'Checking(ZSERIALS)'!$L89,'System(MB51)'!$A:$A,'Checking(ZSERIALS)'!R$3)))</f>
        <v>0</v>
      </c>
      <c r="S89" s="173">
        <f>IF(M89="","",ABS(SUMIFS('System(MB51)'!$K:$K,'System(MB51)'!$L:$L,'Checking(ZSERIALS)'!$J89,'System(MB51)'!$O:$O,'Checking(ZSERIALS)'!$L89,'System(MB51)'!$A:$A,'Checking(ZSERIALS)'!S$3)))</f>
        <v>10</v>
      </c>
      <c r="T89" s="173">
        <f>IF(N89="","",ABS(SUMIFS('System(MB51)'!$K:$K,'System(MB51)'!$L:$L,'Checking(ZSERIALS)'!$J89,'System(MB51)'!$O:$O,'Checking(ZSERIALS)'!$L89,'System(MB51)'!$A:$A,'Checking(ZSERIALS)'!T$3)))</f>
        <v>1</v>
      </c>
      <c r="U89" s="173">
        <f>IF(O89="","",ABS(SUMIFS('System(MB51)'!$K:$K,'System(MB51)'!$L:$L,'Checking(ZSERIALS)'!$J89,'System(MB51)'!$O:$O,'Checking(ZSERIALS)'!$L89,'System(MB51)'!$A:$A,'Checking(ZSERIALS)'!U$3)))</f>
        <v>10</v>
      </c>
      <c r="V89" s="165"/>
      <c r="W89" s="173">
        <f>IF($G89="","",INDEX(MLR!$1:$1048576,MATCH($G89,MLR!$J:$J,0),MATCH(W$3,MLR!$1:$1,0)))</f>
        <v>41</v>
      </c>
      <c r="X89" s="173">
        <f>IF($G89="","",INDEX(MLR!$1:$1048576,MATCH($G89,MLR!$J:$J,0),MATCH(X$3,MLR!$1:$1,0)))</f>
        <v>2</v>
      </c>
      <c r="Y89" s="173">
        <f>IF($G89="","",INDEX(MLR!$1:$1048576,MATCH($G89,MLR!$J:$J,0),MATCH(Y$3,MLR!$1:$1,0)))</f>
        <v>6</v>
      </c>
      <c r="Z89" s="173">
        <f>IF($G89="","",INDEX(MLR!$1:$1048576,MATCH($G89,MLR!$J:$J,0),MATCH(Z$3,MLR!$1:$1,0)))</f>
        <v>1</v>
      </c>
      <c r="AA89" s="173">
        <f>IF($G89="","",INDEX(MLR!$1:$1048576,MATCH($G89,MLR!$J:$J,0),MATCH(AA$3,MLR!$1:$1,0)))</f>
        <v>0</v>
      </c>
      <c r="AB89" s="173">
        <f>IF($G89="","",INDEX(MLR!$1:$1048576,MATCH($G89,MLR!$J:$J,0),MATCH(AB$3,MLR!$1:$1,0)))</f>
        <v>0</v>
      </c>
      <c r="AC89" s="173">
        <f>IF($G89="","",INDEX(MLR!$1:$1048576,MATCH($G89,MLR!$J:$J,0),MATCH(AC$3,MLR!$1:$1,0)))</f>
        <v>10</v>
      </c>
      <c r="AD89" s="173">
        <f>IF($G89="","",INDEX(MLR!$1:$1048576,MATCH($G89,MLR!$J:$J,0),MATCH(AD$3,MLR!$1:$1,0)))</f>
        <v>1</v>
      </c>
      <c r="AE89" s="173">
        <f>IF($G89="","",INDEX(MLR!$1:$1048576,MATCH($G89,MLR!$J:$J,0),MATCH(AE$3,MLR!$1:$1,0)))</f>
        <v>10</v>
      </c>
      <c r="AF89" s="174" t="str">
        <f>IF(G89="","",IFERROR(IF(MATCH($G89,MLR!$J:$J,0)&gt;0,"Installed","Not Found"),"Not Found"))</f>
        <v>Installed</v>
      </c>
      <c r="AG89" s="165"/>
      <c r="AH89" s="175" t="str">
        <f t="shared" si="57"/>
        <v>Over</v>
      </c>
      <c r="AI89" s="175" t="str">
        <f t="shared" si="58"/>
        <v>Correct</v>
      </c>
      <c r="AJ89" s="175" t="str">
        <f t="shared" si="59"/>
        <v>Short</v>
      </c>
      <c r="AK89" s="175" t="str">
        <f t="shared" si="60"/>
        <v>Correct</v>
      </c>
      <c r="AL89" s="175" t="str">
        <f t="shared" si="61"/>
        <v>Correct</v>
      </c>
      <c r="AM89" s="175" t="str">
        <f t="shared" si="62"/>
        <v>Correct</v>
      </c>
      <c r="AN89" s="175" t="str">
        <f t="shared" si="63"/>
        <v>Correct</v>
      </c>
      <c r="AO89" s="175" t="str">
        <f t="shared" si="64"/>
        <v>Correct</v>
      </c>
      <c r="AP89" s="175" t="str">
        <f t="shared" si="65"/>
        <v>Correct</v>
      </c>
      <c r="AQ89" s="165"/>
      <c r="AR89" s="173">
        <f t="shared" si="47"/>
        <v>1179</v>
      </c>
      <c r="AS89" s="173">
        <f t="shared" si="48"/>
        <v>0</v>
      </c>
      <c r="AT89" s="173">
        <f t="shared" si="49"/>
        <v>-6</v>
      </c>
      <c r="AU89" s="173">
        <f t="shared" si="50"/>
        <v>0</v>
      </c>
      <c r="AV89" s="173">
        <f t="shared" si="51"/>
        <v>0</v>
      </c>
      <c r="AW89" s="173">
        <f t="shared" si="52"/>
        <v>0</v>
      </c>
      <c r="AX89" s="173">
        <f t="shared" si="53"/>
        <v>0</v>
      </c>
      <c r="AY89" s="173">
        <f t="shared" si="54"/>
        <v>0</v>
      </c>
      <c r="AZ89" s="173">
        <f t="shared" si="55"/>
        <v>0</v>
      </c>
      <c r="BA89" s="165"/>
      <c r="BB89" s="174" t="str">
        <f t="shared" si="56"/>
        <v>With Variance</v>
      </c>
    </row>
    <row r="90" spans="1:54" s="36" customFormat="1" ht="13.8" x14ac:dyDescent="0.3">
      <c r="A90" s="128" t="str">
        <f>_xlfn.XLOOKUP(B90,'Cuttof Mapping'!A:A,'Cuttof Mapping'!D:D)</f>
        <v>2023 Dec 2nd</v>
      </c>
      <c r="B90" s="133">
        <v>45289</v>
      </c>
      <c r="C90" s="86" t="s">
        <v>361</v>
      </c>
      <c r="D90" s="79" t="s">
        <v>63</v>
      </c>
      <c r="E90" s="86">
        <v>4500866</v>
      </c>
      <c r="F90" s="86" t="s">
        <v>91</v>
      </c>
      <c r="G90" s="86" t="s">
        <v>362</v>
      </c>
      <c r="H90" s="86">
        <v>10001035</v>
      </c>
      <c r="I90" s="86" t="s">
        <v>90</v>
      </c>
      <c r="J90" s="86">
        <v>1680000700086</v>
      </c>
      <c r="K90" s="86" t="s">
        <v>54</v>
      </c>
      <c r="L90" s="86" t="s">
        <v>363</v>
      </c>
      <c r="M90" s="173">
        <f>IF(G90="","",ABS(SUMIFS('System(MB51)'!$K:$K,'System(MB51)'!$L:$L,'Checking(ZSERIALS)'!$J90,'System(MB51)'!$O:$O,'Checking(ZSERIALS)'!$L90,'System(MB51)'!$A:$A,'Checking(ZSERIALS)'!M$3)))</f>
        <v>1163</v>
      </c>
      <c r="N90" s="173">
        <f>IF(H90="","",ABS(SUMIFS('System(MB51)'!$K:$K,'System(MB51)'!$L:$L,'Checking(ZSERIALS)'!$J90,'System(MB51)'!$O:$O,'Checking(ZSERIALS)'!$L90,'System(MB51)'!$A:$A,'Checking(ZSERIALS)'!N$3)))</f>
        <v>2</v>
      </c>
      <c r="O90" s="173">
        <f>IF(I90="","",ABS(SUMIFS('System(MB51)'!$K:$K,'System(MB51)'!$L:$L,'Checking(ZSERIALS)'!$J90,'System(MB51)'!$O:$O,'Checking(ZSERIALS)'!$L90,'System(MB51)'!$A:$A,'Checking(ZSERIALS)'!O$3)))</f>
        <v>0</v>
      </c>
      <c r="P90" s="173">
        <f>IF(J90="","",ABS(SUMIFS('System(MB51)'!$K:$K,'System(MB51)'!$L:$L,'Checking(ZSERIALS)'!$J90,'System(MB51)'!$O:$O,'Checking(ZSERIALS)'!$L90,'System(MB51)'!$A:$A,'Checking(ZSERIALS)'!P$3)))</f>
        <v>1</v>
      </c>
      <c r="Q90" s="173">
        <f>IF(K90="","",ABS(SUMIFS('System(MB51)'!$K:$K,'System(MB51)'!$L:$L,'Checking(ZSERIALS)'!$J90,'System(MB51)'!$O:$O,'Checking(ZSERIALS)'!$L90,'System(MB51)'!$A:$A,'Checking(ZSERIALS)'!Q$3)))</f>
        <v>0</v>
      </c>
      <c r="R90" s="173">
        <f>IF(L90="","",ABS(SUMIFS('System(MB51)'!$K:$K,'System(MB51)'!$L:$L,'Checking(ZSERIALS)'!$J90,'System(MB51)'!$O:$O,'Checking(ZSERIALS)'!$L90,'System(MB51)'!$A:$A,'Checking(ZSERIALS)'!R$3)))</f>
        <v>0</v>
      </c>
      <c r="S90" s="173">
        <f>IF(M90="","",ABS(SUMIFS('System(MB51)'!$K:$K,'System(MB51)'!$L:$L,'Checking(ZSERIALS)'!$J90,'System(MB51)'!$O:$O,'Checking(ZSERIALS)'!$L90,'System(MB51)'!$A:$A,'Checking(ZSERIALS)'!S$3)))</f>
        <v>8</v>
      </c>
      <c r="T90" s="173">
        <f>IF(N90="","",ABS(SUMIFS('System(MB51)'!$K:$K,'System(MB51)'!$L:$L,'Checking(ZSERIALS)'!$J90,'System(MB51)'!$O:$O,'Checking(ZSERIALS)'!$L90,'System(MB51)'!$A:$A,'Checking(ZSERIALS)'!T$3)))</f>
        <v>1</v>
      </c>
      <c r="U90" s="173">
        <f>IF(O90="","",ABS(SUMIFS('System(MB51)'!$K:$K,'System(MB51)'!$L:$L,'Checking(ZSERIALS)'!$J90,'System(MB51)'!$O:$O,'Checking(ZSERIALS)'!$L90,'System(MB51)'!$A:$A,'Checking(ZSERIALS)'!U$3)))</f>
        <v>8</v>
      </c>
      <c r="V90" s="165"/>
      <c r="W90" s="173">
        <f>IF($G90="","",INDEX(MLR!$1:$1048576,MATCH($G90,MLR!$J:$J,0),MATCH(W$3,MLR!$1:$1,0)))</f>
        <v>58</v>
      </c>
      <c r="X90" s="173">
        <f>IF($G90="","",INDEX(MLR!$1:$1048576,MATCH($G90,MLR!$J:$J,0),MATCH(X$3,MLR!$1:$1,0)))</f>
        <v>2</v>
      </c>
      <c r="Y90" s="173">
        <f>IF($G90="","",INDEX(MLR!$1:$1048576,MATCH($G90,MLR!$J:$J,0),MATCH(Y$3,MLR!$1:$1,0)))</f>
        <v>6</v>
      </c>
      <c r="Z90" s="173">
        <f>IF($G90="","",INDEX(MLR!$1:$1048576,MATCH($G90,MLR!$J:$J,0),MATCH(Z$3,MLR!$1:$1,0)))</f>
        <v>1</v>
      </c>
      <c r="AA90" s="173">
        <f>IF($G90="","",INDEX(MLR!$1:$1048576,MATCH($G90,MLR!$J:$J,0),MATCH(AA$3,MLR!$1:$1,0)))</f>
        <v>0</v>
      </c>
      <c r="AB90" s="173">
        <f>IF($G90="","",INDEX(MLR!$1:$1048576,MATCH($G90,MLR!$J:$J,0),MATCH(AB$3,MLR!$1:$1,0)))</f>
        <v>0</v>
      </c>
      <c r="AC90" s="173">
        <f>IF($G90="","",INDEX(MLR!$1:$1048576,MATCH($G90,MLR!$J:$J,0),MATCH(AC$3,MLR!$1:$1,0)))</f>
        <v>8</v>
      </c>
      <c r="AD90" s="173">
        <f>IF($G90="","",INDEX(MLR!$1:$1048576,MATCH($G90,MLR!$J:$J,0),MATCH(AD$3,MLR!$1:$1,0)))</f>
        <v>1</v>
      </c>
      <c r="AE90" s="173">
        <f>IF($G90="","",INDEX(MLR!$1:$1048576,MATCH($G90,MLR!$J:$J,0),MATCH(AE$3,MLR!$1:$1,0)))</f>
        <v>10</v>
      </c>
      <c r="AF90" s="174" t="str">
        <f>IF(G90="","",IFERROR(IF(MATCH($G90,MLR!$J:$J,0)&gt;0,"Installed","Not Found"),"Not Found"))</f>
        <v>Installed</v>
      </c>
      <c r="AG90" s="165"/>
      <c r="AH90" s="175" t="str">
        <f t="shared" si="57"/>
        <v>Over</v>
      </c>
      <c r="AI90" s="175" t="str">
        <f t="shared" si="58"/>
        <v>Correct</v>
      </c>
      <c r="AJ90" s="175" t="str">
        <f t="shared" si="59"/>
        <v>Short</v>
      </c>
      <c r="AK90" s="175" t="str">
        <f t="shared" si="60"/>
        <v>Correct</v>
      </c>
      <c r="AL90" s="175" t="str">
        <f t="shared" si="61"/>
        <v>Correct</v>
      </c>
      <c r="AM90" s="175" t="str">
        <f t="shared" si="62"/>
        <v>Correct</v>
      </c>
      <c r="AN90" s="175" t="str">
        <f t="shared" si="63"/>
        <v>Correct</v>
      </c>
      <c r="AO90" s="175" t="str">
        <f t="shared" si="64"/>
        <v>Correct</v>
      </c>
      <c r="AP90" s="175" t="str">
        <f t="shared" si="65"/>
        <v>Short</v>
      </c>
      <c r="AQ90" s="165"/>
      <c r="AR90" s="173">
        <f t="shared" si="47"/>
        <v>1105</v>
      </c>
      <c r="AS90" s="173">
        <f t="shared" si="48"/>
        <v>0</v>
      </c>
      <c r="AT90" s="173">
        <f t="shared" si="49"/>
        <v>-6</v>
      </c>
      <c r="AU90" s="173">
        <f t="shared" si="50"/>
        <v>0</v>
      </c>
      <c r="AV90" s="173">
        <f t="shared" si="51"/>
        <v>0</v>
      </c>
      <c r="AW90" s="173">
        <f t="shared" si="52"/>
        <v>0</v>
      </c>
      <c r="AX90" s="173">
        <f t="shared" si="53"/>
        <v>0</v>
      </c>
      <c r="AY90" s="173">
        <f t="shared" si="54"/>
        <v>0</v>
      </c>
      <c r="AZ90" s="173">
        <f t="shared" si="55"/>
        <v>-2</v>
      </c>
      <c r="BA90" s="165"/>
      <c r="BB90" s="174" t="str">
        <f t="shared" si="56"/>
        <v>With Variance</v>
      </c>
    </row>
    <row r="91" spans="1:54" s="36" customFormat="1" ht="13.8" x14ac:dyDescent="0.3">
      <c r="A91" s="128" t="str">
        <f>_xlfn.XLOOKUP(B91,'Cuttof Mapping'!A:A,'Cuttof Mapping'!D:D)</f>
        <v>2023 Dec 2nd</v>
      </c>
      <c r="B91" s="133">
        <v>45289</v>
      </c>
      <c r="C91" s="86" t="s">
        <v>364</v>
      </c>
      <c r="D91" s="79" t="s">
        <v>63</v>
      </c>
      <c r="E91" s="86">
        <v>4500866</v>
      </c>
      <c r="F91" s="86" t="s">
        <v>91</v>
      </c>
      <c r="G91" s="86" t="s">
        <v>365</v>
      </c>
      <c r="H91" s="86">
        <v>10001035</v>
      </c>
      <c r="I91" s="86" t="s">
        <v>90</v>
      </c>
      <c r="J91" s="86">
        <v>1680000700506</v>
      </c>
      <c r="K91" s="86" t="s">
        <v>54</v>
      </c>
      <c r="L91" s="86" t="s">
        <v>366</v>
      </c>
      <c r="M91" s="173">
        <f>IF(G91="","",ABS(SUMIFS('System(MB51)'!$K:$K,'System(MB51)'!$L:$L,'Checking(ZSERIALS)'!$J91,'System(MB51)'!$O:$O,'Checking(ZSERIALS)'!$L91,'System(MB51)'!$A:$A,'Checking(ZSERIALS)'!M$3)))</f>
        <v>1592</v>
      </c>
      <c r="N91" s="173">
        <f>IF(H91="","",ABS(SUMIFS('System(MB51)'!$K:$K,'System(MB51)'!$L:$L,'Checking(ZSERIALS)'!$J91,'System(MB51)'!$O:$O,'Checking(ZSERIALS)'!$L91,'System(MB51)'!$A:$A,'Checking(ZSERIALS)'!N$3)))</f>
        <v>2</v>
      </c>
      <c r="O91" s="173">
        <f>IF(I91="","",ABS(SUMIFS('System(MB51)'!$K:$K,'System(MB51)'!$L:$L,'Checking(ZSERIALS)'!$J91,'System(MB51)'!$O:$O,'Checking(ZSERIALS)'!$L91,'System(MB51)'!$A:$A,'Checking(ZSERIALS)'!O$3)))</f>
        <v>0</v>
      </c>
      <c r="P91" s="173">
        <f>IF(J91="","",ABS(SUMIFS('System(MB51)'!$K:$K,'System(MB51)'!$L:$L,'Checking(ZSERIALS)'!$J91,'System(MB51)'!$O:$O,'Checking(ZSERIALS)'!$L91,'System(MB51)'!$A:$A,'Checking(ZSERIALS)'!P$3)))</f>
        <v>0</v>
      </c>
      <c r="Q91" s="173">
        <f>IF(K91="","",ABS(SUMIFS('System(MB51)'!$K:$K,'System(MB51)'!$L:$L,'Checking(ZSERIALS)'!$J91,'System(MB51)'!$O:$O,'Checking(ZSERIALS)'!$L91,'System(MB51)'!$A:$A,'Checking(ZSERIALS)'!Q$3)))</f>
        <v>0</v>
      </c>
      <c r="R91" s="173">
        <f>IF(L91="","",ABS(SUMIFS('System(MB51)'!$K:$K,'System(MB51)'!$L:$L,'Checking(ZSERIALS)'!$J91,'System(MB51)'!$O:$O,'Checking(ZSERIALS)'!$L91,'System(MB51)'!$A:$A,'Checking(ZSERIALS)'!R$3)))</f>
        <v>0</v>
      </c>
      <c r="S91" s="173">
        <f>IF(M91="","",ABS(SUMIFS('System(MB51)'!$K:$K,'System(MB51)'!$L:$L,'Checking(ZSERIALS)'!$J91,'System(MB51)'!$O:$O,'Checking(ZSERIALS)'!$L91,'System(MB51)'!$A:$A,'Checking(ZSERIALS)'!S$3)))</f>
        <v>5</v>
      </c>
      <c r="T91" s="173">
        <f>IF(N91="","",ABS(SUMIFS('System(MB51)'!$K:$K,'System(MB51)'!$L:$L,'Checking(ZSERIALS)'!$J91,'System(MB51)'!$O:$O,'Checking(ZSERIALS)'!$L91,'System(MB51)'!$A:$A,'Checking(ZSERIALS)'!T$3)))</f>
        <v>1</v>
      </c>
      <c r="U91" s="173">
        <f>IF(O91="","",ABS(SUMIFS('System(MB51)'!$K:$K,'System(MB51)'!$L:$L,'Checking(ZSERIALS)'!$J91,'System(MB51)'!$O:$O,'Checking(ZSERIALS)'!$L91,'System(MB51)'!$A:$A,'Checking(ZSERIALS)'!U$3)))</f>
        <v>0</v>
      </c>
      <c r="V91" s="165"/>
      <c r="W91" s="173">
        <f>IF($G91="","",INDEX(MLR!$1:$1048576,MATCH($G91,MLR!$J:$J,0),MATCH(W$3,MLR!$1:$1,0)))</f>
        <v>87</v>
      </c>
      <c r="X91" s="173">
        <f>IF($G91="","",INDEX(MLR!$1:$1048576,MATCH($G91,MLR!$J:$J,0),MATCH(X$3,MLR!$1:$1,0)))</f>
        <v>2</v>
      </c>
      <c r="Y91" s="173">
        <f>IF($G91="","",INDEX(MLR!$1:$1048576,MATCH($G91,MLR!$J:$J,0),MATCH(Y$3,MLR!$1:$1,0)))</f>
        <v>4</v>
      </c>
      <c r="Z91" s="173">
        <f>IF($G91="","",INDEX(MLR!$1:$1048576,MATCH($G91,MLR!$J:$J,0),MATCH(Z$3,MLR!$1:$1,0)))</f>
        <v>1</v>
      </c>
      <c r="AA91" s="173">
        <f>IF($G91="","",INDEX(MLR!$1:$1048576,MATCH($G91,MLR!$J:$J,0),MATCH(AA$3,MLR!$1:$1,0)))</f>
        <v>0</v>
      </c>
      <c r="AB91" s="173">
        <f>IF($G91="","",INDEX(MLR!$1:$1048576,MATCH($G91,MLR!$J:$J,0),MATCH(AB$3,MLR!$1:$1,0)))</f>
        <v>0</v>
      </c>
      <c r="AC91" s="173">
        <f>IF($G91="","",INDEX(MLR!$1:$1048576,MATCH($G91,MLR!$J:$J,0),MATCH(AC$3,MLR!$1:$1,0)))</f>
        <v>5</v>
      </c>
      <c r="AD91" s="173">
        <f>IF($G91="","",INDEX(MLR!$1:$1048576,MATCH($G91,MLR!$J:$J,0),MATCH(AD$3,MLR!$1:$1,0)))</f>
        <v>1</v>
      </c>
      <c r="AE91" s="173">
        <f>IF($G91="","",INDEX(MLR!$1:$1048576,MATCH($G91,MLR!$J:$J,0),MATCH(AE$3,MLR!$1:$1,0)))</f>
        <v>8</v>
      </c>
      <c r="AF91" s="174" t="str">
        <f>IF(G91="","",IFERROR(IF(MATCH($G91,MLR!$J:$J,0)&gt;0,"Installed","Not Found"),"Not Found"))</f>
        <v>Installed</v>
      </c>
      <c r="AG91" s="165"/>
      <c r="AH91" s="175" t="str">
        <f t="shared" si="57"/>
        <v>Over</v>
      </c>
      <c r="AI91" s="175" t="str">
        <f t="shared" si="58"/>
        <v>Correct</v>
      </c>
      <c r="AJ91" s="175" t="str">
        <f t="shared" si="59"/>
        <v>Short</v>
      </c>
      <c r="AK91" s="175" t="str">
        <f t="shared" si="60"/>
        <v>Short</v>
      </c>
      <c r="AL91" s="175" t="str">
        <f t="shared" si="61"/>
        <v>Correct</v>
      </c>
      <c r="AM91" s="175" t="str">
        <f t="shared" si="62"/>
        <v>Correct</v>
      </c>
      <c r="AN91" s="175" t="str">
        <f t="shared" si="63"/>
        <v>Correct</v>
      </c>
      <c r="AO91" s="175" t="str">
        <f t="shared" si="64"/>
        <v>Correct</v>
      </c>
      <c r="AP91" s="175" t="str">
        <f t="shared" si="65"/>
        <v>Short</v>
      </c>
      <c r="AQ91" s="165"/>
      <c r="AR91" s="173">
        <f t="shared" si="47"/>
        <v>1505</v>
      </c>
      <c r="AS91" s="173">
        <f t="shared" si="48"/>
        <v>0</v>
      </c>
      <c r="AT91" s="173">
        <f t="shared" si="49"/>
        <v>-4</v>
      </c>
      <c r="AU91" s="173">
        <f t="shared" si="50"/>
        <v>-1</v>
      </c>
      <c r="AV91" s="173">
        <f t="shared" si="51"/>
        <v>0</v>
      </c>
      <c r="AW91" s="173">
        <f t="shared" si="52"/>
        <v>0</v>
      </c>
      <c r="AX91" s="173">
        <f t="shared" si="53"/>
        <v>0</v>
      </c>
      <c r="AY91" s="173">
        <f t="shared" si="54"/>
        <v>0</v>
      </c>
      <c r="AZ91" s="173">
        <f t="shared" si="55"/>
        <v>-8</v>
      </c>
      <c r="BA91" s="165"/>
      <c r="BB91" s="174" t="str">
        <f t="shared" si="56"/>
        <v>With Variance</v>
      </c>
    </row>
    <row r="92" spans="1:54" s="36" customFormat="1" ht="13.8" x14ac:dyDescent="0.3">
      <c r="A92" s="128" t="str">
        <f>_xlfn.XLOOKUP(B92,'Cuttof Mapping'!A:A,'Cuttof Mapping'!D:D)</f>
        <v>2023 Dec 2nd</v>
      </c>
      <c r="B92" s="133">
        <v>45289</v>
      </c>
      <c r="C92" s="86" t="s">
        <v>367</v>
      </c>
      <c r="D92" s="79" t="s">
        <v>63</v>
      </c>
      <c r="E92" s="86">
        <v>4500866</v>
      </c>
      <c r="F92" s="86" t="s">
        <v>91</v>
      </c>
      <c r="G92" s="86" t="s">
        <v>368</v>
      </c>
      <c r="H92" s="86">
        <v>10001035</v>
      </c>
      <c r="I92" s="86" t="s">
        <v>90</v>
      </c>
      <c r="J92" s="86">
        <v>1680000699442</v>
      </c>
      <c r="K92" s="86" t="s">
        <v>54</v>
      </c>
      <c r="L92" s="86" t="s">
        <v>369</v>
      </c>
      <c r="M92" s="173">
        <f>IF(G92="","",ABS(SUMIFS('System(MB51)'!$K:$K,'System(MB51)'!$L:$L,'Checking(ZSERIALS)'!$J92,'System(MB51)'!$O:$O,'Checking(ZSERIALS)'!$L92,'System(MB51)'!$A:$A,'Checking(ZSERIALS)'!M$3)))</f>
        <v>89</v>
      </c>
      <c r="N92" s="173">
        <f>IF(H92="","",ABS(SUMIFS('System(MB51)'!$K:$K,'System(MB51)'!$L:$L,'Checking(ZSERIALS)'!$J92,'System(MB51)'!$O:$O,'Checking(ZSERIALS)'!$L92,'System(MB51)'!$A:$A,'Checking(ZSERIALS)'!N$3)))</f>
        <v>2</v>
      </c>
      <c r="O92" s="173">
        <f>IF(I92="","",ABS(SUMIFS('System(MB51)'!$K:$K,'System(MB51)'!$L:$L,'Checking(ZSERIALS)'!$J92,'System(MB51)'!$O:$O,'Checking(ZSERIALS)'!$L92,'System(MB51)'!$A:$A,'Checking(ZSERIALS)'!O$3)))</f>
        <v>5</v>
      </c>
      <c r="P92" s="173">
        <f>IF(J92="","",ABS(SUMIFS('System(MB51)'!$K:$K,'System(MB51)'!$L:$L,'Checking(ZSERIALS)'!$J92,'System(MB51)'!$O:$O,'Checking(ZSERIALS)'!$L92,'System(MB51)'!$A:$A,'Checking(ZSERIALS)'!P$3)))</f>
        <v>1</v>
      </c>
      <c r="Q92" s="173">
        <f>IF(K92="","",ABS(SUMIFS('System(MB51)'!$K:$K,'System(MB51)'!$L:$L,'Checking(ZSERIALS)'!$J92,'System(MB51)'!$O:$O,'Checking(ZSERIALS)'!$L92,'System(MB51)'!$A:$A,'Checking(ZSERIALS)'!Q$3)))</f>
        <v>0</v>
      </c>
      <c r="R92" s="173">
        <f>IF(L92="","",ABS(SUMIFS('System(MB51)'!$K:$K,'System(MB51)'!$L:$L,'Checking(ZSERIALS)'!$J92,'System(MB51)'!$O:$O,'Checking(ZSERIALS)'!$L92,'System(MB51)'!$A:$A,'Checking(ZSERIALS)'!R$3)))</f>
        <v>0</v>
      </c>
      <c r="S92" s="173">
        <f>IF(M92="","",ABS(SUMIFS('System(MB51)'!$K:$K,'System(MB51)'!$L:$L,'Checking(ZSERIALS)'!$J92,'System(MB51)'!$O:$O,'Checking(ZSERIALS)'!$L92,'System(MB51)'!$A:$A,'Checking(ZSERIALS)'!S$3)))</f>
        <v>2</v>
      </c>
      <c r="T92" s="173">
        <f>IF(N92="","",ABS(SUMIFS('System(MB51)'!$K:$K,'System(MB51)'!$L:$L,'Checking(ZSERIALS)'!$J92,'System(MB51)'!$O:$O,'Checking(ZSERIALS)'!$L92,'System(MB51)'!$A:$A,'Checking(ZSERIALS)'!T$3)))</f>
        <v>1</v>
      </c>
      <c r="U92" s="173">
        <f>IF(O92="","",ABS(SUMIFS('System(MB51)'!$K:$K,'System(MB51)'!$L:$L,'Checking(ZSERIALS)'!$J92,'System(MB51)'!$O:$O,'Checking(ZSERIALS)'!$L92,'System(MB51)'!$A:$A,'Checking(ZSERIALS)'!U$3)))</f>
        <v>8</v>
      </c>
      <c r="V92" s="165"/>
      <c r="W92" s="173">
        <f>IF($G92="","",INDEX(MLR!$1:$1048576,MATCH($G92,MLR!$J:$J,0),MATCH(W$3,MLR!$1:$1,0)))</f>
        <v>89</v>
      </c>
      <c r="X92" s="173">
        <f>IF($G92="","",INDEX(MLR!$1:$1048576,MATCH($G92,MLR!$J:$J,0),MATCH(X$3,MLR!$1:$1,0)))</f>
        <v>2</v>
      </c>
      <c r="Y92" s="173">
        <f>IF($G92="","",INDEX(MLR!$1:$1048576,MATCH($G92,MLR!$J:$J,0),MATCH(Y$3,MLR!$1:$1,0)))</f>
        <v>5</v>
      </c>
      <c r="Z92" s="173">
        <f>IF($G92="","",INDEX(MLR!$1:$1048576,MATCH($G92,MLR!$J:$J,0),MATCH(Z$3,MLR!$1:$1,0)))</f>
        <v>1</v>
      </c>
      <c r="AA92" s="173">
        <f>IF($G92="","",INDEX(MLR!$1:$1048576,MATCH($G92,MLR!$J:$J,0),MATCH(AA$3,MLR!$1:$1,0)))</f>
        <v>0</v>
      </c>
      <c r="AB92" s="173">
        <f>IF($G92="","",INDEX(MLR!$1:$1048576,MATCH($G92,MLR!$J:$J,0),MATCH(AB$3,MLR!$1:$1,0)))</f>
        <v>0</v>
      </c>
      <c r="AC92" s="173">
        <f>IF($G92="","",INDEX(MLR!$1:$1048576,MATCH($G92,MLR!$J:$J,0),MATCH(AC$3,MLR!$1:$1,0)))</f>
        <v>2</v>
      </c>
      <c r="AD92" s="173">
        <f>IF($G92="","",INDEX(MLR!$1:$1048576,MATCH($G92,MLR!$J:$J,0),MATCH(AD$3,MLR!$1:$1,0)))</f>
        <v>1</v>
      </c>
      <c r="AE92" s="173">
        <f>IF($G92="","",INDEX(MLR!$1:$1048576,MATCH($G92,MLR!$J:$J,0),MATCH(AE$3,MLR!$1:$1,0)))</f>
        <v>8</v>
      </c>
      <c r="AF92" s="174" t="str">
        <f>IF(G92="","",IFERROR(IF(MATCH($G92,MLR!$J:$J,0)&gt;0,"Installed","Not Found"),"Not Found"))</f>
        <v>Installed</v>
      </c>
      <c r="AG92" s="165"/>
      <c r="AH92" s="175" t="str">
        <f t="shared" si="57"/>
        <v>Correct</v>
      </c>
      <c r="AI92" s="175" t="str">
        <f t="shared" si="58"/>
        <v>Correct</v>
      </c>
      <c r="AJ92" s="175" t="str">
        <f t="shared" si="59"/>
        <v>Correct</v>
      </c>
      <c r="AK92" s="175" t="str">
        <f t="shared" si="60"/>
        <v>Correct</v>
      </c>
      <c r="AL92" s="175" t="str">
        <f t="shared" si="61"/>
        <v>Correct</v>
      </c>
      <c r="AM92" s="175" t="str">
        <f t="shared" si="62"/>
        <v>Correct</v>
      </c>
      <c r="AN92" s="175" t="str">
        <f t="shared" si="63"/>
        <v>Correct</v>
      </c>
      <c r="AO92" s="175" t="str">
        <f t="shared" si="64"/>
        <v>Correct</v>
      </c>
      <c r="AP92" s="175" t="str">
        <f t="shared" si="65"/>
        <v>Correct</v>
      </c>
      <c r="AQ92" s="165"/>
      <c r="AR92" s="173">
        <f t="shared" si="47"/>
        <v>0</v>
      </c>
      <c r="AS92" s="173">
        <f t="shared" si="48"/>
        <v>0</v>
      </c>
      <c r="AT92" s="173">
        <f t="shared" si="49"/>
        <v>0</v>
      </c>
      <c r="AU92" s="173">
        <f t="shared" si="50"/>
        <v>0</v>
      </c>
      <c r="AV92" s="173">
        <f t="shared" si="51"/>
        <v>0</v>
      </c>
      <c r="AW92" s="173">
        <f t="shared" si="52"/>
        <v>0</v>
      </c>
      <c r="AX92" s="173">
        <f t="shared" si="53"/>
        <v>0</v>
      </c>
      <c r="AY92" s="173">
        <f t="shared" si="54"/>
        <v>0</v>
      </c>
      <c r="AZ92" s="173">
        <f t="shared" si="55"/>
        <v>0</v>
      </c>
      <c r="BA92" s="165"/>
      <c r="BB92" s="174" t="str">
        <f t="shared" si="56"/>
        <v>No Variance</v>
      </c>
    </row>
    <row r="93" spans="1:54" s="36" customFormat="1" ht="13.8" x14ac:dyDescent="0.3">
      <c r="A93" s="128" t="str">
        <f>_xlfn.XLOOKUP(B93,'Cuttof Mapping'!A:A,'Cuttof Mapping'!D:D)</f>
        <v>2023 Dec 2nd</v>
      </c>
      <c r="B93" s="133">
        <v>45289</v>
      </c>
      <c r="C93" s="86" t="s">
        <v>370</v>
      </c>
      <c r="D93" s="79" t="s">
        <v>63</v>
      </c>
      <c r="E93" s="86">
        <v>4500866</v>
      </c>
      <c r="F93" s="86" t="s">
        <v>91</v>
      </c>
      <c r="G93" s="86" t="s">
        <v>371</v>
      </c>
      <c r="H93" s="86">
        <v>10001003</v>
      </c>
      <c r="I93" s="86" t="s">
        <v>89</v>
      </c>
      <c r="J93" s="134" t="s">
        <v>103</v>
      </c>
      <c r="K93" s="86" t="s">
        <v>101</v>
      </c>
      <c r="L93" s="86" t="s">
        <v>102</v>
      </c>
      <c r="M93" s="173">
        <f>IF(G93="","",ABS(SUMIFS('System(MB51)'!$K:$K,'System(MB51)'!$L:$L,'Checking(ZSERIALS)'!$J93,'System(MB51)'!$O:$O,'Checking(ZSERIALS)'!$L93,'System(MB51)'!$A:$A,'Checking(ZSERIALS)'!M$3)))</f>
        <v>0</v>
      </c>
      <c r="N93" s="173">
        <f>IF(H93="","",ABS(SUMIFS('System(MB51)'!$K:$K,'System(MB51)'!$L:$L,'Checking(ZSERIALS)'!$J93,'System(MB51)'!$O:$O,'Checking(ZSERIALS)'!$L93,'System(MB51)'!$A:$A,'Checking(ZSERIALS)'!N$3)))</f>
        <v>0</v>
      </c>
      <c r="O93" s="173">
        <f>IF(I93="","",ABS(SUMIFS('System(MB51)'!$K:$K,'System(MB51)'!$L:$L,'Checking(ZSERIALS)'!$J93,'System(MB51)'!$O:$O,'Checking(ZSERIALS)'!$L93,'System(MB51)'!$A:$A,'Checking(ZSERIALS)'!O$3)))</f>
        <v>0</v>
      </c>
      <c r="P93" s="173">
        <f>IF(J93="","",ABS(SUMIFS('System(MB51)'!$K:$K,'System(MB51)'!$L:$L,'Checking(ZSERIALS)'!$J93,'System(MB51)'!$O:$O,'Checking(ZSERIALS)'!$L93,'System(MB51)'!$A:$A,'Checking(ZSERIALS)'!P$3)))</f>
        <v>0</v>
      </c>
      <c r="Q93" s="173">
        <f>IF(K93="","",ABS(SUMIFS('System(MB51)'!$K:$K,'System(MB51)'!$L:$L,'Checking(ZSERIALS)'!$J93,'System(MB51)'!$O:$O,'Checking(ZSERIALS)'!$L93,'System(MB51)'!$A:$A,'Checking(ZSERIALS)'!Q$3)))</f>
        <v>0</v>
      </c>
      <c r="R93" s="173">
        <f>IF(L93="","",ABS(SUMIFS('System(MB51)'!$K:$K,'System(MB51)'!$L:$L,'Checking(ZSERIALS)'!$J93,'System(MB51)'!$O:$O,'Checking(ZSERIALS)'!$L93,'System(MB51)'!$A:$A,'Checking(ZSERIALS)'!R$3)))</f>
        <v>0</v>
      </c>
      <c r="S93" s="173">
        <f>IF(M93="","",ABS(SUMIFS('System(MB51)'!$K:$K,'System(MB51)'!$L:$L,'Checking(ZSERIALS)'!$J93,'System(MB51)'!$O:$O,'Checking(ZSERIALS)'!$L93,'System(MB51)'!$A:$A,'Checking(ZSERIALS)'!S$3)))</f>
        <v>0</v>
      </c>
      <c r="T93" s="173">
        <f>IF(N93="","",ABS(SUMIFS('System(MB51)'!$K:$K,'System(MB51)'!$L:$L,'Checking(ZSERIALS)'!$J93,'System(MB51)'!$O:$O,'Checking(ZSERIALS)'!$L93,'System(MB51)'!$A:$A,'Checking(ZSERIALS)'!T$3)))</f>
        <v>0</v>
      </c>
      <c r="U93" s="173">
        <f>IF(O93="","",ABS(SUMIFS('System(MB51)'!$K:$K,'System(MB51)'!$L:$L,'Checking(ZSERIALS)'!$J93,'System(MB51)'!$O:$O,'Checking(ZSERIALS)'!$L93,'System(MB51)'!$A:$A,'Checking(ZSERIALS)'!U$3)))</f>
        <v>0</v>
      </c>
      <c r="V93" s="165"/>
      <c r="W93" s="173" t="e">
        <f>IF($G93="","",INDEX(MLR!$1:$1048576,MATCH($G93,MLR!$J:$J,0),MATCH(W$3,MLR!$1:$1,0)))</f>
        <v>#N/A</v>
      </c>
      <c r="X93" s="173" t="e">
        <f>IF($G93="","",INDEX(MLR!$1:$1048576,MATCH($G93,MLR!$J:$J,0),MATCH(X$3,MLR!$1:$1,0)))</f>
        <v>#N/A</v>
      </c>
      <c r="Y93" s="173" t="e">
        <f>IF($G93="","",INDEX(MLR!$1:$1048576,MATCH($G93,MLR!$J:$J,0),MATCH(Y$3,MLR!$1:$1,0)))</f>
        <v>#N/A</v>
      </c>
      <c r="Z93" s="173" t="e">
        <f>IF($G93="","",INDEX(MLR!$1:$1048576,MATCH($G93,MLR!$J:$J,0),MATCH(Z$3,MLR!$1:$1,0)))</f>
        <v>#N/A</v>
      </c>
      <c r="AA93" s="173" t="e">
        <f>IF($G93="","",INDEX(MLR!$1:$1048576,MATCH($G93,MLR!$J:$J,0),MATCH(AA$3,MLR!$1:$1,0)))</f>
        <v>#N/A</v>
      </c>
      <c r="AB93" s="173" t="e">
        <f>IF($G93="","",INDEX(MLR!$1:$1048576,MATCH($G93,MLR!$J:$J,0),MATCH(AB$3,MLR!$1:$1,0)))</f>
        <v>#N/A</v>
      </c>
      <c r="AC93" s="173" t="e">
        <f>IF($G93="","",INDEX(MLR!$1:$1048576,MATCH($G93,MLR!$J:$J,0),MATCH(AC$3,MLR!$1:$1,0)))</f>
        <v>#N/A</v>
      </c>
      <c r="AD93" s="173" t="e">
        <f>IF($G93="","",INDEX(MLR!$1:$1048576,MATCH($G93,MLR!$J:$J,0),MATCH(AD$3,MLR!$1:$1,0)))</f>
        <v>#N/A</v>
      </c>
      <c r="AE93" s="173" t="e">
        <f>IF($G93="","",INDEX(MLR!$1:$1048576,MATCH($G93,MLR!$J:$J,0),MATCH(AE$3,MLR!$1:$1,0)))</f>
        <v>#N/A</v>
      </c>
      <c r="AF93" s="174" t="str">
        <f>IF(G93="","",IFERROR(IF(MATCH($G93,MLR!$J:$J,0)&gt;0,"Installed","Not Found"),"Not Found"))</f>
        <v>Not Found</v>
      </c>
      <c r="AG93" s="165"/>
      <c r="AH93" s="175" t="e">
        <f t="shared" si="57"/>
        <v>#N/A</v>
      </c>
      <c r="AI93" s="175" t="e">
        <f t="shared" si="58"/>
        <v>#N/A</v>
      </c>
      <c r="AJ93" s="175" t="e">
        <f t="shared" si="59"/>
        <v>#N/A</v>
      </c>
      <c r="AK93" s="175" t="e">
        <f t="shared" si="60"/>
        <v>#N/A</v>
      </c>
      <c r="AL93" s="175" t="e">
        <f t="shared" si="61"/>
        <v>#N/A</v>
      </c>
      <c r="AM93" s="175" t="e">
        <f t="shared" si="62"/>
        <v>#N/A</v>
      </c>
      <c r="AN93" s="175" t="e">
        <f t="shared" si="63"/>
        <v>#N/A</v>
      </c>
      <c r="AO93" s="175" t="e">
        <f t="shared" si="64"/>
        <v>#N/A</v>
      </c>
      <c r="AP93" s="175" t="e">
        <f t="shared" si="65"/>
        <v>#N/A</v>
      </c>
      <c r="AQ93" s="165"/>
      <c r="AR93" s="173" t="e">
        <f t="shared" si="47"/>
        <v>#N/A</v>
      </c>
      <c r="AS93" s="173" t="e">
        <f t="shared" si="48"/>
        <v>#N/A</v>
      </c>
      <c r="AT93" s="173" t="e">
        <f t="shared" si="49"/>
        <v>#N/A</v>
      </c>
      <c r="AU93" s="173" t="e">
        <f t="shared" si="50"/>
        <v>#N/A</v>
      </c>
      <c r="AV93" s="173" t="e">
        <f t="shared" si="51"/>
        <v>#N/A</v>
      </c>
      <c r="AW93" s="173" t="e">
        <f t="shared" si="52"/>
        <v>#N/A</v>
      </c>
      <c r="AX93" s="173" t="e">
        <f t="shared" si="53"/>
        <v>#N/A</v>
      </c>
      <c r="AY93" s="173" t="e">
        <f t="shared" si="54"/>
        <v>#N/A</v>
      </c>
      <c r="AZ93" s="173" t="e">
        <f t="shared" si="55"/>
        <v>#N/A</v>
      </c>
      <c r="BA93" s="165"/>
      <c r="BB93" s="174" t="str">
        <f t="shared" si="56"/>
        <v>No MLR</v>
      </c>
    </row>
    <row r="94" spans="1:54" s="36" customFormat="1" ht="13.8" x14ac:dyDescent="0.3">
      <c r="A94" s="128" t="str">
        <f>_xlfn.XLOOKUP(B94,'Cuttof Mapping'!A:A,'Cuttof Mapping'!D:D)</f>
        <v>2023 Dec 2nd</v>
      </c>
      <c r="B94" s="133">
        <v>45289</v>
      </c>
      <c r="C94" s="86" t="s">
        <v>372</v>
      </c>
      <c r="D94" s="79" t="s">
        <v>63</v>
      </c>
      <c r="E94" s="86">
        <v>4500866</v>
      </c>
      <c r="F94" s="86" t="s">
        <v>91</v>
      </c>
      <c r="G94" s="86" t="s">
        <v>373</v>
      </c>
      <c r="H94" s="86">
        <v>10001003</v>
      </c>
      <c r="I94" s="86" t="s">
        <v>89</v>
      </c>
      <c r="J94" s="86">
        <v>1680000697821</v>
      </c>
      <c r="K94" s="86" t="s">
        <v>54</v>
      </c>
      <c r="L94" s="86" t="s">
        <v>374</v>
      </c>
      <c r="M94" s="173">
        <f>IF(G94="","",ABS(SUMIFS('System(MB51)'!$K:$K,'System(MB51)'!$L:$L,'Checking(ZSERIALS)'!$J94,'System(MB51)'!$O:$O,'Checking(ZSERIALS)'!$L94,'System(MB51)'!$A:$A,'Checking(ZSERIALS)'!M$3)))</f>
        <v>1240</v>
      </c>
      <c r="N94" s="173">
        <f>IF(H94="","",ABS(SUMIFS('System(MB51)'!$K:$K,'System(MB51)'!$L:$L,'Checking(ZSERIALS)'!$J94,'System(MB51)'!$O:$O,'Checking(ZSERIALS)'!$L94,'System(MB51)'!$A:$A,'Checking(ZSERIALS)'!N$3)))</f>
        <v>2</v>
      </c>
      <c r="O94" s="173">
        <f>IF(I94="","",ABS(SUMIFS('System(MB51)'!$K:$K,'System(MB51)'!$L:$L,'Checking(ZSERIALS)'!$J94,'System(MB51)'!$O:$O,'Checking(ZSERIALS)'!$L94,'System(MB51)'!$A:$A,'Checking(ZSERIALS)'!O$3)))</f>
        <v>0</v>
      </c>
      <c r="P94" s="173">
        <f>IF(J94="","",ABS(SUMIFS('System(MB51)'!$K:$K,'System(MB51)'!$L:$L,'Checking(ZSERIALS)'!$J94,'System(MB51)'!$O:$O,'Checking(ZSERIALS)'!$L94,'System(MB51)'!$A:$A,'Checking(ZSERIALS)'!P$3)))</f>
        <v>0</v>
      </c>
      <c r="Q94" s="173">
        <f>IF(K94="","",ABS(SUMIFS('System(MB51)'!$K:$K,'System(MB51)'!$L:$L,'Checking(ZSERIALS)'!$J94,'System(MB51)'!$O:$O,'Checking(ZSERIALS)'!$L94,'System(MB51)'!$A:$A,'Checking(ZSERIALS)'!Q$3)))</f>
        <v>0</v>
      </c>
      <c r="R94" s="173">
        <f>IF(L94="","",ABS(SUMIFS('System(MB51)'!$K:$K,'System(MB51)'!$L:$L,'Checking(ZSERIALS)'!$J94,'System(MB51)'!$O:$O,'Checking(ZSERIALS)'!$L94,'System(MB51)'!$A:$A,'Checking(ZSERIALS)'!R$3)))</f>
        <v>0</v>
      </c>
      <c r="S94" s="173">
        <f>IF(M94="","",ABS(SUMIFS('System(MB51)'!$K:$K,'System(MB51)'!$L:$L,'Checking(ZSERIALS)'!$J94,'System(MB51)'!$O:$O,'Checking(ZSERIALS)'!$L94,'System(MB51)'!$A:$A,'Checking(ZSERIALS)'!S$3)))</f>
        <v>5</v>
      </c>
      <c r="T94" s="173">
        <f>IF(N94="","",ABS(SUMIFS('System(MB51)'!$K:$K,'System(MB51)'!$L:$L,'Checking(ZSERIALS)'!$J94,'System(MB51)'!$O:$O,'Checking(ZSERIALS)'!$L94,'System(MB51)'!$A:$A,'Checking(ZSERIALS)'!T$3)))</f>
        <v>1</v>
      </c>
      <c r="U94" s="173">
        <f>IF(O94="","",ABS(SUMIFS('System(MB51)'!$K:$K,'System(MB51)'!$L:$L,'Checking(ZSERIALS)'!$J94,'System(MB51)'!$O:$O,'Checking(ZSERIALS)'!$L94,'System(MB51)'!$A:$A,'Checking(ZSERIALS)'!U$3)))</f>
        <v>0</v>
      </c>
      <c r="V94" s="165"/>
      <c r="W94" s="173">
        <f>IF($G94="","",INDEX(MLR!$1:$1048576,MATCH($G94,MLR!$J:$J,0),MATCH(W$3,MLR!$1:$1,0)))</f>
        <v>263</v>
      </c>
      <c r="X94" s="173">
        <f>IF($G94="","",INDEX(MLR!$1:$1048576,MATCH($G94,MLR!$J:$J,0),MATCH(X$3,MLR!$1:$1,0)))</f>
        <v>2</v>
      </c>
      <c r="Y94" s="173">
        <f>IF($G94="","",INDEX(MLR!$1:$1048576,MATCH($G94,MLR!$J:$J,0),MATCH(Y$3,MLR!$1:$1,0)))</f>
        <v>9</v>
      </c>
      <c r="Z94" s="173">
        <f>IF($G94="","",INDEX(MLR!$1:$1048576,MATCH($G94,MLR!$J:$J,0),MATCH(Z$3,MLR!$1:$1,0)))</f>
        <v>1</v>
      </c>
      <c r="AA94" s="173">
        <f>IF($G94="","",INDEX(MLR!$1:$1048576,MATCH($G94,MLR!$J:$J,0),MATCH(AA$3,MLR!$1:$1,0)))</f>
        <v>0</v>
      </c>
      <c r="AB94" s="173">
        <f>IF($G94="","",INDEX(MLR!$1:$1048576,MATCH($G94,MLR!$J:$J,0),MATCH(AB$3,MLR!$1:$1,0)))</f>
        <v>0</v>
      </c>
      <c r="AC94" s="173">
        <f>IF($G94="","",INDEX(MLR!$1:$1048576,MATCH($G94,MLR!$J:$J,0),MATCH(AC$3,MLR!$1:$1,0)))</f>
        <v>2</v>
      </c>
      <c r="AD94" s="173">
        <f>IF($G94="","",INDEX(MLR!$1:$1048576,MATCH($G94,MLR!$J:$J,0),MATCH(AD$3,MLR!$1:$1,0)))</f>
        <v>1</v>
      </c>
      <c r="AE94" s="173">
        <f>IF($G94="","",INDEX(MLR!$1:$1048576,MATCH($G94,MLR!$J:$J,0),MATCH(AE$3,MLR!$1:$1,0)))</f>
        <v>8</v>
      </c>
      <c r="AF94" s="174" t="str">
        <f>IF(G94="","",IFERROR(IF(MATCH($G94,MLR!$J:$J,0)&gt;0,"Installed","Not Found"),"Not Found"))</f>
        <v>Installed</v>
      </c>
      <c r="AG94" s="165"/>
      <c r="AH94" s="175" t="str">
        <f t="shared" si="57"/>
        <v>Over</v>
      </c>
      <c r="AI94" s="175" t="str">
        <f t="shared" si="58"/>
        <v>Correct</v>
      </c>
      <c r="AJ94" s="175" t="str">
        <f t="shared" si="59"/>
        <v>Short</v>
      </c>
      <c r="AK94" s="175" t="str">
        <f t="shared" si="60"/>
        <v>Short</v>
      </c>
      <c r="AL94" s="175" t="str">
        <f t="shared" si="61"/>
        <v>Correct</v>
      </c>
      <c r="AM94" s="175" t="str">
        <f t="shared" si="62"/>
        <v>Correct</v>
      </c>
      <c r="AN94" s="175" t="str">
        <f t="shared" si="63"/>
        <v>Over</v>
      </c>
      <c r="AO94" s="175" t="str">
        <f t="shared" si="64"/>
        <v>Correct</v>
      </c>
      <c r="AP94" s="175" t="str">
        <f t="shared" si="65"/>
        <v>Short</v>
      </c>
      <c r="AQ94" s="165"/>
      <c r="AR94" s="173">
        <f t="shared" si="47"/>
        <v>977</v>
      </c>
      <c r="AS94" s="173">
        <f t="shared" si="48"/>
        <v>0</v>
      </c>
      <c r="AT94" s="173">
        <f t="shared" si="49"/>
        <v>-9</v>
      </c>
      <c r="AU94" s="173">
        <f t="shared" si="50"/>
        <v>-1</v>
      </c>
      <c r="AV94" s="173">
        <f t="shared" si="51"/>
        <v>0</v>
      </c>
      <c r="AW94" s="173">
        <f t="shared" si="52"/>
        <v>0</v>
      </c>
      <c r="AX94" s="173">
        <f t="shared" si="53"/>
        <v>3</v>
      </c>
      <c r="AY94" s="173">
        <f t="shared" si="54"/>
        <v>0</v>
      </c>
      <c r="AZ94" s="173">
        <f t="shared" si="55"/>
        <v>-8</v>
      </c>
      <c r="BA94" s="165"/>
      <c r="BB94" s="174" t="str">
        <f t="shared" si="56"/>
        <v>With Variance</v>
      </c>
    </row>
    <row r="95" spans="1:54" s="36" customFormat="1" ht="13.8" x14ac:dyDescent="0.3">
      <c r="A95" s="128" t="str">
        <f>_xlfn.XLOOKUP(B95,'Cuttof Mapping'!A:A,'Cuttof Mapping'!D:D)</f>
        <v>2023 Dec 2nd</v>
      </c>
      <c r="B95" s="133">
        <v>45290</v>
      </c>
      <c r="C95" s="86" t="s">
        <v>375</v>
      </c>
      <c r="D95" s="79" t="s">
        <v>63</v>
      </c>
      <c r="E95" s="86">
        <v>4500866</v>
      </c>
      <c r="F95" s="86" t="s">
        <v>91</v>
      </c>
      <c r="G95" s="86" t="s">
        <v>376</v>
      </c>
      <c r="H95" s="86">
        <v>10001003</v>
      </c>
      <c r="I95" s="86" t="s">
        <v>89</v>
      </c>
      <c r="J95" s="86">
        <v>1680000697589</v>
      </c>
      <c r="K95" s="86" t="s">
        <v>54</v>
      </c>
      <c r="L95" s="86" t="s">
        <v>377</v>
      </c>
      <c r="M95" s="173">
        <f>IF(G95="","",ABS(SUMIFS('System(MB51)'!$K:$K,'System(MB51)'!$L:$L,'Checking(ZSERIALS)'!$J95,'System(MB51)'!$O:$O,'Checking(ZSERIALS)'!$L95,'System(MB51)'!$A:$A,'Checking(ZSERIALS)'!M$3)))</f>
        <v>1190</v>
      </c>
      <c r="N95" s="173">
        <f>IF(H95="","",ABS(SUMIFS('System(MB51)'!$K:$K,'System(MB51)'!$L:$L,'Checking(ZSERIALS)'!$J95,'System(MB51)'!$O:$O,'Checking(ZSERIALS)'!$L95,'System(MB51)'!$A:$A,'Checking(ZSERIALS)'!N$3)))</f>
        <v>2</v>
      </c>
      <c r="O95" s="173">
        <f>IF(I95="","",ABS(SUMIFS('System(MB51)'!$K:$K,'System(MB51)'!$L:$L,'Checking(ZSERIALS)'!$J95,'System(MB51)'!$O:$O,'Checking(ZSERIALS)'!$L95,'System(MB51)'!$A:$A,'Checking(ZSERIALS)'!O$3)))</f>
        <v>0</v>
      </c>
      <c r="P95" s="173">
        <f>IF(J95="","",ABS(SUMIFS('System(MB51)'!$K:$K,'System(MB51)'!$L:$L,'Checking(ZSERIALS)'!$J95,'System(MB51)'!$O:$O,'Checking(ZSERIALS)'!$L95,'System(MB51)'!$A:$A,'Checking(ZSERIALS)'!P$3)))</f>
        <v>0</v>
      </c>
      <c r="Q95" s="173">
        <f>IF(K95="","",ABS(SUMIFS('System(MB51)'!$K:$K,'System(MB51)'!$L:$L,'Checking(ZSERIALS)'!$J95,'System(MB51)'!$O:$O,'Checking(ZSERIALS)'!$L95,'System(MB51)'!$A:$A,'Checking(ZSERIALS)'!Q$3)))</f>
        <v>0</v>
      </c>
      <c r="R95" s="173">
        <f>IF(L95="","",ABS(SUMIFS('System(MB51)'!$K:$K,'System(MB51)'!$L:$L,'Checking(ZSERIALS)'!$J95,'System(MB51)'!$O:$O,'Checking(ZSERIALS)'!$L95,'System(MB51)'!$A:$A,'Checking(ZSERIALS)'!R$3)))</f>
        <v>0</v>
      </c>
      <c r="S95" s="173">
        <f>IF(M95="","",ABS(SUMIFS('System(MB51)'!$K:$K,'System(MB51)'!$L:$L,'Checking(ZSERIALS)'!$J95,'System(MB51)'!$O:$O,'Checking(ZSERIALS)'!$L95,'System(MB51)'!$A:$A,'Checking(ZSERIALS)'!S$3)))</f>
        <v>5</v>
      </c>
      <c r="T95" s="173">
        <f>IF(N95="","",ABS(SUMIFS('System(MB51)'!$K:$K,'System(MB51)'!$L:$L,'Checking(ZSERIALS)'!$J95,'System(MB51)'!$O:$O,'Checking(ZSERIALS)'!$L95,'System(MB51)'!$A:$A,'Checking(ZSERIALS)'!T$3)))</f>
        <v>1</v>
      </c>
      <c r="U95" s="173">
        <f>IF(O95="","",ABS(SUMIFS('System(MB51)'!$K:$K,'System(MB51)'!$L:$L,'Checking(ZSERIALS)'!$J95,'System(MB51)'!$O:$O,'Checking(ZSERIALS)'!$L95,'System(MB51)'!$A:$A,'Checking(ZSERIALS)'!U$3)))</f>
        <v>0</v>
      </c>
      <c r="V95" s="165"/>
      <c r="W95" s="173">
        <f>IF($G95="","",INDEX(MLR!$1:$1048576,MATCH($G95,MLR!$J:$J,0),MATCH(W$3,MLR!$1:$1,0)))</f>
        <v>50</v>
      </c>
      <c r="X95" s="173">
        <f>IF($G95="","",INDEX(MLR!$1:$1048576,MATCH($G95,MLR!$J:$J,0),MATCH(X$3,MLR!$1:$1,0)))</f>
        <v>2</v>
      </c>
      <c r="Y95" s="173">
        <f>IF($G95="","",INDEX(MLR!$1:$1048576,MATCH($G95,MLR!$J:$J,0),MATCH(Y$3,MLR!$1:$1,0)))</f>
        <v>4</v>
      </c>
      <c r="Z95" s="173">
        <f>IF($G95="","",INDEX(MLR!$1:$1048576,MATCH($G95,MLR!$J:$J,0),MATCH(Z$3,MLR!$1:$1,0)))</f>
        <v>1</v>
      </c>
      <c r="AA95" s="173">
        <f>IF($G95="","",INDEX(MLR!$1:$1048576,MATCH($G95,MLR!$J:$J,0),MATCH(AA$3,MLR!$1:$1,0)))</f>
        <v>0</v>
      </c>
      <c r="AB95" s="173">
        <f>IF($G95="","",INDEX(MLR!$1:$1048576,MATCH($G95,MLR!$J:$J,0),MATCH(AB$3,MLR!$1:$1,0)))</f>
        <v>0</v>
      </c>
      <c r="AC95" s="173">
        <f>IF($G95="","",INDEX(MLR!$1:$1048576,MATCH($G95,MLR!$J:$J,0),MATCH(AC$3,MLR!$1:$1,0)))</f>
        <v>5</v>
      </c>
      <c r="AD95" s="173">
        <f>IF($G95="","",INDEX(MLR!$1:$1048576,MATCH($G95,MLR!$J:$J,0),MATCH(AD$3,MLR!$1:$1,0)))</f>
        <v>1</v>
      </c>
      <c r="AE95" s="173">
        <f>IF($G95="","",INDEX(MLR!$1:$1048576,MATCH($G95,MLR!$J:$J,0),MATCH(AE$3,MLR!$1:$1,0)))</f>
        <v>10</v>
      </c>
      <c r="AF95" s="174" t="str">
        <f>IF(G95="","",IFERROR(IF(MATCH($G95,MLR!$J:$J,0)&gt;0,"Installed","Not Found"),"Not Found"))</f>
        <v>Installed</v>
      </c>
      <c r="AG95" s="165"/>
      <c r="AH95" s="175" t="str">
        <f t="shared" si="57"/>
        <v>Over</v>
      </c>
      <c r="AI95" s="175" t="str">
        <f t="shared" si="58"/>
        <v>Correct</v>
      </c>
      <c r="AJ95" s="175" t="str">
        <f t="shared" si="59"/>
        <v>Short</v>
      </c>
      <c r="AK95" s="175" t="str">
        <f t="shared" si="60"/>
        <v>Short</v>
      </c>
      <c r="AL95" s="175" t="str">
        <f t="shared" si="61"/>
        <v>Correct</v>
      </c>
      <c r="AM95" s="175" t="str">
        <f t="shared" si="62"/>
        <v>Correct</v>
      </c>
      <c r="AN95" s="175" t="str">
        <f t="shared" si="63"/>
        <v>Correct</v>
      </c>
      <c r="AO95" s="175" t="str">
        <f t="shared" si="64"/>
        <v>Correct</v>
      </c>
      <c r="AP95" s="175" t="str">
        <f t="shared" si="65"/>
        <v>Short</v>
      </c>
      <c r="AQ95" s="165"/>
      <c r="AR95" s="173">
        <f t="shared" si="47"/>
        <v>1140</v>
      </c>
      <c r="AS95" s="173">
        <f t="shared" si="48"/>
        <v>0</v>
      </c>
      <c r="AT95" s="173">
        <f t="shared" si="49"/>
        <v>-4</v>
      </c>
      <c r="AU95" s="173">
        <f t="shared" si="50"/>
        <v>-1</v>
      </c>
      <c r="AV95" s="173">
        <f t="shared" si="51"/>
        <v>0</v>
      </c>
      <c r="AW95" s="173">
        <f t="shared" si="52"/>
        <v>0</v>
      </c>
      <c r="AX95" s="173">
        <f t="shared" si="53"/>
        <v>0</v>
      </c>
      <c r="AY95" s="173">
        <f t="shared" si="54"/>
        <v>0</v>
      </c>
      <c r="AZ95" s="173">
        <f t="shared" si="55"/>
        <v>-10</v>
      </c>
      <c r="BA95" s="165"/>
      <c r="BB95" s="174" t="str">
        <f t="shared" si="56"/>
        <v>With Variance</v>
      </c>
    </row>
    <row r="96" spans="1:54" s="36" customFormat="1" ht="13.8" x14ac:dyDescent="0.3">
      <c r="A96" s="128" t="str">
        <f>_xlfn.XLOOKUP(B96,'Cuttof Mapping'!A:A,'Cuttof Mapping'!D:D)</f>
        <v>2023 Dec 2nd</v>
      </c>
      <c r="B96" s="133">
        <v>45290</v>
      </c>
      <c r="C96" s="86" t="s">
        <v>378</v>
      </c>
      <c r="D96" s="79" t="s">
        <v>63</v>
      </c>
      <c r="E96" s="86">
        <v>4500866</v>
      </c>
      <c r="F96" s="86" t="s">
        <v>91</v>
      </c>
      <c r="G96" s="86" t="s">
        <v>379</v>
      </c>
      <c r="H96" s="86">
        <v>10001003</v>
      </c>
      <c r="I96" s="86" t="s">
        <v>89</v>
      </c>
      <c r="J96" s="86">
        <v>1680000698603</v>
      </c>
      <c r="K96" s="86" t="s">
        <v>54</v>
      </c>
      <c r="L96" s="86" t="s">
        <v>380</v>
      </c>
      <c r="M96" s="173">
        <f>IF(G96="","",ABS(SUMIFS('System(MB51)'!$K:$K,'System(MB51)'!$L:$L,'Checking(ZSERIALS)'!$J96,'System(MB51)'!$O:$O,'Checking(ZSERIALS)'!$L96,'System(MB51)'!$A:$A,'Checking(ZSERIALS)'!M$3)))</f>
        <v>0</v>
      </c>
      <c r="N96" s="173">
        <f>IF(H96="","",ABS(SUMIFS('System(MB51)'!$K:$K,'System(MB51)'!$L:$L,'Checking(ZSERIALS)'!$J96,'System(MB51)'!$O:$O,'Checking(ZSERIALS)'!$L96,'System(MB51)'!$A:$A,'Checking(ZSERIALS)'!N$3)))</f>
        <v>0</v>
      </c>
      <c r="O96" s="173">
        <f>IF(I96="","",ABS(SUMIFS('System(MB51)'!$K:$K,'System(MB51)'!$L:$L,'Checking(ZSERIALS)'!$J96,'System(MB51)'!$O:$O,'Checking(ZSERIALS)'!$L96,'System(MB51)'!$A:$A,'Checking(ZSERIALS)'!O$3)))</f>
        <v>0</v>
      </c>
      <c r="P96" s="173">
        <f>IF(J96="","",ABS(SUMIFS('System(MB51)'!$K:$K,'System(MB51)'!$L:$L,'Checking(ZSERIALS)'!$J96,'System(MB51)'!$O:$O,'Checking(ZSERIALS)'!$L96,'System(MB51)'!$A:$A,'Checking(ZSERIALS)'!P$3)))</f>
        <v>0</v>
      </c>
      <c r="Q96" s="173">
        <f>IF(K96="","",ABS(SUMIFS('System(MB51)'!$K:$K,'System(MB51)'!$L:$L,'Checking(ZSERIALS)'!$J96,'System(MB51)'!$O:$O,'Checking(ZSERIALS)'!$L96,'System(MB51)'!$A:$A,'Checking(ZSERIALS)'!Q$3)))</f>
        <v>0</v>
      </c>
      <c r="R96" s="173">
        <f>IF(L96="","",ABS(SUMIFS('System(MB51)'!$K:$K,'System(MB51)'!$L:$L,'Checking(ZSERIALS)'!$J96,'System(MB51)'!$O:$O,'Checking(ZSERIALS)'!$L96,'System(MB51)'!$A:$A,'Checking(ZSERIALS)'!R$3)))</f>
        <v>0</v>
      </c>
      <c r="S96" s="173">
        <f>IF(M96="","",ABS(SUMIFS('System(MB51)'!$K:$K,'System(MB51)'!$L:$L,'Checking(ZSERIALS)'!$J96,'System(MB51)'!$O:$O,'Checking(ZSERIALS)'!$L96,'System(MB51)'!$A:$A,'Checking(ZSERIALS)'!S$3)))</f>
        <v>0</v>
      </c>
      <c r="T96" s="173">
        <f>IF(N96="","",ABS(SUMIFS('System(MB51)'!$K:$K,'System(MB51)'!$L:$L,'Checking(ZSERIALS)'!$J96,'System(MB51)'!$O:$O,'Checking(ZSERIALS)'!$L96,'System(MB51)'!$A:$A,'Checking(ZSERIALS)'!T$3)))</f>
        <v>1</v>
      </c>
      <c r="U96" s="173">
        <f>IF(O96="","",ABS(SUMIFS('System(MB51)'!$K:$K,'System(MB51)'!$L:$L,'Checking(ZSERIALS)'!$J96,'System(MB51)'!$O:$O,'Checking(ZSERIALS)'!$L96,'System(MB51)'!$A:$A,'Checking(ZSERIALS)'!U$3)))</f>
        <v>0</v>
      </c>
      <c r="V96" s="165"/>
      <c r="W96" s="173">
        <f>IF($G96="","",INDEX(MLR!$1:$1048576,MATCH($G96,MLR!$J:$J,0),MATCH(W$3,MLR!$1:$1,0)))</f>
        <v>310</v>
      </c>
      <c r="X96" s="173">
        <f>IF($G96="","",INDEX(MLR!$1:$1048576,MATCH($G96,MLR!$J:$J,0),MATCH(X$3,MLR!$1:$1,0)))</f>
        <v>2</v>
      </c>
      <c r="Y96" s="173">
        <f>IF($G96="","",INDEX(MLR!$1:$1048576,MATCH($G96,MLR!$J:$J,0),MATCH(Y$3,MLR!$1:$1,0)))</f>
        <v>14</v>
      </c>
      <c r="Z96" s="173">
        <f>IF($G96="","",INDEX(MLR!$1:$1048576,MATCH($G96,MLR!$J:$J,0),MATCH(Z$3,MLR!$1:$1,0)))</f>
        <v>1</v>
      </c>
      <c r="AA96" s="173">
        <f>IF($G96="","",INDEX(MLR!$1:$1048576,MATCH($G96,MLR!$J:$J,0),MATCH(AA$3,MLR!$1:$1,0)))</f>
        <v>0</v>
      </c>
      <c r="AB96" s="173">
        <f>IF($G96="","",INDEX(MLR!$1:$1048576,MATCH($G96,MLR!$J:$J,0),MATCH(AB$3,MLR!$1:$1,0)))</f>
        <v>0</v>
      </c>
      <c r="AC96" s="173">
        <f>IF($G96="","",INDEX(MLR!$1:$1048576,MATCH($G96,MLR!$J:$J,0),MATCH(AC$3,MLR!$1:$1,0)))</f>
        <v>10</v>
      </c>
      <c r="AD96" s="173">
        <f>IF($G96="","",INDEX(MLR!$1:$1048576,MATCH($G96,MLR!$J:$J,0),MATCH(AD$3,MLR!$1:$1,0)))</f>
        <v>1</v>
      </c>
      <c r="AE96" s="173">
        <f>IF($G96="","",INDEX(MLR!$1:$1048576,MATCH($G96,MLR!$J:$J,0),MATCH(AE$3,MLR!$1:$1,0)))</f>
        <v>8</v>
      </c>
      <c r="AF96" s="174" t="str">
        <f>IF(G96="","",IFERROR(IF(MATCH($G96,MLR!$J:$J,0)&gt;0,"Installed","Not Found"),"Not Found"))</f>
        <v>Installed</v>
      </c>
      <c r="AG96" s="165"/>
      <c r="AH96" s="175" t="str">
        <f t="shared" si="57"/>
        <v>Short</v>
      </c>
      <c r="AI96" s="175" t="str">
        <f t="shared" si="58"/>
        <v>Short</v>
      </c>
      <c r="AJ96" s="175" t="str">
        <f t="shared" si="59"/>
        <v>Short</v>
      </c>
      <c r="AK96" s="175" t="str">
        <f t="shared" si="60"/>
        <v>Short</v>
      </c>
      <c r="AL96" s="175" t="str">
        <f t="shared" si="61"/>
        <v>Correct</v>
      </c>
      <c r="AM96" s="175" t="str">
        <f t="shared" si="62"/>
        <v>Correct</v>
      </c>
      <c r="AN96" s="175" t="str">
        <f t="shared" si="63"/>
        <v>Short</v>
      </c>
      <c r="AO96" s="175" t="str">
        <f t="shared" si="64"/>
        <v>Correct</v>
      </c>
      <c r="AP96" s="175" t="str">
        <f t="shared" si="65"/>
        <v>Short</v>
      </c>
      <c r="AQ96" s="165"/>
      <c r="AR96" s="173">
        <f t="shared" si="47"/>
        <v>-310</v>
      </c>
      <c r="AS96" s="173">
        <f t="shared" si="48"/>
        <v>-2</v>
      </c>
      <c r="AT96" s="173">
        <f t="shared" si="49"/>
        <v>-14</v>
      </c>
      <c r="AU96" s="173">
        <f t="shared" si="50"/>
        <v>-1</v>
      </c>
      <c r="AV96" s="173">
        <f t="shared" si="51"/>
        <v>0</v>
      </c>
      <c r="AW96" s="173">
        <f t="shared" si="52"/>
        <v>0</v>
      </c>
      <c r="AX96" s="173">
        <f t="shared" si="53"/>
        <v>-10</v>
      </c>
      <c r="AY96" s="173">
        <f t="shared" si="54"/>
        <v>0</v>
      </c>
      <c r="AZ96" s="173">
        <f t="shared" si="55"/>
        <v>-8</v>
      </c>
      <c r="BA96" s="165"/>
      <c r="BB96" s="174" t="str">
        <f t="shared" si="56"/>
        <v>With Variance</v>
      </c>
    </row>
    <row r="97" spans="1:54" s="36" customFormat="1" ht="13.8" x14ac:dyDescent="0.3">
      <c r="A97" s="128" t="str">
        <f>_xlfn.XLOOKUP(B97,'Cuttof Mapping'!A:A,'Cuttof Mapping'!D:D)</f>
        <v>2023 Dec 2nd</v>
      </c>
      <c r="B97" s="133">
        <v>45290</v>
      </c>
      <c r="C97" s="86" t="s">
        <v>381</v>
      </c>
      <c r="D97" s="79" t="s">
        <v>63</v>
      </c>
      <c r="E97" s="86">
        <v>4500866</v>
      </c>
      <c r="F97" s="86" t="s">
        <v>91</v>
      </c>
      <c r="G97" s="86" t="s">
        <v>382</v>
      </c>
      <c r="H97" s="86">
        <v>10001003</v>
      </c>
      <c r="I97" s="86" t="s">
        <v>89</v>
      </c>
      <c r="J97" s="86">
        <v>1680000697080</v>
      </c>
      <c r="K97" s="86" t="s">
        <v>54</v>
      </c>
      <c r="L97" s="86" t="s">
        <v>383</v>
      </c>
      <c r="M97" s="173">
        <f>IF(G97="","",ABS(SUMIFS('System(MB51)'!$K:$K,'System(MB51)'!$L:$L,'Checking(ZSERIALS)'!$J97,'System(MB51)'!$O:$O,'Checking(ZSERIALS)'!$L97,'System(MB51)'!$A:$A,'Checking(ZSERIALS)'!M$3)))</f>
        <v>925</v>
      </c>
      <c r="N97" s="173">
        <f>IF(H97="","",ABS(SUMIFS('System(MB51)'!$K:$K,'System(MB51)'!$L:$L,'Checking(ZSERIALS)'!$J97,'System(MB51)'!$O:$O,'Checking(ZSERIALS)'!$L97,'System(MB51)'!$A:$A,'Checking(ZSERIALS)'!N$3)))</f>
        <v>2</v>
      </c>
      <c r="O97" s="173">
        <f>IF(I97="","",ABS(SUMIFS('System(MB51)'!$K:$K,'System(MB51)'!$L:$L,'Checking(ZSERIALS)'!$J97,'System(MB51)'!$O:$O,'Checking(ZSERIALS)'!$L97,'System(MB51)'!$A:$A,'Checking(ZSERIALS)'!O$3)))</f>
        <v>0</v>
      </c>
      <c r="P97" s="173">
        <f>IF(J97="","",ABS(SUMIFS('System(MB51)'!$K:$K,'System(MB51)'!$L:$L,'Checking(ZSERIALS)'!$J97,'System(MB51)'!$O:$O,'Checking(ZSERIALS)'!$L97,'System(MB51)'!$A:$A,'Checking(ZSERIALS)'!P$3)))</f>
        <v>0</v>
      </c>
      <c r="Q97" s="173">
        <f>IF(K97="","",ABS(SUMIFS('System(MB51)'!$K:$K,'System(MB51)'!$L:$L,'Checking(ZSERIALS)'!$J97,'System(MB51)'!$O:$O,'Checking(ZSERIALS)'!$L97,'System(MB51)'!$A:$A,'Checking(ZSERIALS)'!Q$3)))</f>
        <v>0</v>
      </c>
      <c r="R97" s="173">
        <f>IF(L97="","",ABS(SUMIFS('System(MB51)'!$K:$K,'System(MB51)'!$L:$L,'Checking(ZSERIALS)'!$J97,'System(MB51)'!$O:$O,'Checking(ZSERIALS)'!$L97,'System(MB51)'!$A:$A,'Checking(ZSERIALS)'!R$3)))</f>
        <v>0</v>
      </c>
      <c r="S97" s="173">
        <f>IF(M97="","",ABS(SUMIFS('System(MB51)'!$K:$K,'System(MB51)'!$L:$L,'Checking(ZSERIALS)'!$J97,'System(MB51)'!$O:$O,'Checking(ZSERIALS)'!$L97,'System(MB51)'!$A:$A,'Checking(ZSERIALS)'!S$3)))</f>
        <v>6</v>
      </c>
      <c r="T97" s="173">
        <f>IF(N97="","",ABS(SUMIFS('System(MB51)'!$K:$K,'System(MB51)'!$L:$L,'Checking(ZSERIALS)'!$J97,'System(MB51)'!$O:$O,'Checking(ZSERIALS)'!$L97,'System(MB51)'!$A:$A,'Checking(ZSERIALS)'!T$3)))</f>
        <v>1</v>
      </c>
      <c r="U97" s="173">
        <f>IF(O97="","",ABS(SUMIFS('System(MB51)'!$K:$K,'System(MB51)'!$L:$L,'Checking(ZSERIALS)'!$J97,'System(MB51)'!$O:$O,'Checking(ZSERIALS)'!$L97,'System(MB51)'!$A:$A,'Checking(ZSERIALS)'!U$3)))</f>
        <v>0</v>
      </c>
      <c r="V97" s="165"/>
      <c r="W97" s="173">
        <f>IF($G97="","",INDEX(MLR!$1:$1048576,MATCH($G97,MLR!$J:$J,0),MATCH(W$3,MLR!$1:$1,0)))</f>
        <v>265</v>
      </c>
      <c r="X97" s="173">
        <f>IF($G97="","",INDEX(MLR!$1:$1048576,MATCH($G97,MLR!$J:$J,0),MATCH(X$3,MLR!$1:$1,0)))</f>
        <v>2</v>
      </c>
      <c r="Y97" s="173">
        <f>IF($G97="","",INDEX(MLR!$1:$1048576,MATCH($G97,MLR!$J:$J,0),MATCH(Y$3,MLR!$1:$1,0)))</f>
        <v>9</v>
      </c>
      <c r="Z97" s="173">
        <f>IF($G97="","",INDEX(MLR!$1:$1048576,MATCH($G97,MLR!$J:$J,0),MATCH(Z$3,MLR!$1:$1,0)))</f>
        <v>1</v>
      </c>
      <c r="AA97" s="173">
        <f>IF($G97="","",INDEX(MLR!$1:$1048576,MATCH($G97,MLR!$J:$J,0),MATCH(AA$3,MLR!$1:$1,0)))</f>
        <v>0</v>
      </c>
      <c r="AB97" s="173">
        <f>IF($G97="","",INDEX(MLR!$1:$1048576,MATCH($G97,MLR!$J:$J,0),MATCH(AB$3,MLR!$1:$1,0)))</f>
        <v>0</v>
      </c>
      <c r="AC97" s="173">
        <f>IF($G97="","",INDEX(MLR!$1:$1048576,MATCH($G97,MLR!$J:$J,0),MATCH(AC$3,MLR!$1:$1,0)))</f>
        <v>6</v>
      </c>
      <c r="AD97" s="173">
        <f>IF($G97="","",INDEX(MLR!$1:$1048576,MATCH($G97,MLR!$J:$J,0),MATCH(AD$3,MLR!$1:$1,0)))</f>
        <v>1</v>
      </c>
      <c r="AE97" s="173">
        <f>IF($G97="","",INDEX(MLR!$1:$1048576,MATCH($G97,MLR!$J:$J,0),MATCH(AE$3,MLR!$1:$1,0)))</f>
        <v>8</v>
      </c>
      <c r="AF97" s="174" t="str">
        <f>IF(G97="","",IFERROR(IF(MATCH($G97,MLR!$J:$J,0)&gt;0,"Installed","Not Found"),"Not Found"))</f>
        <v>Installed</v>
      </c>
      <c r="AG97" s="165"/>
      <c r="AH97" s="175" t="str">
        <f t="shared" si="57"/>
        <v>Over</v>
      </c>
      <c r="AI97" s="175" t="str">
        <f t="shared" si="58"/>
        <v>Correct</v>
      </c>
      <c r="AJ97" s="175" t="str">
        <f t="shared" si="59"/>
        <v>Short</v>
      </c>
      <c r="AK97" s="175" t="str">
        <f t="shared" si="60"/>
        <v>Short</v>
      </c>
      <c r="AL97" s="175" t="str">
        <f t="shared" si="61"/>
        <v>Correct</v>
      </c>
      <c r="AM97" s="175" t="str">
        <f t="shared" si="62"/>
        <v>Correct</v>
      </c>
      <c r="AN97" s="175" t="str">
        <f t="shared" si="63"/>
        <v>Correct</v>
      </c>
      <c r="AO97" s="175" t="str">
        <f t="shared" si="64"/>
        <v>Correct</v>
      </c>
      <c r="AP97" s="175" t="str">
        <f t="shared" si="65"/>
        <v>Short</v>
      </c>
      <c r="AQ97" s="165"/>
      <c r="AR97" s="173">
        <f t="shared" si="47"/>
        <v>660</v>
      </c>
      <c r="AS97" s="173">
        <f t="shared" si="48"/>
        <v>0</v>
      </c>
      <c r="AT97" s="173">
        <f t="shared" si="49"/>
        <v>-9</v>
      </c>
      <c r="AU97" s="173">
        <f t="shared" si="50"/>
        <v>-1</v>
      </c>
      <c r="AV97" s="173">
        <f t="shared" si="51"/>
        <v>0</v>
      </c>
      <c r="AW97" s="173">
        <f t="shared" si="52"/>
        <v>0</v>
      </c>
      <c r="AX97" s="173">
        <f t="shared" si="53"/>
        <v>0</v>
      </c>
      <c r="AY97" s="173">
        <f t="shared" si="54"/>
        <v>0</v>
      </c>
      <c r="AZ97" s="173">
        <f t="shared" si="55"/>
        <v>-8</v>
      </c>
      <c r="BA97" s="165"/>
      <c r="BB97" s="174" t="str">
        <f t="shared" si="56"/>
        <v>With Variance</v>
      </c>
    </row>
    <row r="98" spans="1:54" s="36" customFormat="1" ht="13.8" x14ac:dyDescent="0.3">
      <c r="A98" s="128" t="str">
        <f>_xlfn.XLOOKUP(B98,'Cuttof Mapping'!A:A,'Cuttof Mapping'!D:D)</f>
        <v>2023 Dec 2nd</v>
      </c>
      <c r="B98" s="133">
        <v>45290</v>
      </c>
      <c r="C98" s="86" t="s">
        <v>384</v>
      </c>
      <c r="D98" s="79" t="s">
        <v>63</v>
      </c>
      <c r="E98" s="86">
        <v>4500866</v>
      </c>
      <c r="F98" s="86" t="s">
        <v>91</v>
      </c>
      <c r="G98" s="86" t="s">
        <v>385</v>
      </c>
      <c r="H98" s="86">
        <v>10001003</v>
      </c>
      <c r="I98" s="86" t="s">
        <v>89</v>
      </c>
      <c r="J98" s="86">
        <v>1680000700557</v>
      </c>
      <c r="K98" s="86" t="s">
        <v>54</v>
      </c>
      <c r="L98" s="86" t="s">
        <v>386</v>
      </c>
      <c r="M98" s="173">
        <f>IF(G98="","",ABS(SUMIFS('System(MB51)'!$K:$K,'System(MB51)'!$L:$L,'Checking(ZSERIALS)'!$J98,'System(MB51)'!$O:$O,'Checking(ZSERIALS)'!$L98,'System(MB51)'!$A:$A,'Checking(ZSERIALS)'!M$3)))</f>
        <v>0</v>
      </c>
      <c r="N98" s="173">
        <f>IF(H98="","",ABS(SUMIFS('System(MB51)'!$K:$K,'System(MB51)'!$L:$L,'Checking(ZSERIALS)'!$J98,'System(MB51)'!$O:$O,'Checking(ZSERIALS)'!$L98,'System(MB51)'!$A:$A,'Checking(ZSERIALS)'!N$3)))</f>
        <v>0</v>
      </c>
      <c r="O98" s="173">
        <f>IF(I98="","",ABS(SUMIFS('System(MB51)'!$K:$K,'System(MB51)'!$L:$L,'Checking(ZSERIALS)'!$J98,'System(MB51)'!$O:$O,'Checking(ZSERIALS)'!$L98,'System(MB51)'!$A:$A,'Checking(ZSERIALS)'!O$3)))</f>
        <v>0</v>
      </c>
      <c r="P98" s="173">
        <f>IF(J98="","",ABS(SUMIFS('System(MB51)'!$K:$K,'System(MB51)'!$L:$L,'Checking(ZSERIALS)'!$J98,'System(MB51)'!$O:$O,'Checking(ZSERIALS)'!$L98,'System(MB51)'!$A:$A,'Checking(ZSERIALS)'!P$3)))</f>
        <v>0</v>
      </c>
      <c r="Q98" s="173">
        <f>IF(K98="","",ABS(SUMIFS('System(MB51)'!$K:$K,'System(MB51)'!$L:$L,'Checking(ZSERIALS)'!$J98,'System(MB51)'!$O:$O,'Checking(ZSERIALS)'!$L98,'System(MB51)'!$A:$A,'Checking(ZSERIALS)'!Q$3)))</f>
        <v>0</v>
      </c>
      <c r="R98" s="173">
        <f>IF(L98="","",ABS(SUMIFS('System(MB51)'!$K:$K,'System(MB51)'!$L:$L,'Checking(ZSERIALS)'!$J98,'System(MB51)'!$O:$O,'Checking(ZSERIALS)'!$L98,'System(MB51)'!$A:$A,'Checking(ZSERIALS)'!R$3)))</f>
        <v>0</v>
      </c>
      <c r="S98" s="173">
        <f>IF(M98="","",ABS(SUMIFS('System(MB51)'!$K:$K,'System(MB51)'!$L:$L,'Checking(ZSERIALS)'!$J98,'System(MB51)'!$O:$O,'Checking(ZSERIALS)'!$L98,'System(MB51)'!$A:$A,'Checking(ZSERIALS)'!S$3)))</f>
        <v>0</v>
      </c>
      <c r="T98" s="173">
        <f>IF(N98="","",ABS(SUMIFS('System(MB51)'!$K:$K,'System(MB51)'!$L:$L,'Checking(ZSERIALS)'!$J98,'System(MB51)'!$O:$O,'Checking(ZSERIALS)'!$L98,'System(MB51)'!$A:$A,'Checking(ZSERIALS)'!T$3)))</f>
        <v>1</v>
      </c>
      <c r="U98" s="173">
        <f>IF(O98="","",ABS(SUMIFS('System(MB51)'!$K:$K,'System(MB51)'!$L:$L,'Checking(ZSERIALS)'!$J98,'System(MB51)'!$O:$O,'Checking(ZSERIALS)'!$L98,'System(MB51)'!$A:$A,'Checking(ZSERIALS)'!U$3)))</f>
        <v>0</v>
      </c>
      <c r="V98" s="165"/>
      <c r="W98" s="173">
        <f>IF($G98="","",INDEX(MLR!$1:$1048576,MATCH($G98,MLR!$J:$J,0),MATCH(W$3,MLR!$1:$1,0)))</f>
        <v>90</v>
      </c>
      <c r="X98" s="173">
        <f>IF($G98="","",INDEX(MLR!$1:$1048576,MATCH($G98,MLR!$J:$J,0),MATCH(X$3,MLR!$1:$1,0)))</f>
        <v>2</v>
      </c>
      <c r="Y98" s="173">
        <f>IF($G98="","",INDEX(MLR!$1:$1048576,MATCH($G98,MLR!$J:$J,0),MATCH(Y$3,MLR!$1:$1,0)))</f>
        <v>7</v>
      </c>
      <c r="Z98" s="173">
        <f>IF($G98="","",INDEX(MLR!$1:$1048576,MATCH($G98,MLR!$J:$J,0),MATCH(Z$3,MLR!$1:$1,0)))</f>
        <v>1</v>
      </c>
      <c r="AA98" s="173">
        <f>IF($G98="","",INDEX(MLR!$1:$1048576,MATCH($G98,MLR!$J:$J,0),MATCH(AA$3,MLR!$1:$1,0)))</f>
        <v>0</v>
      </c>
      <c r="AB98" s="173">
        <f>IF($G98="","",INDEX(MLR!$1:$1048576,MATCH($G98,MLR!$J:$J,0),MATCH(AB$3,MLR!$1:$1,0)))</f>
        <v>0</v>
      </c>
      <c r="AC98" s="173">
        <f>IF($G98="","",INDEX(MLR!$1:$1048576,MATCH($G98,MLR!$J:$J,0),MATCH(AC$3,MLR!$1:$1,0)))</f>
        <v>10</v>
      </c>
      <c r="AD98" s="173">
        <f>IF($G98="","",INDEX(MLR!$1:$1048576,MATCH($G98,MLR!$J:$J,0),MATCH(AD$3,MLR!$1:$1,0)))</f>
        <v>1</v>
      </c>
      <c r="AE98" s="173">
        <f>IF($G98="","",INDEX(MLR!$1:$1048576,MATCH($G98,MLR!$J:$J,0),MATCH(AE$3,MLR!$1:$1,0)))</f>
        <v>10</v>
      </c>
      <c r="AF98" s="174" t="str">
        <f>IF(G98="","",IFERROR(IF(MATCH($G98,MLR!$J:$J,0)&gt;0,"Installed","Not Found"),"Not Found"))</f>
        <v>Installed</v>
      </c>
      <c r="AG98" s="165"/>
      <c r="AH98" s="175" t="str">
        <f t="shared" si="57"/>
        <v>Short</v>
      </c>
      <c r="AI98" s="175" t="str">
        <f t="shared" si="58"/>
        <v>Short</v>
      </c>
      <c r="AJ98" s="175" t="str">
        <f t="shared" si="59"/>
        <v>Short</v>
      </c>
      <c r="AK98" s="175" t="str">
        <f t="shared" si="60"/>
        <v>Short</v>
      </c>
      <c r="AL98" s="175" t="str">
        <f t="shared" si="61"/>
        <v>Correct</v>
      </c>
      <c r="AM98" s="175" t="str">
        <f t="shared" si="62"/>
        <v>Correct</v>
      </c>
      <c r="AN98" s="175" t="str">
        <f t="shared" si="63"/>
        <v>Short</v>
      </c>
      <c r="AO98" s="175" t="str">
        <f t="shared" si="64"/>
        <v>Correct</v>
      </c>
      <c r="AP98" s="175" t="str">
        <f t="shared" si="65"/>
        <v>Short</v>
      </c>
      <c r="AQ98" s="165"/>
      <c r="AR98" s="173">
        <f t="shared" si="47"/>
        <v>-90</v>
      </c>
      <c r="AS98" s="173">
        <f t="shared" si="48"/>
        <v>-2</v>
      </c>
      <c r="AT98" s="173">
        <f t="shared" si="49"/>
        <v>-7</v>
      </c>
      <c r="AU98" s="173">
        <f t="shared" si="50"/>
        <v>-1</v>
      </c>
      <c r="AV98" s="173">
        <f t="shared" si="51"/>
        <v>0</v>
      </c>
      <c r="AW98" s="173">
        <f t="shared" si="52"/>
        <v>0</v>
      </c>
      <c r="AX98" s="173">
        <f t="shared" si="53"/>
        <v>-10</v>
      </c>
      <c r="AY98" s="173">
        <f t="shared" si="54"/>
        <v>0</v>
      </c>
      <c r="AZ98" s="173">
        <f t="shared" si="55"/>
        <v>-10</v>
      </c>
      <c r="BA98" s="165"/>
      <c r="BB98" s="174" t="str">
        <f t="shared" si="56"/>
        <v>With Variance</v>
      </c>
    </row>
    <row r="99" spans="1:54" s="36" customFormat="1" ht="13.8" x14ac:dyDescent="0.3">
      <c r="A99" s="128" t="str">
        <f>_xlfn.XLOOKUP(B99,'Cuttof Mapping'!A:A,'Cuttof Mapping'!D:D)</f>
        <v>2023 Dec 2nd</v>
      </c>
      <c r="B99" s="133">
        <v>45290</v>
      </c>
      <c r="C99" s="86" t="s">
        <v>387</v>
      </c>
      <c r="D99" s="79" t="s">
        <v>63</v>
      </c>
      <c r="E99" s="86">
        <v>4500866</v>
      </c>
      <c r="F99" s="86" t="s">
        <v>91</v>
      </c>
      <c r="G99" s="86" t="s">
        <v>388</v>
      </c>
      <c r="H99" s="86">
        <v>10001003</v>
      </c>
      <c r="I99" s="86" t="s">
        <v>89</v>
      </c>
      <c r="J99" s="86">
        <v>1680000701541</v>
      </c>
      <c r="K99" s="86" t="s">
        <v>54</v>
      </c>
      <c r="L99" s="86" t="s">
        <v>389</v>
      </c>
      <c r="M99" s="173">
        <f>IF(G99="","",ABS(SUMIFS('System(MB51)'!$K:$K,'System(MB51)'!$L:$L,'Checking(ZSERIALS)'!$J99,'System(MB51)'!$O:$O,'Checking(ZSERIALS)'!$L99,'System(MB51)'!$A:$A,'Checking(ZSERIALS)'!M$3)))</f>
        <v>0</v>
      </c>
      <c r="N99" s="173">
        <f>IF(H99="","",ABS(SUMIFS('System(MB51)'!$K:$K,'System(MB51)'!$L:$L,'Checking(ZSERIALS)'!$J99,'System(MB51)'!$O:$O,'Checking(ZSERIALS)'!$L99,'System(MB51)'!$A:$A,'Checking(ZSERIALS)'!N$3)))</f>
        <v>0</v>
      </c>
      <c r="O99" s="173">
        <f>IF(I99="","",ABS(SUMIFS('System(MB51)'!$K:$K,'System(MB51)'!$L:$L,'Checking(ZSERIALS)'!$J99,'System(MB51)'!$O:$O,'Checking(ZSERIALS)'!$L99,'System(MB51)'!$A:$A,'Checking(ZSERIALS)'!O$3)))</f>
        <v>0</v>
      </c>
      <c r="P99" s="173">
        <f>IF(J99="","",ABS(SUMIFS('System(MB51)'!$K:$K,'System(MB51)'!$L:$L,'Checking(ZSERIALS)'!$J99,'System(MB51)'!$O:$O,'Checking(ZSERIALS)'!$L99,'System(MB51)'!$A:$A,'Checking(ZSERIALS)'!P$3)))</f>
        <v>0</v>
      </c>
      <c r="Q99" s="173">
        <f>IF(K99="","",ABS(SUMIFS('System(MB51)'!$K:$K,'System(MB51)'!$L:$L,'Checking(ZSERIALS)'!$J99,'System(MB51)'!$O:$O,'Checking(ZSERIALS)'!$L99,'System(MB51)'!$A:$A,'Checking(ZSERIALS)'!Q$3)))</f>
        <v>0</v>
      </c>
      <c r="R99" s="173">
        <f>IF(L99="","",ABS(SUMIFS('System(MB51)'!$K:$K,'System(MB51)'!$L:$L,'Checking(ZSERIALS)'!$J99,'System(MB51)'!$O:$O,'Checking(ZSERIALS)'!$L99,'System(MB51)'!$A:$A,'Checking(ZSERIALS)'!R$3)))</f>
        <v>0</v>
      </c>
      <c r="S99" s="173">
        <f>IF(M99="","",ABS(SUMIFS('System(MB51)'!$K:$K,'System(MB51)'!$L:$L,'Checking(ZSERIALS)'!$J99,'System(MB51)'!$O:$O,'Checking(ZSERIALS)'!$L99,'System(MB51)'!$A:$A,'Checking(ZSERIALS)'!S$3)))</f>
        <v>0</v>
      </c>
      <c r="T99" s="173">
        <f>IF(N99="","",ABS(SUMIFS('System(MB51)'!$K:$K,'System(MB51)'!$L:$L,'Checking(ZSERIALS)'!$J99,'System(MB51)'!$O:$O,'Checking(ZSERIALS)'!$L99,'System(MB51)'!$A:$A,'Checking(ZSERIALS)'!T$3)))</f>
        <v>1</v>
      </c>
      <c r="U99" s="173">
        <f>IF(O99="","",ABS(SUMIFS('System(MB51)'!$K:$K,'System(MB51)'!$L:$L,'Checking(ZSERIALS)'!$J99,'System(MB51)'!$O:$O,'Checking(ZSERIALS)'!$L99,'System(MB51)'!$A:$A,'Checking(ZSERIALS)'!U$3)))</f>
        <v>0</v>
      </c>
      <c r="V99" s="165"/>
      <c r="W99" s="173">
        <f>IF($G99="","",INDEX(MLR!$1:$1048576,MATCH($G99,MLR!$J:$J,0),MATCH(W$3,MLR!$1:$1,0)))</f>
        <v>245</v>
      </c>
      <c r="X99" s="173">
        <f>IF($G99="","",INDEX(MLR!$1:$1048576,MATCH($G99,MLR!$J:$J,0),MATCH(X$3,MLR!$1:$1,0)))</f>
        <v>2</v>
      </c>
      <c r="Y99" s="173">
        <f>IF($G99="","",INDEX(MLR!$1:$1048576,MATCH($G99,MLR!$J:$J,0),MATCH(Y$3,MLR!$1:$1,0)))</f>
        <v>10</v>
      </c>
      <c r="Z99" s="173">
        <f>IF($G99="","",INDEX(MLR!$1:$1048576,MATCH($G99,MLR!$J:$J,0),MATCH(Z$3,MLR!$1:$1,0)))</f>
        <v>1</v>
      </c>
      <c r="AA99" s="173">
        <f>IF($G99="","",INDEX(MLR!$1:$1048576,MATCH($G99,MLR!$J:$J,0),MATCH(AA$3,MLR!$1:$1,0)))</f>
        <v>0</v>
      </c>
      <c r="AB99" s="173">
        <f>IF($G99="","",INDEX(MLR!$1:$1048576,MATCH($G99,MLR!$J:$J,0),MATCH(AB$3,MLR!$1:$1,0)))</f>
        <v>0</v>
      </c>
      <c r="AC99" s="173">
        <f>IF($G99="","",INDEX(MLR!$1:$1048576,MATCH($G99,MLR!$J:$J,0),MATCH(AC$3,MLR!$1:$1,0)))</f>
        <v>10</v>
      </c>
      <c r="AD99" s="173">
        <f>IF($G99="","",INDEX(MLR!$1:$1048576,MATCH($G99,MLR!$J:$J,0),MATCH(AD$3,MLR!$1:$1,0)))</f>
        <v>1</v>
      </c>
      <c r="AE99" s="173">
        <f>IF($G99="","",INDEX(MLR!$1:$1048576,MATCH($G99,MLR!$J:$J,0),MATCH(AE$3,MLR!$1:$1,0)))</f>
        <v>10</v>
      </c>
      <c r="AF99" s="174" t="str">
        <f>IF(G99="","",IFERROR(IF(MATCH($G99,MLR!$J:$J,0)&gt;0,"Installed","Not Found"),"Not Found"))</f>
        <v>Installed</v>
      </c>
      <c r="AG99" s="165"/>
      <c r="AH99" s="175" t="str">
        <f t="shared" si="57"/>
        <v>Short</v>
      </c>
      <c r="AI99" s="175" t="str">
        <f t="shared" si="58"/>
        <v>Short</v>
      </c>
      <c r="AJ99" s="175" t="str">
        <f t="shared" si="59"/>
        <v>Short</v>
      </c>
      <c r="AK99" s="175" t="str">
        <f t="shared" si="60"/>
        <v>Short</v>
      </c>
      <c r="AL99" s="175" t="str">
        <f t="shared" si="61"/>
        <v>Correct</v>
      </c>
      <c r="AM99" s="175" t="str">
        <f t="shared" si="62"/>
        <v>Correct</v>
      </c>
      <c r="AN99" s="175" t="str">
        <f t="shared" si="63"/>
        <v>Short</v>
      </c>
      <c r="AO99" s="175" t="str">
        <f t="shared" si="64"/>
        <v>Correct</v>
      </c>
      <c r="AP99" s="175" t="str">
        <f t="shared" si="65"/>
        <v>Short</v>
      </c>
      <c r="AQ99" s="165"/>
      <c r="AR99" s="173">
        <f t="shared" ref="AR99:AR106" si="66">M99-W99</f>
        <v>-245</v>
      </c>
      <c r="AS99" s="173">
        <f t="shared" ref="AS99:AS106" si="67">N99-X99</f>
        <v>-2</v>
      </c>
      <c r="AT99" s="173">
        <f t="shared" ref="AT99:AT106" si="68">O99-Y99</f>
        <v>-10</v>
      </c>
      <c r="AU99" s="173">
        <f t="shared" ref="AU99:AU106" si="69">P99-Z99</f>
        <v>-1</v>
      </c>
      <c r="AV99" s="173">
        <f t="shared" ref="AV99:AV106" si="70">Q99-AA99</f>
        <v>0</v>
      </c>
      <c r="AW99" s="173">
        <f t="shared" ref="AW99:AW106" si="71">R99-AB99</f>
        <v>0</v>
      </c>
      <c r="AX99" s="173">
        <f t="shared" ref="AX99:AX106" si="72">S99-AC99</f>
        <v>-10</v>
      </c>
      <c r="AY99" s="173">
        <f t="shared" ref="AY99:AY106" si="73">T99-AD99</f>
        <v>0</v>
      </c>
      <c r="AZ99" s="173">
        <f t="shared" ref="AZ99:AZ106" si="74">U99-AE99</f>
        <v>-10</v>
      </c>
      <c r="BA99" s="165"/>
      <c r="BB99" s="174" t="str">
        <f t="shared" si="56"/>
        <v>With Variance</v>
      </c>
    </row>
    <row r="100" spans="1:54" s="36" customFormat="1" ht="13.8" x14ac:dyDescent="0.3">
      <c r="A100" s="128" t="str">
        <f>_xlfn.XLOOKUP(B100,'Cuttof Mapping'!A:A,'Cuttof Mapping'!D:D)</f>
        <v>2023 Dec 2nd</v>
      </c>
      <c r="B100" s="133">
        <v>45291</v>
      </c>
      <c r="C100" s="86" t="s">
        <v>390</v>
      </c>
      <c r="D100" s="79" t="s">
        <v>63</v>
      </c>
      <c r="E100" s="86">
        <v>4500866</v>
      </c>
      <c r="F100" s="86" t="s">
        <v>91</v>
      </c>
      <c r="G100" s="86" t="s">
        <v>391</v>
      </c>
      <c r="H100" s="86">
        <v>10001035</v>
      </c>
      <c r="I100" s="86" t="s">
        <v>90</v>
      </c>
      <c r="J100" s="86">
        <v>1680000701674</v>
      </c>
      <c r="K100" s="86" t="s">
        <v>54</v>
      </c>
      <c r="L100" s="86" t="s">
        <v>392</v>
      </c>
      <c r="M100" s="173">
        <f>IF(G100="","",ABS(SUMIFS('System(MB51)'!$K:$K,'System(MB51)'!$L:$L,'Checking(ZSERIALS)'!$J100,'System(MB51)'!$O:$O,'Checking(ZSERIALS)'!$L100,'System(MB51)'!$A:$A,'Checking(ZSERIALS)'!M$3)))</f>
        <v>0</v>
      </c>
      <c r="N100" s="173">
        <f>IF(H100="","",ABS(SUMIFS('System(MB51)'!$K:$K,'System(MB51)'!$L:$L,'Checking(ZSERIALS)'!$J100,'System(MB51)'!$O:$O,'Checking(ZSERIALS)'!$L100,'System(MB51)'!$A:$A,'Checking(ZSERIALS)'!N$3)))</f>
        <v>2</v>
      </c>
      <c r="O100" s="173">
        <f>IF(I100="","",ABS(SUMIFS('System(MB51)'!$K:$K,'System(MB51)'!$L:$L,'Checking(ZSERIALS)'!$J100,'System(MB51)'!$O:$O,'Checking(ZSERIALS)'!$L100,'System(MB51)'!$A:$A,'Checking(ZSERIALS)'!O$3)))</f>
        <v>0</v>
      </c>
      <c r="P100" s="173">
        <f>IF(J100="","",ABS(SUMIFS('System(MB51)'!$K:$K,'System(MB51)'!$L:$L,'Checking(ZSERIALS)'!$J100,'System(MB51)'!$O:$O,'Checking(ZSERIALS)'!$L100,'System(MB51)'!$A:$A,'Checking(ZSERIALS)'!P$3)))</f>
        <v>1</v>
      </c>
      <c r="Q100" s="173">
        <f>IF(K100="","",ABS(SUMIFS('System(MB51)'!$K:$K,'System(MB51)'!$L:$L,'Checking(ZSERIALS)'!$J100,'System(MB51)'!$O:$O,'Checking(ZSERIALS)'!$L100,'System(MB51)'!$A:$A,'Checking(ZSERIALS)'!Q$3)))</f>
        <v>0</v>
      </c>
      <c r="R100" s="173">
        <f>IF(L100="","",ABS(SUMIFS('System(MB51)'!$K:$K,'System(MB51)'!$L:$L,'Checking(ZSERIALS)'!$J100,'System(MB51)'!$O:$O,'Checking(ZSERIALS)'!$L100,'System(MB51)'!$A:$A,'Checking(ZSERIALS)'!R$3)))</f>
        <v>0</v>
      </c>
      <c r="S100" s="173">
        <f>IF(M100="","",ABS(SUMIFS('System(MB51)'!$K:$K,'System(MB51)'!$L:$L,'Checking(ZSERIALS)'!$J100,'System(MB51)'!$O:$O,'Checking(ZSERIALS)'!$L100,'System(MB51)'!$A:$A,'Checking(ZSERIALS)'!S$3)))</f>
        <v>8</v>
      </c>
      <c r="T100" s="173">
        <f>IF(N100="","",ABS(SUMIFS('System(MB51)'!$K:$K,'System(MB51)'!$L:$L,'Checking(ZSERIALS)'!$J100,'System(MB51)'!$O:$O,'Checking(ZSERIALS)'!$L100,'System(MB51)'!$A:$A,'Checking(ZSERIALS)'!T$3)))</f>
        <v>1</v>
      </c>
      <c r="U100" s="173">
        <f>IF(O100="","",ABS(SUMIFS('System(MB51)'!$K:$K,'System(MB51)'!$L:$L,'Checking(ZSERIALS)'!$J100,'System(MB51)'!$O:$O,'Checking(ZSERIALS)'!$L100,'System(MB51)'!$A:$A,'Checking(ZSERIALS)'!U$3)))</f>
        <v>8</v>
      </c>
      <c r="V100" s="165"/>
      <c r="W100" s="173">
        <f>IF($G100="","",INDEX(MLR!$1:$1048576,MATCH($G100,MLR!$J:$J,0),MATCH(W$3,MLR!$1:$1,0)))</f>
        <v>110</v>
      </c>
      <c r="X100" s="173">
        <f>IF($G100="","",INDEX(MLR!$1:$1048576,MATCH($G100,MLR!$J:$J,0),MATCH(X$3,MLR!$1:$1,0)))</f>
        <v>2</v>
      </c>
      <c r="Y100" s="173">
        <f>IF($G100="","",INDEX(MLR!$1:$1048576,MATCH($G100,MLR!$J:$J,0),MATCH(Y$3,MLR!$1:$1,0)))</f>
        <v>6</v>
      </c>
      <c r="Z100" s="173">
        <f>IF($G100="","",INDEX(MLR!$1:$1048576,MATCH($G100,MLR!$J:$J,0),MATCH(Z$3,MLR!$1:$1,0)))</f>
        <v>1</v>
      </c>
      <c r="AA100" s="173">
        <f>IF($G100="","",INDEX(MLR!$1:$1048576,MATCH($G100,MLR!$J:$J,0),MATCH(AA$3,MLR!$1:$1,0)))</f>
        <v>0</v>
      </c>
      <c r="AB100" s="173">
        <f>IF($G100="","",INDEX(MLR!$1:$1048576,MATCH($G100,MLR!$J:$J,0),MATCH(AB$3,MLR!$1:$1,0)))</f>
        <v>0</v>
      </c>
      <c r="AC100" s="173">
        <f>IF($G100="","",INDEX(MLR!$1:$1048576,MATCH($G100,MLR!$J:$J,0),MATCH(AC$3,MLR!$1:$1,0)))</f>
        <v>8</v>
      </c>
      <c r="AD100" s="173">
        <f>IF($G100="","",INDEX(MLR!$1:$1048576,MATCH($G100,MLR!$J:$J,0),MATCH(AD$3,MLR!$1:$1,0)))</f>
        <v>1</v>
      </c>
      <c r="AE100" s="173">
        <f>IF($G100="","",INDEX(MLR!$1:$1048576,MATCH($G100,MLR!$J:$J,0),MATCH(AE$3,MLR!$1:$1,0)))</f>
        <v>10</v>
      </c>
      <c r="AF100" s="174" t="str">
        <f>IF(G100="","",IFERROR(IF(MATCH($G100,MLR!$J:$J,0)&gt;0,"Installed","Not Found"),"Not Found"))</f>
        <v>Installed</v>
      </c>
      <c r="AG100" s="165"/>
      <c r="AH100" s="175" t="str">
        <f t="shared" si="57"/>
        <v>Short</v>
      </c>
      <c r="AI100" s="175" t="str">
        <f t="shared" si="58"/>
        <v>Correct</v>
      </c>
      <c r="AJ100" s="175" t="str">
        <f t="shared" si="59"/>
        <v>Short</v>
      </c>
      <c r="AK100" s="175" t="str">
        <f t="shared" si="60"/>
        <v>Correct</v>
      </c>
      <c r="AL100" s="175" t="str">
        <f t="shared" si="61"/>
        <v>Correct</v>
      </c>
      <c r="AM100" s="175" t="str">
        <f t="shared" si="62"/>
        <v>Correct</v>
      </c>
      <c r="AN100" s="175" t="str">
        <f t="shared" si="63"/>
        <v>Correct</v>
      </c>
      <c r="AO100" s="175" t="str">
        <f t="shared" si="64"/>
        <v>Correct</v>
      </c>
      <c r="AP100" s="175" t="str">
        <f t="shared" si="65"/>
        <v>Short</v>
      </c>
      <c r="AQ100" s="165"/>
      <c r="AR100" s="173">
        <f t="shared" si="66"/>
        <v>-110</v>
      </c>
      <c r="AS100" s="173">
        <f t="shared" si="67"/>
        <v>0</v>
      </c>
      <c r="AT100" s="173">
        <f t="shared" si="68"/>
        <v>-6</v>
      </c>
      <c r="AU100" s="173">
        <f t="shared" si="69"/>
        <v>0</v>
      </c>
      <c r="AV100" s="173">
        <f t="shared" si="70"/>
        <v>0</v>
      </c>
      <c r="AW100" s="173">
        <f t="shared" si="71"/>
        <v>0</v>
      </c>
      <c r="AX100" s="173">
        <f t="shared" si="72"/>
        <v>0</v>
      </c>
      <c r="AY100" s="173">
        <f t="shared" si="73"/>
        <v>0</v>
      </c>
      <c r="AZ100" s="173">
        <f t="shared" si="74"/>
        <v>-2</v>
      </c>
      <c r="BA100" s="165"/>
      <c r="BB100" s="174" t="str">
        <f t="shared" si="56"/>
        <v>With Variance</v>
      </c>
    </row>
    <row r="101" spans="1:54" s="36" customFormat="1" ht="13.8" x14ac:dyDescent="0.3">
      <c r="A101" s="128" t="str">
        <f>_xlfn.XLOOKUP(B101,'Cuttof Mapping'!A:A,'Cuttof Mapping'!D:D)</f>
        <v>2023 Dec 2nd</v>
      </c>
      <c r="B101" s="133">
        <v>45291</v>
      </c>
      <c r="C101" s="86" t="s">
        <v>393</v>
      </c>
      <c r="D101" s="79" t="s">
        <v>63</v>
      </c>
      <c r="E101" s="86">
        <v>4500866</v>
      </c>
      <c r="F101" s="86" t="s">
        <v>91</v>
      </c>
      <c r="G101" s="86" t="s">
        <v>394</v>
      </c>
      <c r="H101" s="86">
        <v>10001003</v>
      </c>
      <c r="I101" s="86" t="s">
        <v>89</v>
      </c>
      <c r="J101" s="86">
        <v>1680000701780</v>
      </c>
      <c r="K101" s="86" t="s">
        <v>54</v>
      </c>
      <c r="L101" s="86" t="s">
        <v>395</v>
      </c>
      <c r="M101" s="173">
        <f>IF(G101="","",ABS(SUMIFS('System(MB51)'!$K:$K,'System(MB51)'!$L:$L,'Checking(ZSERIALS)'!$J101,'System(MB51)'!$O:$O,'Checking(ZSERIALS)'!$L101,'System(MB51)'!$A:$A,'Checking(ZSERIALS)'!M$3)))</f>
        <v>0</v>
      </c>
      <c r="N101" s="173">
        <f>IF(H101="","",ABS(SUMIFS('System(MB51)'!$K:$K,'System(MB51)'!$L:$L,'Checking(ZSERIALS)'!$J101,'System(MB51)'!$O:$O,'Checking(ZSERIALS)'!$L101,'System(MB51)'!$A:$A,'Checking(ZSERIALS)'!N$3)))</f>
        <v>2</v>
      </c>
      <c r="O101" s="173">
        <f>IF(I101="","",ABS(SUMIFS('System(MB51)'!$K:$K,'System(MB51)'!$L:$L,'Checking(ZSERIALS)'!$J101,'System(MB51)'!$O:$O,'Checking(ZSERIALS)'!$L101,'System(MB51)'!$A:$A,'Checking(ZSERIALS)'!O$3)))</f>
        <v>0</v>
      </c>
      <c r="P101" s="173">
        <f>IF(J101="","",ABS(SUMIFS('System(MB51)'!$K:$K,'System(MB51)'!$L:$L,'Checking(ZSERIALS)'!$J101,'System(MB51)'!$O:$O,'Checking(ZSERIALS)'!$L101,'System(MB51)'!$A:$A,'Checking(ZSERIALS)'!P$3)))</f>
        <v>1</v>
      </c>
      <c r="Q101" s="173">
        <f>IF(K101="","",ABS(SUMIFS('System(MB51)'!$K:$K,'System(MB51)'!$L:$L,'Checking(ZSERIALS)'!$J101,'System(MB51)'!$O:$O,'Checking(ZSERIALS)'!$L101,'System(MB51)'!$A:$A,'Checking(ZSERIALS)'!Q$3)))</f>
        <v>0</v>
      </c>
      <c r="R101" s="173">
        <f>IF(L101="","",ABS(SUMIFS('System(MB51)'!$K:$K,'System(MB51)'!$L:$L,'Checking(ZSERIALS)'!$J101,'System(MB51)'!$O:$O,'Checking(ZSERIALS)'!$L101,'System(MB51)'!$A:$A,'Checking(ZSERIALS)'!R$3)))</f>
        <v>0</v>
      </c>
      <c r="S101" s="173">
        <f>IF(M101="","",ABS(SUMIFS('System(MB51)'!$K:$K,'System(MB51)'!$L:$L,'Checking(ZSERIALS)'!$J101,'System(MB51)'!$O:$O,'Checking(ZSERIALS)'!$L101,'System(MB51)'!$A:$A,'Checking(ZSERIALS)'!S$3)))</f>
        <v>0</v>
      </c>
      <c r="T101" s="173">
        <f>IF(N101="","",ABS(SUMIFS('System(MB51)'!$K:$K,'System(MB51)'!$L:$L,'Checking(ZSERIALS)'!$J101,'System(MB51)'!$O:$O,'Checking(ZSERIALS)'!$L101,'System(MB51)'!$A:$A,'Checking(ZSERIALS)'!T$3)))</f>
        <v>1</v>
      </c>
      <c r="U101" s="173">
        <f>IF(O101="","",ABS(SUMIFS('System(MB51)'!$K:$K,'System(MB51)'!$L:$L,'Checking(ZSERIALS)'!$J101,'System(MB51)'!$O:$O,'Checking(ZSERIALS)'!$L101,'System(MB51)'!$A:$A,'Checking(ZSERIALS)'!U$3)))</f>
        <v>0</v>
      </c>
      <c r="V101" s="165"/>
      <c r="W101" s="173">
        <f>IF($G101="","",INDEX(MLR!$1:$1048576,MATCH($G101,MLR!$J:$J,0),MATCH(W$3,MLR!$1:$1,0)))</f>
        <v>96</v>
      </c>
      <c r="X101" s="173">
        <f>IF($G101="","",INDEX(MLR!$1:$1048576,MATCH($G101,MLR!$J:$J,0),MATCH(X$3,MLR!$1:$1,0)))</f>
        <v>2</v>
      </c>
      <c r="Y101" s="173">
        <f>IF($G101="","",INDEX(MLR!$1:$1048576,MATCH($G101,MLR!$J:$J,0),MATCH(Y$3,MLR!$1:$1,0)))</f>
        <v>8</v>
      </c>
      <c r="Z101" s="173">
        <f>IF($G101="","",INDEX(MLR!$1:$1048576,MATCH($G101,MLR!$J:$J,0),MATCH(Z$3,MLR!$1:$1,0)))</f>
        <v>1</v>
      </c>
      <c r="AA101" s="173">
        <f>IF($G101="","",INDEX(MLR!$1:$1048576,MATCH($G101,MLR!$J:$J,0),MATCH(AA$3,MLR!$1:$1,0)))</f>
        <v>0</v>
      </c>
      <c r="AB101" s="173">
        <f>IF($G101="","",INDEX(MLR!$1:$1048576,MATCH($G101,MLR!$J:$J,0),MATCH(AB$3,MLR!$1:$1,0)))</f>
        <v>0</v>
      </c>
      <c r="AC101" s="173">
        <f>IF($G101="","",INDEX(MLR!$1:$1048576,MATCH($G101,MLR!$J:$J,0),MATCH(AC$3,MLR!$1:$1,0)))</f>
        <v>10</v>
      </c>
      <c r="AD101" s="173">
        <f>IF($G101="","",INDEX(MLR!$1:$1048576,MATCH($G101,MLR!$J:$J,0),MATCH(AD$3,MLR!$1:$1,0)))</f>
        <v>1</v>
      </c>
      <c r="AE101" s="173">
        <f>IF($G101="","",INDEX(MLR!$1:$1048576,MATCH($G101,MLR!$J:$J,0),MATCH(AE$3,MLR!$1:$1,0)))</f>
        <v>8</v>
      </c>
      <c r="AF101" s="174" t="str">
        <f>IF(G101="","",IFERROR(IF(MATCH($G101,MLR!$J:$J,0)&gt;0,"Installed","Not Found"),"Not Found"))</f>
        <v>Installed</v>
      </c>
      <c r="AG101" s="165"/>
      <c r="AH101" s="175" t="str">
        <f t="shared" si="57"/>
        <v>Short</v>
      </c>
      <c r="AI101" s="175" t="str">
        <f t="shared" si="58"/>
        <v>Correct</v>
      </c>
      <c r="AJ101" s="175" t="str">
        <f t="shared" si="59"/>
        <v>Short</v>
      </c>
      <c r="AK101" s="175" t="str">
        <f t="shared" si="60"/>
        <v>Correct</v>
      </c>
      <c r="AL101" s="175" t="str">
        <f t="shared" si="61"/>
        <v>Correct</v>
      </c>
      <c r="AM101" s="175" t="str">
        <f t="shared" si="62"/>
        <v>Correct</v>
      </c>
      <c r="AN101" s="175" t="str">
        <f t="shared" si="63"/>
        <v>Short</v>
      </c>
      <c r="AO101" s="175" t="str">
        <f t="shared" si="64"/>
        <v>Correct</v>
      </c>
      <c r="AP101" s="175" t="str">
        <f t="shared" si="65"/>
        <v>Short</v>
      </c>
      <c r="AQ101" s="165"/>
      <c r="AR101" s="173">
        <f t="shared" si="66"/>
        <v>-96</v>
      </c>
      <c r="AS101" s="173">
        <f t="shared" si="67"/>
        <v>0</v>
      </c>
      <c r="AT101" s="173">
        <f t="shared" si="68"/>
        <v>-8</v>
      </c>
      <c r="AU101" s="173">
        <f t="shared" si="69"/>
        <v>0</v>
      </c>
      <c r="AV101" s="173">
        <f t="shared" si="70"/>
        <v>0</v>
      </c>
      <c r="AW101" s="173">
        <f t="shared" si="71"/>
        <v>0</v>
      </c>
      <c r="AX101" s="173">
        <f t="shared" si="72"/>
        <v>-10</v>
      </c>
      <c r="AY101" s="173">
        <f t="shared" si="73"/>
        <v>0</v>
      </c>
      <c r="AZ101" s="173">
        <f t="shared" si="74"/>
        <v>-8</v>
      </c>
      <c r="BA101" s="165"/>
      <c r="BB101" s="174" t="str">
        <f t="shared" si="56"/>
        <v>With Variance</v>
      </c>
    </row>
    <row r="102" spans="1:54" s="36" customFormat="1" ht="13.8" x14ac:dyDescent="0.3">
      <c r="A102" s="128" t="str">
        <f>_xlfn.XLOOKUP(B102,'Cuttof Mapping'!A:A,'Cuttof Mapping'!D:D)</f>
        <v>2023 Dec 2nd</v>
      </c>
      <c r="B102" s="133">
        <v>45291</v>
      </c>
      <c r="C102" s="86" t="s">
        <v>396</v>
      </c>
      <c r="D102" s="79" t="s">
        <v>63</v>
      </c>
      <c r="E102" s="86">
        <v>4500866</v>
      </c>
      <c r="F102" s="86" t="s">
        <v>91</v>
      </c>
      <c r="G102" s="86" t="s">
        <v>397</v>
      </c>
      <c r="H102" s="86">
        <v>10001003</v>
      </c>
      <c r="I102" s="86" t="s">
        <v>89</v>
      </c>
      <c r="J102" s="86">
        <v>1680000703178</v>
      </c>
      <c r="K102" s="86" t="s">
        <v>54</v>
      </c>
      <c r="L102" s="86" t="s">
        <v>398</v>
      </c>
      <c r="M102" s="173">
        <f>IF(G102="","",ABS(SUMIFS('System(MB51)'!$K:$K,'System(MB51)'!$L:$L,'Checking(ZSERIALS)'!$J102,'System(MB51)'!$O:$O,'Checking(ZSERIALS)'!$L102,'System(MB51)'!$A:$A,'Checking(ZSERIALS)'!M$3)))</f>
        <v>0</v>
      </c>
      <c r="N102" s="173">
        <f>IF(H102="","",ABS(SUMIFS('System(MB51)'!$K:$K,'System(MB51)'!$L:$L,'Checking(ZSERIALS)'!$J102,'System(MB51)'!$O:$O,'Checking(ZSERIALS)'!$L102,'System(MB51)'!$A:$A,'Checking(ZSERIALS)'!N$3)))</f>
        <v>0</v>
      </c>
      <c r="O102" s="173">
        <f>IF(I102="","",ABS(SUMIFS('System(MB51)'!$K:$K,'System(MB51)'!$L:$L,'Checking(ZSERIALS)'!$J102,'System(MB51)'!$O:$O,'Checking(ZSERIALS)'!$L102,'System(MB51)'!$A:$A,'Checking(ZSERIALS)'!O$3)))</f>
        <v>0</v>
      </c>
      <c r="P102" s="173">
        <f>IF(J102="","",ABS(SUMIFS('System(MB51)'!$K:$K,'System(MB51)'!$L:$L,'Checking(ZSERIALS)'!$J102,'System(MB51)'!$O:$O,'Checking(ZSERIALS)'!$L102,'System(MB51)'!$A:$A,'Checking(ZSERIALS)'!P$3)))</f>
        <v>1</v>
      </c>
      <c r="Q102" s="173">
        <f>IF(K102="","",ABS(SUMIFS('System(MB51)'!$K:$K,'System(MB51)'!$L:$L,'Checking(ZSERIALS)'!$J102,'System(MB51)'!$O:$O,'Checking(ZSERIALS)'!$L102,'System(MB51)'!$A:$A,'Checking(ZSERIALS)'!Q$3)))</f>
        <v>0</v>
      </c>
      <c r="R102" s="173">
        <f>IF(L102="","",ABS(SUMIFS('System(MB51)'!$K:$K,'System(MB51)'!$L:$L,'Checking(ZSERIALS)'!$J102,'System(MB51)'!$O:$O,'Checking(ZSERIALS)'!$L102,'System(MB51)'!$A:$A,'Checking(ZSERIALS)'!R$3)))</f>
        <v>0</v>
      </c>
      <c r="S102" s="173">
        <f>IF(M102="","",ABS(SUMIFS('System(MB51)'!$K:$K,'System(MB51)'!$L:$L,'Checking(ZSERIALS)'!$J102,'System(MB51)'!$O:$O,'Checking(ZSERIALS)'!$L102,'System(MB51)'!$A:$A,'Checking(ZSERIALS)'!S$3)))</f>
        <v>0</v>
      </c>
      <c r="T102" s="173">
        <f>IF(N102="","",ABS(SUMIFS('System(MB51)'!$K:$K,'System(MB51)'!$L:$L,'Checking(ZSERIALS)'!$J102,'System(MB51)'!$O:$O,'Checking(ZSERIALS)'!$L102,'System(MB51)'!$A:$A,'Checking(ZSERIALS)'!T$3)))</f>
        <v>0</v>
      </c>
      <c r="U102" s="173">
        <f>IF(O102="","",ABS(SUMIFS('System(MB51)'!$K:$K,'System(MB51)'!$L:$L,'Checking(ZSERIALS)'!$J102,'System(MB51)'!$O:$O,'Checking(ZSERIALS)'!$L102,'System(MB51)'!$A:$A,'Checking(ZSERIALS)'!U$3)))</f>
        <v>0</v>
      </c>
      <c r="V102" s="165"/>
      <c r="W102" s="173">
        <f>IF($G102="","",INDEX(MLR!$1:$1048576,MATCH($G102,MLR!$J:$J,0),MATCH(W$3,MLR!$1:$1,0)))</f>
        <v>107</v>
      </c>
      <c r="X102" s="173">
        <f>IF($G102="","",INDEX(MLR!$1:$1048576,MATCH($G102,MLR!$J:$J,0),MATCH(X$3,MLR!$1:$1,0)))</f>
        <v>2</v>
      </c>
      <c r="Y102" s="173">
        <f>IF($G102="","",INDEX(MLR!$1:$1048576,MATCH($G102,MLR!$J:$J,0),MATCH(Y$3,MLR!$1:$1,0)))</f>
        <v>10</v>
      </c>
      <c r="Z102" s="173">
        <f>IF($G102="","",INDEX(MLR!$1:$1048576,MATCH($G102,MLR!$J:$J,0),MATCH(Z$3,MLR!$1:$1,0)))</f>
        <v>1</v>
      </c>
      <c r="AA102" s="173">
        <f>IF($G102="","",INDEX(MLR!$1:$1048576,MATCH($G102,MLR!$J:$J,0),MATCH(AA$3,MLR!$1:$1,0)))</f>
        <v>0</v>
      </c>
      <c r="AB102" s="173">
        <f>IF($G102="","",INDEX(MLR!$1:$1048576,MATCH($G102,MLR!$J:$J,0),MATCH(AB$3,MLR!$1:$1,0)))</f>
        <v>0</v>
      </c>
      <c r="AC102" s="173">
        <f>IF($G102="","",INDEX(MLR!$1:$1048576,MATCH($G102,MLR!$J:$J,0),MATCH(AC$3,MLR!$1:$1,0)))</f>
        <v>10</v>
      </c>
      <c r="AD102" s="173">
        <f>IF($G102="","",INDEX(MLR!$1:$1048576,MATCH($G102,MLR!$J:$J,0),MATCH(AD$3,MLR!$1:$1,0)))</f>
        <v>1</v>
      </c>
      <c r="AE102" s="173">
        <f>IF($G102="","",INDEX(MLR!$1:$1048576,MATCH($G102,MLR!$J:$J,0),MATCH(AE$3,MLR!$1:$1,0)))</f>
        <v>10</v>
      </c>
      <c r="AF102" s="174" t="str">
        <f>IF(G102="","",IFERROR(IF(MATCH($G102,MLR!$J:$J,0)&gt;0,"Installed","Not Found"),"Not Found"))</f>
        <v>Installed</v>
      </c>
      <c r="AG102" s="165"/>
      <c r="AH102" s="175" t="str">
        <f t="shared" si="57"/>
        <v>Short</v>
      </c>
      <c r="AI102" s="175" t="str">
        <f t="shared" si="58"/>
        <v>Short</v>
      </c>
      <c r="AJ102" s="175" t="str">
        <f t="shared" si="59"/>
        <v>Short</v>
      </c>
      <c r="AK102" s="175" t="str">
        <f t="shared" si="60"/>
        <v>Correct</v>
      </c>
      <c r="AL102" s="175" t="str">
        <f t="shared" si="61"/>
        <v>Correct</v>
      </c>
      <c r="AM102" s="175" t="str">
        <f t="shared" si="62"/>
        <v>Correct</v>
      </c>
      <c r="AN102" s="175" t="str">
        <f t="shared" si="63"/>
        <v>Short</v>
      </c>
      <c r="AO102" s="175" t="str">
        <f t="shared" si="64"/>
        <v>Short</v>
      </c>
      <c r="AP102" s="175" t="str">
        <f t="shared" si="65"/>
        <v>Short</v>
      </c>
      <c r="AQ102" s="165"/>
      <c r="AR102" s="173">
        <f t="shared" si="66"/>
        <v>-107</v>
      </c>
      <c r="AS102" s="173">
        <f t="shared" si="67"/>
        <v>-2</v>
      </c>
      <c r="AT102" s="173">
        <f t="shared" si="68"/>
        <v>-10</v>
      </c>
      <c r="AU102" s="173">
        <f t="shared" si="69"/>
        <v>0</v>
      </c>
      <c r="AV102" s="173">
        <f t="shared" si="70"/>
        <v>0</v>
      </c>
      <c r="AW102" s="173">
        <f t="shared" si="71"/>
        <v>0</v>
      </c>
      <c r="AX102" s="173">
        <f t="shared" si="72"/>
        <v>-10</v>
      </c>
      <c r="AY102" s="173">
        <f t="shared" si="73"/>
        <v>-1</v>
      </c>
      <c r="AZ102" s="173">
        <f t="shared" si="74"/>
        <v>-10</v>
      </c>
      <c r="BA102" s="165"/>
      <c r="BB102" s="174" t="str">
        <f t="shared" si="56"/>
        <v>With Variance</v>
      </c>
    </row>
    <row r="103" spans="1:54" s="36" customFormat="1" ht="13.8" x14ac:dyDescent="0.3">
      <c r="A103" s="128" t="str">
        <f>_xlfn.XLOOKUP(B103,'Cuttof Mapping'!A:A,'Cuttof Mapping'!D:D)</f>
        <v>2023 Dec 2nd</v>
      </c>
      <c r="B103" s="133">
        <v>45291</v>
      </c>
      <c r="C103" s="86" t="s">
        <v>399</v>
      </c>
      <c r="D103" s="79" t="s">
        <v>63</v>
      </c>
      <c r="E103" s="86">
        <v>4500866</v>
      </c>
      <c r="F103" s="86" t="s">
        <v>91</v>
      </c>
      <c r="G103" s="86" t="s">
        <v>400</v>
      </c>
      <c r="H103" s="86">
        <v>10001003</v>
      </c>
      <c r="I103" s="86" t="s">
        <v>89</v>
      </c>
      <c r="J103" s="86">
        <v>1680000703147</v>
      </c>
      <c r="K103" s="86" t="s">
        <v>54</v>
      </c>
      <c r="L103" s="86" t="s">
        <v>401</v>
      </c>
      <c r="M103" s="173">
        <f>IF(G103="","",ABS(SUMIFS('System(MB51)'!$K:$K,'System(MB51)'!$L:$L,'Checking(ZSERIALS)'!$J103,'System(MB51)'!$O:$O,'Checking(ZSERIALS)'!$L103,'System(MB51)'!$A:$A,'Checking(ZSERIALS)'!M$3)))</f>
        <v>799</v>
      </c>
      <c r="N103" s="173">
        <f>IF(H103="","",ABS(SUMIFS('System(MB51)'!$K:$K,'System(MB51)'!$L:$L,'Checking(ZSERIALS)'!$J103,'System(MB51)'!$O:$O,'Checking(ZSERIALS)'!$L103,'System(MB51)'!$A:$A,'Checking(ZSERIALS)'!N$3)))</f>
        <v>2</v>
      </c>
      <c r="O103" s="173">
        <f>IF(I103="","",ABS(SUMIFS('System(MB51)'!$K:$K,'System(MB51)'!$L:$L,'Checking(ZSERIALS)'!$J103,'System(MB51)'!$O:$O,'Checking(ZSERIALS)'!$L103,'System(MB51)'!$A:$A,'Checking(ZSERIALS)'!O$3)))</f>
        <v>0</v>
      </c>
      <c r="P103" s="173">
        <f>IF(J103="","",ABS(SUMIFS('System(MB51)'!$K:$K,'System(MB51)'!$L:$L,'Checking(ZSERIALS)'!$J103,'System(MB51)'!$O:$O,'Checking(ZSERIALS)'!$L103,'System(MB51)'!$A:$A,'Checking(ZSERIALS)'!P$3)))</f>
        <v>0</v>
      </c>
      <c r="Q103" s="173">
        <f>IF(K103="","",ABS(SUMIFS('System(MB51)'!$K:$K,'System(MB51)'!$L:$L,'Checking(ZSERIALS)'!$J103,'System(MB51)'!$O:$O,'Checking(ZSERIALS)'!$L103,'System(MB51)'!$A:$A,'Checking(ZSERIALS)'!Q$3)))</f>
        <v>0</v>
      </c>
      <c r="R103" s="173">
        <f>IF(L103="","",ABS(SUMIFS('System(MB51)'!$K:$K,'System(MB51)'!$L:$L,'Checking(ZSERIALS)'!$J103,'System(MB51)'!$O:$O,'Checking(ZSERIALS)'!$L103,'System(MB51)'!$A:$A,'Checking(ZSERIALS)'!R$3)))</f>
        <v>0</v>
      </c>
      <c r="S103" s="173">
        <f>IF(M103="","",ABS(SUMIFS('System(MB51)'!$K:$K,'System(MB51)'!$L:$L,'Checking(ZSERIALS)'!$J103,'System(MB51)'!$O:$O,'Checking(ZSERIALS)'!$L103,'System(MB51)'!$A:$A,'Checking(ZSERIALS)'!S$3)))</f>
        <v>5</v>
      </c>
      <c r="T103" s="173">
        <f>IF(N103="","",ABS(SUMIFS('System(MB51)'!$K:$K,'System(MB51)'!$L:$L,'Checking(ZSERIALS)'!$J103,'System(MB51)'!$O:$O,'Checking(ZSERIALS)'!$L103,'System(MB51)'!$A:$A,'Checking(ZSERIALS)'!T$3)))</f>
        <v>1</v>
      </c>
      <c r="U103" s="173">
        <f>IF(O103="","",ABS(SUMIFS('System(MB51)'!$K:$K,'System(MB51)'!$L:$L,'Checking(ZSERIALS)'!$J103,'System(MB51)'!$O:$O,'Checking(ZSERIALS)'!$L103,'System(MB51)'!$A:$A,'Checking(ZSERIALS)'!U$3)))</f>
        <v>0</v>
      </c>
      <c r="V103" s="165"/>
      <c r="W103" s="173">
        <f>IF($G103="","",INDEX(MLR!$1:$1048576,MATCH($G103,MLR!$J:$J,0),MATCH(W$3,MLR!$1:$1,0)))</f>
        <v>126</v>
      </c>
      <c r="X103" s="173">
        <f>IF($G103="","",INDEX(MLR!$1:$1048576,MATCH($G103,MLR!$J:$J,0),MATCH(X$3,MLR!$1:$1,0)))</f>
        <v>2</v>
      </c>
      <c r="Y103" s="173">
        <f>IF($G103="","",INDEX(MLR!$1:$1048576,MATCH($G103,MLR!$J:$J,0),MATCH(Y$3,MLR!$1:$1,0)))</f>
        <v>6</v>
      </c>
      <c r="Z103" s="173">
        <f>IF($G103="","",INDEX(MLR!$1:$1048576,MATCH($G103,MLR!$J:$J,0),MATCH(Z$3,MLR!$1:$1,0)))</f>
        <v>1</v>
      </c>
      <c r="AA103" s="173">
        <f>IF($G103="","",INDEX(MLR!$1:$1048576,MATCH($G103,MLR!$J:$J,0),MATCH(AA$3,MLR!$1:$1,0)))</f>
        <v>0</v>
      </c>
      <c r="AB103" s="173">
        <f>IF($G103="","",INDEX(MLR!$1:$1048576,MATCH($G103,MLR!$J:$J,0),MATCH(AB$3,MLR!$1:$1,0)))</f>
        <v>0</v>
      </c>
      <c r="AC103" s="173">
        <f>IF($G103="","",INDEX(MLR!$1:$1048576,MATCH($G103,MLR!$J:$J,0),MATCH(AC$3,MLR!$1:$1,0)))</f>
        <v>5</v>
      </c>
      <c r="AD103" s="173">
        <f>IF($G103="","",INDEX(MLR!$1:$1048576,MATCH($G103,MLR!$J:$J,0),MATCH(AD$3,MLR!$1:$1,0)))</f>
        <v>1</v>
      </c>
      <c r="AE103" s="173">
        <f>IF($G103="","",INDEX(MLR!$1:$1048576,MATCH($G103,MLR!$J:$J,0),MATCH(AE$3,MLR!$1:$1,0)))</f>
        <v>18</v>
      </c>
      <c r="AF103" s="174" t="str">
        <f>IF(G103="","",IFERROR(IF(MATCH($G103,MLR!$J:$J,0)&gt;0,"Installed","Not Found"),"Not Found"))</f>
        <v>Installed</v>
      </c>
      <c r="AG103" s="165"/>
      <c r="AH103" s="175" t="str">
        <f t="shared" si="57"/>
        <v>Over</v>
      </c>
      <c r="AI103" s="175" t="str">
        <f t="shared" si="58"/>
        <v>Correct</v>
      </c>
      <c r="AJ103" s="175" t="str">
        <f t="shared" si="59"/>
        <v>Short</v>
      </c>
      <c r="AK103" s="175" t="str">
        <f t="shared" si="60"/>
        <v>Short</v>
      </c>
      <c r="AL103" s="175" t="str">
        <f t="shared" si="61"/>
        <v>Correct</v>
      </c>
      <c r="AM103" s="175" t="str">
        <f t="shared" si="62"/>
        <v>Correct</v>
      </c>
      <c r="AN103" s="175" t="str">
        <f t="shared" si="63"/>
        <v>Correct</v>
      </c>
      <c r="AO103" s="175" t="str">
        <f t="shared" si="64"/>
        <v>Correct</v>
      </c>
      <c r="AP103" s="175" t="str">
        <f t="shared" si="65"/>
        <v>Short</v>
      </c>
      <c r="AQ103" s="165"/>
      <c r="AR103" s="173">
        <f t="shared" si="66"/>
        <v>673</v>
      </c>
      <c r="AS103" s="173">
        <f t="shared" si="67"/>
        <v>0</v>
      </c>
      <c r="AT103" s="173">
        <f t="shared" si="68"/>
        <v>-6</v>
      </c>
      <c r="AU103" s="173">
        <f t="shared" si="69"/>
        <v>-1</v>
      </c>
      <c r="AV103" s="173">
        <f t="shared" si="70"/>
        <v>0</v>
      </c>
      <c r="AW103" s="173">
        <f t="shared" si="71"/>
        <v>0</v>
      </c>
      <c r="AX103" s="173">
        <f t="shared" si="72"/>
        <v>0</v>
      </c>
      <c r="AY103" s="173">
        <f t="shared" si="73"/>
        <v>0</v>
      </c>
      <c r="AZ103" s="173">
        <f t="shared" si="74"/>
        <v>-18</v>
      </c>
      <c r="BA103" s="165"/>
      <c r="BB103" s="174" t="str">
        <f t="shared" si="56"/>
        <v>With Variance</v>
      </c>
    </row>
    <row r="104" spans="1:54" s="36" customFormat="1" ht="13.8" x14ac:dyDescent="0.3">
      <c r="A104" s="128" t="str">
        <f>_xlfn.XLOOKUP(B104,'Cuttof Mapping'!A:A,'Cuttof Mapping'!D:D)</f>
        <v>2023 Dec 2nd</v>
      </c>
      <c r="B104" s="133">
        <v>45291</v>
      </c>
      <c r="C104" s="86" t="s">
        <v>402</v>
      </c>
      <c r="D104" s="79" t="s">
        <v>63</v>
      </c>
      <c r="E104" s="86">
        <v>4500866</v>
      </c>
      <c r="F104" s="86" t="s">
        <v>91</v>
      </c>
      <c r="G104" s="86" t="s">
        <v>403</v>
      </c>
      <c r="H104" s="86">
        <v>10001003</v>
      </c>
      <c r="I104" s="86" t="s">
        <v>89</v>
      </c>
      <c r="J104" s="86">
        <v>1680000704326</v>
      </c>
      <c r="K104" s="86" t="s">
        <v>54</v>
      </c>
      <c r="L104" s="86" t="s">
        <v>404</v>
      </c>
      <c r="M104" s="173">
        <f>IF(G104="","",ABS(SUMIFS('System(MB51)'!$K:$K,'System(MB51)'!$L:$L,'Checking(ZSERIALS)'!$J104,'System(MB51)'!$O:$O,'Checking(ZSERIALS)'!$L104,'System(MB51)'!$A:$A,'Checking(ZSERIALS)'!M$3)))</f>
        <v>0</v>
      </c>
      <c r="N104" s="173">
        <f>IF(H104="","",ABS(SUMIFS('System(MB51)'!$K:$K,'System(MB51)'!$L:$L,'Checking(ZSERIALS)'!$J104,'System(MB51)'!$O:$O,'Checking(ZSERIALS)'!$L104,'System(MB51)'!$A:$A,'Checking(ZSERIALS)'!N$3)))</f>
        <v>0</v>
      </c>
      <c r="O104" s="173">
        <f>IF(I104="","",ABS(SUMIFS('System(MB51)'!$K:$K,'System(MB51)'!$L:$L,'Checking(ZSERIALS)'!$J104,'System(MB51)'!$O:$O,'Checking(ZSERIALS)'!$L104,'System(MB51)'!$A:$A,'Checking(ZSERIALS)'!O$3)))</f>
        <v>0</v>
      </c>
      <c r="P104" s="173">
        <f>IF(J104="","",ABS(SUMIFS('System(MB51)'!$K:$K,'System(MB51)'!$L:$L,'Checking(ZSERIALS)'!$J104,'System(MB51)'!$O:$O,'Checking(ZSERIALS)'!$L104,'System(MB51)'!$A:$A,'Checking(ZSERIALS)'!P$3)))</f>
        <v>1</v>
      </c>
      <c r="Q104" s="173">
        <f>IF(K104="","",ABS(SUMIFS('System(MB51)'!$K:$K,'System(MB51)'!$L:$L,'Checking(ZSERIALS)'!$J104,'System(MB51)'!$O:$O,'Checking(ZSERIALS)'!$L104,'System(MB51)'!$A:$A,'Checking(ZSERIALS)'!Q$3)))</f>
        <v>0</v>
      </c>
      <c r="R104" s="173">
        <f>IF(L104="","",ABS(SUMIFS('System(MB51)'!$K:$K,'System(MB51)'!$L:$L,'Checking(ZSERIALS)'!$J104,'System(MB51)'!$O:$O,'Checking(ZSERIALS)'!$L104,'System(MB51)'!$A:$A,'Checking(ZSERIALS)'!R$3)))</f>
        <v>0</v>
      </c>
      <c r="S104" s="173">
        <f>IF(M104="","",ABS(SUMIFS('System(MB51)'!$K:$K,'System(MB51)'!$L:$L,'Checking(ZSERIALS)'!$J104,'System(MB51)'!$O:$O,'Checking(ZSERIALS)'!$L104,'System(MB51)'!$A:$A,'Checking(ZSERIALS)'!S$3)))</f>
        <v>0</v>
      </c>
      <c r="T104" s="173">
        <f>IF(N104="","",ABS(SUMIFS('System(MB51)'!$K:$K,'System(MB51)'!$L:$L,'Checking(ZSERIALS)'!$J104,'System(MB51)'!$O:$O,'Checking(ZSERIALS)'!$L104,'System(MB51)'!$A:$A,'Checking(ZSERIALS)'!T$3)))</f>
        <v>0</v>
      </c>
      <c r="U104" s="173">
        <f>IF(O104="","",ABS(SUMIFS('System(MB51)'!$K:$K,'System(MB51)'!$L:$L,'Checking(ZSERIALS)'!$J104,'System(MB51)'!$O:$O,'Checking(ZSERIALS)'!$L104,'System(MB51)'!$A:$A,'Checking(ZSERIALS)'!U$3)))</f>
        <v>0</v>
      </c>
      <c r="V104" s="165"/>
      <c r="W104" s="173">
        <f>IF($G104="","",INDEX(MLR!$1:$1048576,MATCH($G104,MLR!$J:$J,0),MATCH(W$3,MLR!$1:$1,0)))</f>
        <v>69</v>
      </c>
      <c r="X104" s="173">
        <f>IF($G104="","",INDEX(MLR!$1:$1048576,MATCH($G104,MLR!$J:$J,0),MATCH(X$3,MLR!$1:$1,0)))</f>
        <v>2</v>
      </c>
      <c r="Y104" s="173">
        <f>IF($G104="","",INDEX(MLR!$1:$1048576,MATCH($G104,MLR!$J:$J,0),MATCH(Y$3,MLR!$1:$1,0)))</f>
        <v>6</v>
      </c>
      <c r="Z104" s="173">
        <f>IF($G104="","",INDEX(MLR!$1:$1048576,MATCH($G104,MLR!$J:$J,0),MATCH(Z$3,MLR!$1:$1,0)))</f>
        <v>1</v>
      </c>
      <c r="AA104" s="173">
        <f>IF($G104="","",INDEX(MLR!$1:$1048576,MATCH($G104,MLR!$J:$J,0),MATCH(AA$3,MLR!$1:$1,0)))</f>
        <v>0</v>
      </c>
      <c r="AB104" s="173">
        <f>IF($G104="","",INDEX(MLR!$1:$1048576,MATCH($G104,MLR!$J:$J,0),MATCH(AB$3,MLR!$1:$1,0)))</f>
        <v>0</v>
      </c>
      <c r="AC104" s="173">
        <f>IF($G104="","",INDEX(MLR!$1:$1048576,MATCH($G104,MLR!$J:$J,0),MATCH(AC$3,MLR!$1:$1,0)))</f>
        <v>10</v>
      </c>
      <c r="AD104" s="173">
        <f>IF($G104="","",INDEX(MLR!$1:$1048576,MATCH($G104,MLR!$J:$J,0),MATCH(AD$3,MLR!$1:$1,0)))</f>
        <v>1</v>
      </c>
      <c r="AE104" s="173">
        <f>IF($G104="","",INDEX(MLR!$1:$1048576,MATCH($G104,MLR!$J:$J,0),MATCH(AE$3,MLR!$1:$1,0)))</f>
        <v>8</v>
      </c>
      <c r="AF104" s="174" t="str">
        <f>IF(G104="","",IFERROR(IF(MATCH($G104,MLR!$J:$J,0)&gt;0,"Installed","Not Found"),"Not Found"))</f>
        <v>Installed</v>
      </c>
      <c r="AG104" s="165"/>
      <c r="AH104" s="175" t="str">
        <f t="shared" si="57"/>
        <v>Short</v>
      </c>
      <c r="AI104" s="175" t="str">
        <f t="shared" si="58"/>
        <v>Short</v>
      </c>
      <c r="AJ104" s="175" t="str">
        <f t="shared" si="59"/>
        <v>Short</v>
      </c>
      <c r="AK104" s="175" t="str">
        <f t="shared" si="60"/>
        <v>Correct</v>
      </c>
      <c r="AL104" s="175" t="str">
        <f t="shared" si="61"/>
        <v>Correct</v>
      </c>
      <c r="AM104" s="175" t="str">
        <f t="shared" si="62"/>
        <v>Correct</v>
      </c>
      <c r="AN104" s="175" t="str">
        <f t="shared" si="63"/>
        <v>Short</v>
      </c>
      <c r="AO104" s="175" t="str">
        <f t="shared" si="64"/>
        <v>Short</v>
      </c>
      <c r="AP104" s="175" t="str">
        <f t="shared" si="65"/>
        <v>Short</v>
      </c>
      <c r="AQ104" s="165"/>
      <c r="AR104" s="173">
        <f t="shared" si="66"/>
        <v>-69</v>
      </c>
      <c r="AS104" s="173">
        <f t="shared" si="67"/>
        <v>-2</v>
      </c>
      <c r="AT104" s="173">
        <f t="shared" si="68"/>
        <v>-6</v>
      </c>
      <c r="AU104" s="173">
        <f t="shared" si="69"/>
        <v>0</v>
      </c>
      <c r="AV104" s="173">
        <f t="shared" si="70"/>
        <v>0</v>
      </c>
      <c r="AW104" s="173">
        <f t="shared" si="71"/>
        <v>0</v>
      </c>
      <c r="AX104" s="173">
        <f t="shared" si="72"/>
        <v>-10</v>
      </c>
      <c r="AY104" s="173">
        <f t="shared" si="73"/>
        <v>-1</v>
      </c>
      <c r="AZ104" s="173">
        <f t="shared" si="74"/>
        <v>-8</v>
      </c>
      <c r="BA104" s="165"/>
      <c r="BB104" s="174" t="str">
        <f t="shared" si="56"/>
        <v>With Variance</v>
      </c>
    </row>
    <row r="105" spans="1:54" s="36" customFormat="1" ht="13.8" x14ac:dyDescent="0.3">
      <c r="A105" s="128" t="str">
        <f>_xlfn.XLOOKUP(B105,'Cuttof Mapping'!A:A,'Cuttof Mapping'!D:D)</f>
        <v>2023 Dec 2nd</v>
      </c>
      <c r="B105" s="133">
        <v>45291</v>
      </c>
      <c r="C105" s="86" t="s">
        <v>405</v>
      </c>
      <c r="D105" s="79" t="s">
        <v>63</v>
      </c>
      <c r="E105" s="86">
        <v>4500866</v>
      </c>
      <c r="F105" s="86" t="s">
        <v>91</v>
      </c>
      <c r="G105" s="86" t="s">
        <v>406</v>
      </c>
      <c r="H105" s="86">
        <v>10001035</v>
      </c>
      <c r="I105" s="86" t="s">
        <v>90</v>
      </c>
      <c r="J105" s="86">
        <v>1680000700083</v>
      </c>
      <c r="K105" s="86" t="s">
        <v>54</v>
      </c>
      <c r="L105" s="86" t="s">
        <v>407</v>
      </c>
      <c r="M105" s="173">
        <f>IF(G105="","",ABS(SUMIFS('System(MB51)'!$K:$K,'System(MB51)'!$L:$L,'Checking(ZSERIALS)'!$J105,'System(MB51)'!$O:$O,'Checking(ZSERIALS)'!$L105,'System(MB51)'!$A:$A,'Checking(ZSERIALS)'!M$3)))</f>
        <v>0</v>
      </c>
      <c r="N105" s="173">
        <f>IF(H105="","",ABS(SUMIFS('System(MB51)'!$K:$K,'System(MB51)'!$L:$L,'Checking(ZSERIALS)'!$J105,'System(MB51)'!$O:$O,'Checking(ZSERIALS)'!$L105,'System(MB51)'!$A:$A,'Checking(ZSERIALS)'!N$3)))</f>
        <v>0</v>
      </c>
      <c r="O105" s="173">
        <f>IF(I105="","",ABS(SUMIFS('System(MB51)'!$K:$K,'System(MB51)'!$L:$L,'Checking(ZSERIALS)'!$J105,'System(MB51)'!$O:$O,'Checking(ZSERIALS)'!$L105,'System(MB51)'!$A:$A,'Checking(ZSERIALS)'!O$3)))</f>
        <v>0</v>
      </c>
      <c r="P105" s="173">
        <f>IF(J105="","",ABS(SUMIFS('System(MB51)'!$K:$K,'System(MB51)'!$L:$L,'Checking(ZSERIALS)'!$J105,'System(MB51)'!$O:$O,'Checking(ZSERIALS)'!$L105,'System(MB51)'!$A:$A,'Checking(ZSERIALS)'!P$3)))</f>
        <v>0</v>
      </c>
      <c r="Q105" s="173">
        <f>IF(K105="","",ABS(SUMIFS('System(MB51)'!$K:$K,'System(MB51)'!$L:$L,'Checking(ZSERIALS)'!$J105,'System(MB51)'!$O:$O,'Checking(ZSERIALS)'!$L105,'System(MB51)'!$A:$A,'Checking(ZSERIALS)'!Q$3)))</f>
        <v>0</v>
      </c>
      <c r="R105" s="173">
        <f>IF(L105="","",ABS(SUMIFS('System(MB51)'!$K:$K,'System(MB51)'!$L:$L,'Checking(ZSERIALS)'!$J105,'System(MB51)'!$O:$O,'Checking(ZSERIALS)'!$L105,'System(MB51)'!$A:$A,'Checking(ZSERIALS)'!R$3)))</f>
        <v>0</v>
      </c>
      <c r="S105" s="173">
        <f>IF(M105="","",ABS(SUMIFS('System(MB51)'!$K:$K,'System(MB51)'!$L:$L,'Checking(ZSERIALS)'!$J105,'System(MB51)'!$O:$O,'Checking(ZSERIALS)'!$L105,'System(MB51)'!$A:$A,'Checking(ZSERIALS)'!S$3)))</f>
        <v>0</v>
      </c>
      <c r="T105" s="173">
        <f>IF(N105="","",ABS(SUMIFS('System(MB51)'!$K:$K,'System(MB51)'!$L:$L,'Checking(ZSERIALS)'!$J105,'System(MB51)'!$O:$O,'Checking(ZSERIALS)'!$L105,'System(MB51)'!$A:$A,'Checking(ZSERIALS)'!T$3)))</f>
        <v>0</v>
      </c>
      <c r="U105" s="173">
        <f>IF(O105="","",ABS(SUMIFS('System(MB51)'!$K:$K,'System(MB51)'!$L:$L,'Checking(ZSERIALS)'!$J105,'System(MB51)'!$O:$O,'Checking(ZSERIALS)'!$L105,'System(MB51)'!$A:$A,'Checking(ZSERIALS)'!U$3)))</f>
        <v>0</v>
      </c>
      <c r="V105" s="165"/>
      <c r="W105" s="173">
        <f>IF($G105="","",INDEX(MLR!$1:$1048576,MATCH($G105,MLR!$J:$J,0),MATCH(W$3,MLR!$1:$1,0)))</f>
        <v>185</v>
      </c>
      <c r="X105" s="173">
        <f>IF($G105="","",INDEX(MLR!$1:$1048576,MATCH($G105,MLR!$J:$J,0),MATCH(X$3,MLR!$1:$1,0)))</f>
        <v>2</v>
      </c>
      <c r="Y105" s="173">
        <f>IF($G105="","",INDEX(MLR!$1:$1048576,MATCH($G105,MLR!$J:$J,0),MATCH(Y$3,MLR!$1:$1,0)))</f>
        <v>8</v>
      </c>
      <c r="Z105" s="173">
        <f>IF($G105="","",INDEX(MLR!$1:$1048576,MATCH($G105,MLR!$J:$J,0),MATCH(Z$3,MLR!$1:$1,0)))</f>
        <v>1</v>
      </c>
      <c r="AA105" s="173">
        <f>IF($G105="","",INDEX(MLR!$1:$1048576,MATCH($G105,MLR!$J:$J,0),MATCH(AA$3,MLR!$1:$1,0)))</f>
        <v>0</v>
      </c>
      <c r="AB105" s="173">
        <f>IF($G105="","",INDEX(MLR!$1:$1048576,MATCH($G105,MLR!$J:$J,0),MATCH(AB$3,MLR!$1:$1,0)))</f>
        <v>0</v>
      </c>
      <c r="AC105" s="173">
        <f>IF($G105="","",INDEX(MLR!$1:$1048576,MATCH($G105,MLR!$J:$J,0),MATCH(AC$3,MLR!$1:$1,0)))</f>
        <v>9</v>
      </c>
      <c r="AD105" s="173">
        <f>IF($G105="","",INDEX(MLR!$1:$1048576,MATCH($G105,MLR!$J:$J,0),MATCH(AD$3,MLR!$1:$1,0)))</f>
        <v>1</v>
      </c>
      <c r="AE105" s="173">
        <f>IF($G105="","",INDEX(MLR!$1:$1048576,MATCH($G105,MLR!$J:$J,0),MATCH(AE$3,MLR!$1:$1,0)))</f>
        <v>8</v>
      </c>
      <c r="AF105" s="174" t="str">
        <f>IF(G105="","",IFERROR(IF(MATCH($G105,MLR!$J:$J,0)&gt;0,"Installed","Not Found"),"Not Found"))</f>
        <v>Installed</v>
      </c>
      <c r="AG105" s="165"/>
      <c r="AH105" s="175" t="str">
        <f t="shared" si="57"/>
        <v>Short</v>
      </c>
      <c r="AI105" s="175" t="str">
        <f t="shared" si="58"/>
        <v>Short</v>
      </c>
      <c r="AJ105" s="175" t="str">
        <f t="shared" si="59"/>
        <v>Short</v>
      </c>
      <c r="AK105" s="175" t="str">
        <f t="shared" si="60"/>
        <v>Short</v>
      </c>
      <c r="AL105" s="175" t="str">
        <f t="shared" si="61"/>
        <v>Correct</v>
      </c>
      <c r="AM105" s="175" t="str">
        <f t="shared" si="62"/>
        <v>Correct</v>
      </c>
      <c r="AN105" s="175" t="str">
        <f t="shared" si="63"/>
        <v>Short</v>
      </c>
      <c r="AO105" s="175" t="str">
        <f t="shared" si="64"/>
        <v>Short</v>
      </c>
      <c r="AP105" s="175" t="str">
        <f t="shared" si="65"/>
        <v>Short</v>
      </c>
      <c r="AQ105" s="165"/>
      <c r="AR105" s="173">
        <f t="shared" si="66"/>
        <v>-185</v>
      </c>
      <c r="AS105" s="173">
        <f t="shared" si="67"/>
        <v>-2</v>
      </c>
      <c r="AT105" s="173">
        <f t="shared" si="68"/>
        <v>-8</v>
      </c>
      <c r="AU105" s="173">
        <f t="shared" si="69"/>
        <v>-1</v>
      </c>
      <c r="AV105" s="173">
        <f t="shared" si="70"/>
        <v>0</v>
      </c>
      <c r="AW105" s="173">
        <f t="shared" si="71"/>
        <v>0</v>
      </c>
      <c r="AX105" s="173">
        <f t="shared" si="72"/>
        <v>-9</v>
      </c>
      <c r="AY105" s="173">
        <f t="shared" si="73"/>
        <v>-1</v>
      </c>
      <c r="AZ105" s="173">
        <f t="shared" si="74"/>
        <v>-8</v>
      </c>
      <c r="BA105" s="165"/>
      <c r="BB105" s="174" t="str">
        <f t="shared" si="56"/>
        <v>With Variance</v>
      </c>
    </row>
    <row r="106" spans="1:54" s="36" customFormat="1" ht="13.8" x14ac:dyDescent="0.3">
      <c r="A106" s="128" t="str">
        <f>_xlfn.XLOOKUP(B106,'Cuttof Mapping'!A:A,'Cuttof Mapping'!D:D)</f>
        <v>2023 Dec 2nd</v>
      </c>
      <c r="B106" s="133">
        <v>45291</v>
      </c>
      <c r="C106" s="86" t="s">
        <v>408</v>
      </c>
      <c r="D106" s="79" t="s">
        <v>63</v>
      </c>
      <c r="E106" s="86">
        <v>4500866</v>
      </c>
      <c r="F106" s="86" t="s">
        <v>91</v>
      </c>
      <c r="G106" s="86" t="s">
        <v>409</v>
      </c>
      <c r="H106" s="86">
        <v>10001035</v>
      </c>
      <c r="I106" s="86" t="s">
        <v>90</v>
      </c>
      <c r="J106" s="86">
        <v>1680000698441</v>
      </c>
      <c r="K106" s="86" t="s">
        <v>54</v>
      </c>
      <c r="L106" s="86" t="s">
        <v>410</v>
      </c>
      <c r="M106" s="173">
        <f>IF(G106="","",ABS(SUMIFS('System(MB51)'!$K:$K,'System(MB51)'!$L:$L,'Checking(ZSERIALS)'!$J106,'System(MB51)'!$O:$O,'Checking(ZSERIALS)'!$L106,'System(MB51)'!$A:$A,'Checking(ZSERIALS)'!M$3)))</f>
        <v>0</v>
      </c>
      <c r="N106" s="173">
        <f>IF(H106="","",ABS(SUMIFS('System(MB51)'!$K:$K,'System(MB51)'!$L:$L,'Checking(ZSERIALS)'!$J106,'System(MB51)'!$O:$O,'Checking(ZSERIALS)'!$L106,'System(MB51)'!$A:$A,'Checking(ZSERIALS)'!N$3)))</f>
        <v>2</v>
      </c>
      <c r="O106" s="173">
        <f>IF(I106="","",ABS(SUMIFS('System(MB51)'!$K:$K,'System(MB51)'!$L:$L,'Checking(ZSERIALS)'!$J106,'System(MB51)'!$O:$O,'Checking(ZSERIALS)'!$L106,'System(MB51)'!$A:$A,'Checking(ZSERIALS)'!O$3)))</f>
        <v>0</v>
      </c>
      <c r="P106" s="173">
        <f>IF(J106="","",ABS(SUMIFS('System(MB51)'!$K:$K,'System(MB51)'!$L:$L,'Checking(ZSERIALS)'!$J106,'System(MB51)'!$O:$O,'Checking(ZSERIALS)'!$L106,'System(MB51)'!$A:$A,'Checking(ZSERIALS)'!P$3)))</f>
        <v>1</v>
      </c>
      <c r="Q106" s="173">
        <f>IF(K106="","",ABS(SUMIFS('System(MB51)'!$K:$K,'System(MB51)'!$L:$L,'Checking(ZSERIALS)'!$J106,'System(MB51)'!$O:$O,'Checking(ZSERIALS)'!$L106,'System(MB51)'!$A:$A,'Checking(ZSERIALS)'!Q$3)))</f>
        <v>0</v>
      </c>
      <c r="R106" s="173">
        <f>IF(L106="","",ABS(SUMIFS('System(MB51)'!$K:$K,'System(MB51)'!$L:$L,'Checking(ZSERIALS)'!$J106,'System(MB51)'!$O:$O,'Checking(ZSERIALS)'!$L106,'System(MB51)'!$A:$A,'Checking(ZSERIALS)'!R$3)))</f>
        <v>0</v>
      </c>
      <c r="S106" s="173">
        <f>IF(M106="","",ABS(SUMIFS('System(MB51)'!$K:$K,'System(MB51)'!$L:$L,'Checking(ZSERIALS)'!$J106,'System(MB51)'!$O:$O,'Checking(ZSERIALS)'!$L106,'System(MB51)'!$A:$A,'Checking(ZSERIALS)'!S$3)))</f>
        <v>8</v>
      </c>
      <c r="T106" s="173">
        <f>IF(N106="","",ABS(SUMIFS('System(MB51)'!$K:$K,'System(MB51)'!$L:$L,'Checking(ZSERIALS)'!$J106,'System(MB51)'!$O:$O,'Checking(ZSERIALS)'!$L106,'System(MB51)'!$A:$A,'Checking(ZSERIALS)'!T$3)))</f>
        <v>1</v>
      </c>
      <c r="U106" s="173">
        <f>IF(O106="","",ABS(SUMIFS('System(MB51)'!$K:$K,'System(MB51)'!$L:$L,'Checking(ZSERIALS)'!$J106,'System(MB51)'!$O:$O,'Checking(ZSERIALS)'!$L106,'System(MB51)'!$A:$A,'Checking(ZSERIALS)'!U$3)))</f>
        <v>8</v>
      </c>
      <c r="V106" s="165"/>
      <c r="W106" s="173">
        <f>IF($G106="","",INDEX(MLR!$1:$1048576,MATCH($G106,MLR!$J:$J,0),MATCH(W$3,MLR!$1:$1,0)))</f>
        <v>165</v>
      </c>
      <c r="X106" s="173">
        <f>IF($G106="","",INDEX(MLR!$1:$1048576,MATCH($G106,MLR!$J:$J,0),MATCH(X$3,MLR!$1:$1,0)))</f>
        <v>2</v>
      </c>
      <c r="Y106" s="173">
        <f>IF($G106="","",INDEX(MLR!$1:$1048576,MATCH($G106,MLR!$J:$J,0),MATCH(Y$3,MLR!$1:$1,0)))</f>
        <v>6</v>
      </c>
      <c r="Z106" s="173">
        <f>IF($G106="","",INDEX(MLR!$1:$1048576,MATCH($G106,MLR!$J:$J,0),MATCH(Z$3,MLR!$1:$1,0)))</f>
        <v>1</v>
      </c>
      <c r="AA106" s="173">
        <f>IF($G106="","",INDEX(MLR!$1:$1048576,MATCH($G106,MLR!$J:$J,0),MATCH(AA$3,MLR!$1:$1,0)))</f>
        <v>0</v>
      </c>
      <c r="AB106" s="173">
        <f>IF($G106="","",INDEX(MLR!$1:$1048576,MATCH($G106,MLR!$J:$J,0),MATCH(AB$3,MLR!$1:$1,0)))</f>
        <v>0</v>
      </c>
      <c r="AC106" s="173">
        <f>IF($G106="","",INDEX(MLR!$1:$1048576,MATCH($G106,MLR!$J:$J,0),MATCH(AC$3,MLR!$1:$1,0)))</f>
        <v>8</v>
      </c>
      <c r="AD106" s="173">
        <f>IF($G106="","",INDEX(MLR!$1:$1048576,MATCH($G106,MLR!$J:$J,0),MATCH(AD$3,MLR!$1:$1,0)))</f>
        <v>1</v>
      </c>
      <c r="AE106" s="173">
        <f>IF($G106="","",INDEX(MLR!$1:$1048576,MATCH($G106,MLR!$J:$J,0),MATCH(AE$3,MLR!$1:$1,0)))</f>
        <v>8</v>
      </c>
      <c r="AF106" s="174" t="str">
        <f>IF(G106="","",IFERROR(IF(MATCH($G106,MLR!$J:$J,0)&gt;0,"Installed","Not Found"),"Not Found"))</f>
        <v>Installed</v>
      </c>
      <c r="AG106" s="165"/>
      <c r="AH106" s="175" t="str">
        <f t="shared" si="57"/>
        <v>Short</v>
      </c>
      <c r="AI106" s="175" t="str">
        <f t="shared" si="58"/>
        <v>Correct</v>
      </c>
      <c r="AJ106" s="175" t="str">
        <f t="shared" si="59"/>
        <v>Short</v>
      </c>
      <c r="AK106" s="175" t="str">
        <f t="shared" si="60"/>
        <v>Correct</v>
      </c>
      <c r="AL106" s="175" t="str">
        <f t="shared" si="61"/>
        <v>Correct</v>
      </c>
      <c r="AM106" s="175" t="str">
        <f t="shared" si="62"/>
        <v>Correct</v>
      </c>
      <c r="AN106" s="175" t="str">
        <f t="shared" si="63"/>
        <v>Correct</v>
      </c>
      <c r="AO106" s="175" t="str">
        <f t="shared" si="64"/>
        <v>Correct</v>
      </c>
      <c r="AP106" s="175" t="str">
        <f t="shared" si="65"/>
        <v>Correct</v>
      </c>
      <c r="AQ106" s="165"/>
      <c r="AR106" s="173">
        <f t="shared" si="66"/>
        <v>-165</v>
      </c>
      <c r="AS106" s="173">
        <f t="shared" si="67"/>
        <v>0</v>
      </c>
      <c r="AT106" s="173">
        <f t="shared" si="68"/>
        <v>-6</v>
      </c>
      <c r="AU106" s="173">
        <f t="shared" si="69"/>
        <v>0</v>
      </c>
      <c r="AV106" s="173">
        <f t="shared" si="70"/>
        <v>0</v>
      </c>
      <c r="AW106" s="173">
        <f t="shared" si="71"/>
        <v>0</v>
      </c>
      <c r="AX106" s="173">
        <f t="shared" si="72"/>
        <v>0</v>
      </c>
      <c r="AY106" s="173">
        <f t="shared" si="73"/>
        <v>0</v>
      </c>
      <c r="AZ106" s="173">
        <f t="shared" si="74"/>
        <v>0</v>
      </c>
      <c r="BA106" s="165"/>
      <c r="BB106" s="174" t="str">
        <f t="shared" si="56"/>
        <v>With Variance</v>
      </c>
    </row>
    <row r="107" spans="1:54" s="36" customFormat="1" ht="13.8" x14ac:dyDescent="0.3">
      <c r="A107" s="128"/>
      <c r="B107" s="133"/>
      <c r="C107" s="86"/>
      <c r="D107" s="79"/>
      <c r="E107" s="86"/>
      <c r="F107" s="86"/>
      <c r="G107" s="86"/>
      <c r="H107" s="134"/>
      <c r="I107" s="86"/>
      <c r="J107" s="134"/>
      <c r="K107" s="86"/>
      <c r="L107" s="86"/>
      <c r="M107" s="173"/>
      <c r="N107" s="173"/>
      <c r="O107" s="173"/>
      <c r="P107" s="173"/>
      <c r="Q107" s="173"/>
      <c r="R107" s="173"/>
      <c r="S107" s="173"/>
      <c r="T107" s="173"/>
      <c r="U107" s="173"/>
      <c r="V107" s="165"/>
      <c r="W107" s="173"/>
      <c r="X107" s="173"/>
      <c r="Y107" s="173"/>
      <c r="Z107" s="173"/>
      <c r="AA107" s="173"/>
      <c r="AB107" s="173"/>
      <c r="AC107" s="173"/>
      <c r="AD107" s="173"/>
      <c r="AE107" s="173"/>
      <c r="AF107" s="174"/>
      <c r="AG107" s="16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65"/>
      <c r="AR107" s="173"/>
      <c r="AS107" s="173"/>
      <c r="AT107" s="173"/>
      <c r="AU107" s="173"/>
      <c r="AV107" s="173"/>
      <c r="AW107" s="173"/>
      <c r="AX107" s="173"/>
      <c r="AY107" s="173"/>
      <c r="AZ107" s="173"/>
      <c r="BA107" s="165"/>
      <c r="BB107" s="174"/>
    </row>
    <row r="108" spans="1:54" s="36" customFormat="1" ht="13.8" x14ac:dyDescent="0.3">
      <c r="A108" s="128"/>
      <c r="B108" s="133"/>
      <c r="C108" s="86"/>
      <c r="D108" s="79"/>
      <c r="E108" s="86"/>
      <c r="F108" s="86"/>
      <c r="G108" s="86"/>
      <c r="H108" s="134"/>
      <c r="I108" s="86"/>
      <c r="J108" s="134"/>
      <c r="K108" s="86"/>
      <c r="L108" s="86"/>
      <c r="M108" s="173"/>
      <c r="N108" s="173"/>
      <c r="O108" s="173"/>
      <c r="P108" s="173"/>
      <c r="Q108" s="173"/>
      <c r="R108" s="173"/>
      <c r="S108" s="173"/>
      <c r="T108" s="173"/>
      <c r="U108" s="173"/>
      <c r="V108" s="165"/>
      <c r="W108" s="173"/>
      <c r="X108" s="173"/>
      <c r="Y108" s="173"/>
      <c r="Z108" s="173"/>
      <c r="AA108" s="173"/>
      <c r="AB108" s="173"/>
      <c r="AC108" s="173"/>
      <c r="AD108" s="173"/>
      <c r="AE108" s="173"/>
      <c r="AF108" s="174"/>
      <c r="AG108" s="16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65"/>
      <c r="AR108" s="173"/>
      <c r="AS108" s="173"/>
      <c r="AT108" s="173"/>
      <c r="AU108" s="173"/>
      <c r="AV108" s="173"/>
      <c r="AW108" s="173"/>
      <c r="AX108" s="173"/>
      <c r="AY108" s="173"/>
      <c r="AZ108" s="173"/>
      <c r="BA108" s="165"/>
      <c r="BB108" s="174"/>
    </row>
    <row r="109" spans="1:54" s="36" customFormat="1" ht="13.8" x14ac:dyDescent="0.3">
      <c r="A109" s="128"/>
      <c r="B109" s="133"/>
      <c r="C109" s="86"/>
      <c r="D109" s="79"/>
      <c r="E109" s="86"/>
      <c r="F109" s="86"/>
      <c r="G109" s="86"/>
      <c r="H109" s="134"/>
      <c r="I109" s="86"/>
      <c r="J109" s="134"/>
      <c r="K109" s="86"/>
      <c r="L109" s="86"/>
      <c r="M109" s="173"/>
      <c r="N109" s="173"/>
      <c r="O109" s="173"/>
      <c r="P109" s="173"/>
      <c r="Q109" s="173"/>
      <c r="R109" s="173"/>
      <c r="S109" s="173"/>
      <c r="T109" s="173"/>
      <c r="U109" s="173"/>
      <c r="V109" s="165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4"/>
      <c r="AG109" s="16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65"/>
      <c r="AR109" s="173"/>
      <c r="AS109" s="173"/>
      <c r="AT109" s="173"/>
      <c r="AU109" s="173"/>
      <c r="AV109" s="173"/>
      <c r="AW109" s="173"/>
      <c r="AX109" s="173"/>
      <c r="AY109" s="173"/>
      <c r="AZ109" s="173"/>
      <c r="BA109" s="165"/>
      <c r="BB109" s="174"/>
    </row>
    <row r="110" spans="1:54" s="36" customFormat="1" ht="13.8" x14ac:dyDescent="0.3">
      <c r="A110" s="128"/>
      <c r="B110" s="133"/>
      <c r="C110" s="86"/>
      <c r="D110" s="79"/>
      <c r="E110" s="86"/>
      <c r="F110" s="86"/>
      <c r="G110" s="86"/>
      <c r="H110" s="134"/>
      <c r="I110" s="86"/>
      <c r="J110" s="134"/>
      <c r="K110" s="86"/>
      <c r="L110" s="86"/>
      <c r="M110" s="173"/>
      <c r="N110" s="173"/>
      <c r="O110" s="173"/>
      <c r="P110" s="173"/>
      <c r="Q110" s="173"/>
      <c r="R110" s="173"/>
      <c r="S110" s="173"/>
      <c r="T110" s="173"/>
      <c r="U110" s="173"/>
      <c r="V110" s="165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4"/>
      <c r="AG110" s="16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65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65"/>
      <c r="BB110" s="174"/>
    </row>
    <row r="111" spans="1:54" s="36" customFormat="1" ht="13.8" x14ac:dyDescent="0.3">
      <c r="A111" s="128"/>
      <c r="B111" s="133"/>
      <c r="C111" s="86"/>
      <c r="D111" s="79"/>
      <c r="E111" s="86"/>
      <c r="F111" s="86"/>
      <c r="G111" s="86"/>
      <c r="H111" s="134"/>
      <c r="I111" s="86"/>
      <c r="J111" s="134"/>
      <c r="K111" s="86"/>
      <c r="L111" s="86"/>
      <c r="M111" s="173"/>
      <c r="N111" s="173"/>
      <c r="O111" s="173"/>
      <c r="P111" s="173"/>
      <c r="Q111" s="173"/>
      <c r="R111" s="173"/>
      <c r="S111" s="173"/>
      <c r="T111" s="173"/>
      <c r="U111" s="173"/>
      <c r="V111" s="165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4"/>
      <c r="AG111" s="16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65"/>
      <c r="AR111" s="173"/>
      <c r="AS111" s="173"/>
      <c r="AT111" s="173"/>
      <c r="AU111" s="173"/>
      <c r="AV111" s="173"/>
      <c r="AW111" s="173"/>
      <c r="AX111" s="173"/>
      <c r="AY111" s="173"/>
      <c r="AZ111" s="173"/>
      <c r="BA111" s="165"/>
      <c r="BB111" s="174"/>
    </row>
    <row r="112" spans="1:54" s="36" customFormat="1" ht="13.8" x14ac:dyDescent="0.3">
      <c r="A112" s="128"/>
      <c r="B112" s="133"/>
      <c r="C112" s="86"/>
      <c r="D112" s="79"/>
      <c r="E112" s="86"/>
      <c r="F112" s="86"/>
      <c r="G112" s="86"/>
      <c r="H112" s="134"/>
      <c r="I112" s="86"/>
      <c r="J112" s="134"/>
      <c r="K112" s="86"/>
      <c r="L112" s="86"/>
      <c r="M112" s="173"/>
      <c r="N112" s="173"/>
      <c r="O112" s="173"/>
      <c r="P112" s="173"/>
      <c r="Q112" s="173"/>
      <c r="R112" s="173"/>
      <c r="S112" s="173"/>
      <c r="T112" s="173"/>
      <c r="U112" s="173"/>
      <c r="V112" s="165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4"/>
      <c r="AG112" s="16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65"/>
      <c r="AR112" s="173"/>
      <c r="AS112" s="173"/>
      <c r="AT112" s="173"/>
      <c r="AU112" s="173"/>
      <c r="AV112" s="173"/>
      <c r="AW112" s="173"/>
      <c r="AX112" s="173"/>
      <c r="AY112" s="173"/>
      <c r="AZ112" s="173"/>
      <c r="BA112" s="165"/>
      <c r="BB112" s="174"/>
    </row>
    <row r="113" spans="1:54" s="36" customFormat="1" ht="13.8" x14ac:dyDescent="0.3">
      <c r="A113" s="128"/>
      <c r="B113" s="133"/>
      <c r="C113" s="86"/>
      <c r="D113" s="79"/>
      <c r="E113" s="86"/>
      <c r="F113" s="86"/>
      <c r="G113" s="86"/>
      <c r="H113" s="134"/>
      <c r="I113" s="86"/>
      <c r="J113" s="134"/>
      <c r="K113" s="86"/>
      <c r="L113" s="86"/>
      <c r="M113" s="173"/>
      <c r="N113" s="173"/>
      <c r="O113" s="173"/>
      <c r="P113" s="173"/>
      <c r="Q113" s="173"/>
      <c r="R113" s="173"/>
      <c r="S113" s="173"/>
      <c r="T113" s="173"/>
      <c r="U113" s="173"/>
      <c r="V113" s="165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4"/>
      <c r="AG113" s="16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65"/>
      <c r="AR113" s="173"/>
      <c r="AS113" s="173"/>
      <c r="AT113" s="173"/>
      <c r="AU113" s="173"/>
      <c r="AV113" s="173"/>
      <c r="AW113" s="173"/>
      <c r="AX113" s="173"/>
      <c r="AY113" s="173"/>
      <c r="AZ113" s="173"/>
      <c r="BA113" s="165"/>
      <c r="BB113" s="174"/>
    </row>
    <row r="114" spans="1:54" s="36" customFormat="1" ht="13.8" x14ac:dyDescent="0.3">
      <c r="A114" s="128"/>
      <c r="B114" s="133"/>
      <c r="C114" s="86"/>
      <c r="D114" s="79"/>
      <c r="E114" s="86"/>
      <c r="F114" s="86"/>
      <c r="G114" s="86"/>
      <c r="H114" s="134"/>
      <c r="I114" s="86"/>
      <c r="J114" s="134"/>
      <c r="K114" s="86"/>
      <c r="L114" s="86"/>
      <c r="M114" s="173"/>
      <c r="N114" s="173"/>
      <c r="O114" s="173"/>
      <c r="P114" s="173"/>
      <c r="Q114" s="173"/>
      <c r="R114" s="173"/>
      <c r="S114" s="173"/>
      <c r="T114" s="173"/>
      <c r="U114" s="173"/>
      <c r="V114" s="165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4"/>
      <c r="AG114" s="16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65"/>
      <c r="AR114" s="173"/>
      <c r="AS114" s="173"/>
      <c r="AT114" s="173"/>
      <c r="AU114" s="173"/>
      <c r="AV114" s="173"/>
      <c r="AW114" s="173"/>
      <c r="AX114" s="173"/>
      <c r="AY114" s="173"/>
      <c r="AZ114" s="173"/>
      <c r="BA114" s="165"/>
      <c r="BB114" s="174"/>
    </row>
    <row r="115" spans="1:54" s="36" customFormat="1" ht="13.8" x14ac:dyDescent="0.3">
      <c r="A115" s="128"/>
      <c r="B115" s="133"/>
      <c r="C115" s="86"/>
      <c r="D115" s="79"/>
      <c r="E115" s="86"/>
      <c r="F115" s="86"/>
      <c r="G115" s="86"/>
      <c r="H115" s="134"/>
      <c r="I115" s="86"/>
      <c r="J115" s="134"/>
      <c r="K115" s="86"/>
      <c r="L115" s="86"/>
      <c r="M115" s="173"/>
      <c r="N115" s="173"/>
      <c r="O115" s="173"/>
      <c r="P115" s="173"/>
      <c r="Q115" s="173"/>
      <c r="R115" s="173"/>
      <c r="S115" s="173"/>
      <c r="T115" s="173"/>
      <c r="U115" s="173"/>
      <c r="V115" s="165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4"/>
      <c r="AG115" s="16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65"/>
      <c r="AR115" s="173"/>
      <c r="AS115" s="173"/>
      <c r="AT115" s="173"/>
      <c r="AU115" s="173"/>
      <c r="AV115" s="173"/>
      <c r="AW115" s="173"/>
      <c r="AX115" s="173"/>
      <c r="AY115" s="173"/>
      <c r="AZ115" s="173"/>
      <c r="BA115" s="165"/>
      <c r="BB115" s="174"/>
    </row>
    <row r="116" spans="1:54" s="36" customFormat="1" ht="13.8" x14ac:dyDescent="0.3">
      <c r="A116" s="128"/>
      <c r="B116" s="133"/>
      <c r="C116" s="86"/>
      <c r="D116" s="79"/>
      <c r="E116" s="86"/>
      <c r="F116" s="86"/>
      <c r="G116" s="86"/>
      <c r="H116" s="134"/>
      <c r="I116" s="86"/>
      <c r="J116" s="134"/>
      <c r="K116" s="86"/>
      <c r="L116" s="86"/>
      <c r="M116" s="173"/>
      <c r="N116" s="173"/>
      <c r="O116" s="173"/>
      <c r="P116" s="173"/>
      <c r="Q116" s="173"/>
      <c r="R116" s="173"/>
      <c r="S116" s="173"/>
      <c r="T116" s="173"/>
      <c r="U116" s="173"/>
      <c r="V116" s="165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4"/>
      <c r="AG116" s="16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65"/>
      <c r="AR116" s="173"/>
      <c r="AS116" s="173"/>
      <c r="AT116" s="173"/>
      <c r="AU116" s="173"/>
      <c r="AV116" s="173"/>
      <c r="AW116" s="173"/>
      <c r="AX116" s="173"/>
      <c r="AY116" s="173"/>
      <c r="AZ116" s="173"/>
      <c r="BA116" s="165"/>
      <c r="BB116" s="174"/>
    </row>
    <row r="117" spans="1:54" s="36" customFormat="1" ht="13.8" x14ac:dyDescent="0.3">
      <c r="A117" s="128"/>
      <c r="B117" s="133"/>
      <c r="C117" s="86"/>
      <c r="D117" s="79"/>
      <c r="E117" s="86"/>
      <c r="F117" s="86"/>
      <c r="G117" s="86"/>
      <c r="H117" s="134"/>
      <c r="I117" s="86"/>
      <c r="J117" s="134"/>
      <c r="K117" s="86"/>
      <c r="L117" s="86"/>
      <c r="M117" s="173"/>
      <c r="N117" s="173"/>
      <c r="O117" s="173"/>
      <c r="P117" s="173"/>
      <c r="Q117" s="173"/>
      <c r="R117" s="173"/>
      <c r="S117" s="173"/>
      <c r="T117" s="173"/>
      <c r="U117" s="173"/>
      <c r="V117" s="165"/>
      <c r="W117" s="173"/>
      <c r="X117" s="173"/>
      <c r="Y117" s="173"/>
      <c r="Z117" s="173"/>
      <c r="AA117" s="173"/>
      <c r="AB117" s="173"/>
      <c r="AC117" s="173"/>
      <c r="AD117" s="173"/>
      <c r="AE117" s="173"/>
      <c r="AF117" s="174"/>
      <c r="AG117" s="16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65"/>
      <c r="AR117" s="173"/>
      <c r="AS117" s="173"/>
      <c r="AT117" s="173"/>
      <c r="AU117" s="173"/>
      <c r="AV117" s="173"/>
      <c r="AW117" s="173"/>
      <c r="AX117" s="173"/>
      <c r="AY117" s="173"/>
      <c r="AZ117" s="173"/>
      <c r="BA117" s="165"/>
      <c r="BB117" s="174"/>
    </row>
    <row r="118" spans="1:54" s="36" customFormat="1" ht="13.8" x14ac:dyDescent="0.3">
      <c r="A118" s="128"/>
      <c r="B118" s="133"/>
      <c r="C118" s="86"/>
      <c r="D118" s="79"/>
      <c r="E118" s="86"/>
      <c r="F118" s="86"/>
      <c r="G118" s="86"/>
      <c r="H118" s="134"/>
      <c r="I118" s="86"/>
      <c r="J118" s="134"/>
      <c r="K118" s="86"/>
      <c r="L118" s="86"/>
      <c r="M118" s="173"/>
      <c r="N118" s="173"/>
      <c r="O118" s="173"/>
      <c r="P118" s="173"/>
      <c r="Q118" s="173"/>
      <c r="R118" s="173"/>
      <c r="S118" s="173"/>
      <c r="T118" s="173"/>
      <c r="U118" s="173"/>
      <c r="V118" s="165"/>
      <c r="W118" s="173"/>
      <c r="X118" s="173"/>
      <c r="Y118" s="173"/>
      <c r="Z118" s="173"/>
      <c r="AA118" s="173"/>
      <c r="AB118" s="173"/>
      <c r="AC118" s="173"/>
      <c r="AD118" s="173"/>
      <c r="AE118" s="173"/>
      <c r="AF118" s="174"/>
      <c r="AG118" s="16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65"/>
      <c r="AR118" s="173"/>
      <c r="AS118" s="173"/>
      <c r="AT118" s="173"/>
      <c r="AU118" s="173"/>
      <c r="AV118" s="173"/>
      <c r="AW118" s="173"/>
      <c r="AX118" s="173"/>
      <c r="AY118" s="173"/>
      <c r="AZ118" s="173"/>
      <c r="BA118" s="165"/>
      <c r="BB118" s="174"/>
    </row>
    <row r="119" spans="1:54" s="36" customFormat="1" ht="13.8" x14ac:dyDescent="0.3">
      <c r="A119" s="128"/>
      <c r="B119" s="133"/>
      <c r="C119" s="86"/>
      <c r="D119" s="79"/>
      <c r="E119" s="86"/>
      <c r="F119" s="86"/>
      <c r="G119" s="86"/>
      <c r="H119" s="134"/>
      <c r="I119" s="86"/>
      <c r="J119" s="134"/>
      <c r="K119" s="86"/>
      <c r="L119" s="86"/>
      <c r="M119" s="173"/>
      <c r="N119" s="173"/>
      <c r="O119" s="173"/>
      <c r="P119" s="173"/>
      <c r="Q119" s="173"/>
      <c r="R119" s="173"/>
      <c r="S119" s="173"/>
      <c r="T119" s="173"/>
      <c r="U119" s="173"/>
      <c r="V119" s="165"/>
      <c r="W119" s="173"/>
      <c r="X119" s="173"/>
      <c r="Y119" s="173"/>
      <c r="Z119" s="173"/>
      <c r="AA119" s="173"/>
      <c r="AB119" s="173"/>
      <c r="AC119" s="173"/>
      <c r="AD119" s="173"/>
      <c r="AE119" s="173"/>
      <c r="AF119" s="174"/>
      <c r="AG119" s="16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65"/>
      <c r="AR119" s="173"/>
      <c r="AS119" s="173"/>
      <c r="AT119" s="173"/>
      <c r="AU119" s="173"/>
      <c r="AV119" s="173"/>
      <c r="AW119" s="173"/>
      <c r="AX119" s="173"/>
      <c r="AY119" s="173"/>
      <c r="AZ119" s="173"/>
      <c r="BA119" s="165"/>
      <c r="BB119" s="174"/>
    </row>
    <row r="120" spans="1:54" s="36" customFormat="1" ht="13.8" x14ac:dyDescent="0.3">
      <c r="A120" s="128"/>
      <c r="B120" s="133"/>
      <c r="C120" s="86"/>
      <c r="D120" s="79"/>
      <c r="E120" s="86"/>
      <c r="F120" s="86"/>
      <c r="G120" s="86"/>
      <c r="H120" s="134"/>
      <c r="I120" s="86"/>
      <c r="J120" s="134"/>
      <c r="K120" s="86"/>
      <c r="L120" s="86"/>
      <c r="M120" s="173"/>
      <c r="N120" s="173"/>
      <c r="O120" s="173"/>
      <c r="P120" s="173"/>
      <c r="Q120" s="173"/>
      <c r="R120" s="173"/>
      <c r="S120" s="173"/>
      <c r="T120" s="173"/>
      <c r="U120" s="173"/>
      <c r="V120" s="165"/>
      <c r="W120" s="173"/>
      <c r="X120" s="173"/>
      <c r="Y120" s="173"/>
      <c r="Z120" s="173"/>
      <c r="AA120" s="173"/>
      <c r="AB120" s="173"/>
      <c r="AC120" s="173"/>
      <c r="AD120" s="173"/>
      <c r="AE120" s="173"/>
      <c r="AF120" s="174"/>
      <c r="AG120" s="16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65"/>
      <c r="AR120" s="173"/>
      <c r="AS120" s="173"/>
      <c r="AT120" s="173"/>
      <c r="AU120" s="173"/>
      <c r="AV120" s="173"/>
      <c r="AW120" s="173"/>
      <c r="AX120" s="173"/>
      <c r="AY120" s="173"/>
      <c r="AZ120" s="173"/>
      <c r="BA120" s="165"/>
      <c r="BB120" s="174"/>
    </row>
    <row r="121" spans="1:54" s="36" customFormat="1" ht="13.8" x14ac:dyDescent="0.3">
      <c r="A121" s="128"/>
      <c r="B121" s="133"/>
      <c r="C121" s="86"/>
      <c r="D121" s="79"/>
      <c r="E121" s="86"/>
      <c r="F121" s="86"/>
      <c r="G121" s="86"/>
      <c r="H121" s="134"/>
      <c r="I121" s="86"/>
      <c r="J121" s="134"/>
      <c r="K121" s="86"/>
      <c r="L121" s="86"/>
      <c r="M121" s="173"/>
      <c r="N121" s="173"/>
      <c r="O121" s="173"/>
      <c r="P121" s="173"/>
      <c r="Q121" s="173"/>
      <c r="R121" s="173"/>
      <c r="S121" s="173"/>
      <c r="T121" s="173"/>
      <c r="U121" s="173"/>
      <c r="V121" s="165"/>
      <c r="W121" s="173"/>
      <c r="X121" s="173"/>
      <c r="Y121" s="173"/>
      <c r="Z121" s="173"/>
      <c r="AA121" s="173"/>
      <c r="AB121" s="173"/>
      <c r="AC121" s="173"/>
      <c r="AD121" s="173"/>
      <c r="AE121" s="173"/>
      <c r="AF121" s="174"/>
      <c r="AG121" s="16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65"/>
      <c r="AR121" s="173"/>
      <c r="AS121" s="173"/>
      <c r="AT121" s="173"/>
      <c r="AU121" s="173"/>
      <c r="AV121" s="173"/>
      <c r="AW121" s="173"/>
      <c r="AX121" s="173"/>
      <c r="AY121" s="173"/>
      <c r="AZ121" s="173"/>
      <c r="BA121" s="165"/>
      <c r="BB121" s="174"/>
    </row>
    <row r="122" spans="1:54" s="36" customFormat="1" ht="13.8" x14ac:dyDescent="0.3">
      <c r="A122" s="128"/>
      <c r="B122" s="133"/>
      <c r="C122" s="86"/>
      <c r="D122" s="79"/>
      <c r="E122" s="86"/>
      <c r="F122" s="86"/>
      <c r="G122" s="86"/>
      <c r="H122" s="134"/>
      <c r="I122" s="86"/>
      <c r="J122" s="134"/>
      <c r="K122" s="86"/>
      <c r="L122" s="86"/>
      <c r="M122" s="173"/>
      <c r="N122" s="173"/>
      <c r="O122" s="173"/>
      <c r="P122" s="173"/>
      <c r="Q122" s="173"/>
      <c r="R122" s="173"/>
      <c r="S122" s="173"/>
      <c r="T122" s="173"/>
      <c r="U122" s="173"/>
      <c r="V122" s="165"/>
      <c r="W122" s="173"/>
      <c r="X122" s="173"/>
      <c r="Y122" s="173"/>
      <c r="Z122" s="173"/>
      <c r="AA122" s="173"/>
      <c r="AB122" s="173"/>
      <c r="AC122" s="173"/>
      <c r="AD122" s="173"/>
      <c r="AE122" s="173"/>
      <c r="AF122" s="174"/>
      <c r="AG122" s="16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65"/>
      <c r="AR122" s="173"/>
      <c r="AS122" s="173"/>
      <c r="AT122" s="173"/>
      <c r="AU122" s="173"/>
      <c r="AV122" s="173"/>
      <c r="AW122" s="173"/>
      <c r="AX122" s="173"/>
      <c r="AY122" s="173"/>
      <c r="AZ122" s="173"/>
      <c r="BA122" s="165"/>
      <c r="BB122" s="174"/>
    </row>
    <row r="123" spans="1:54" s="36" customFormat="1" ht="13.8" x14ac:dyDescent="0.3">
      <c r="A123" s="128"/>
      <c r="B123" s="133"/>
      <c r="C123" s="86"/>
      <c r="D123" s="79"/>
      <c r="E123" s="86"/>
      <c r="F123" s="86"/>
      <c r="G123" s="86"/>
      <c r="H123" s="134"/>
      <c r="I123" s="86"/>
      <c r="J123" s="134"/>
      <c r="K123" s="86"/>
      <c r="L123" s="86"/>
      <c r="M123" s="173"/>
      <c r="N123" s="173"/>
      <c r="O123" s="173"/>
      <c r="P123" s="173"/>
      <c r="Q123" s="173"/>
      <c r="R123" s="173"/>
      <c r="S123" s="173"/>
      <c r="T123" s="173"/>
      <c r="U123" s="173"/>
      <c r="V123" s="165"/>
      <c r="W123" s="173"/>
      <c r="X123" s="173"/>
      <c r="Y123" s="173"/>
      <c r="Z123" s="173"/>
      <c r="AA123" s="173"/>
      <c r="AB123" s="173"/>
      <c r="AC123" s="173"/>
      <c r="AD123" s="173"/>
      <c r="AE123" s="173"/>
      <c r="AF123" s="174"/>
      <c r="AG123" s="16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65"/>
      <c r="AR123" s="173"/>
      <c r="AS123" s="173"/>
      <c r="AT123" s="173"/>
      <c r="AU123" s="173"/>
      <c r="AV123" s="173"/>
      <c r="AW123" s="173"/>
      <c r="AX123" s="173"/>
      <c r="AY123" s="173"/>
      <c r="AZ123" s="173"/>
      <c r="BA123" s="165"/>
      <c r="BB123" s="174"/>
    </row>
    <row r="124" spans="1:54" s="36" customFormat="1" ht="13.8" x14ac:dyDescent="0.3">
      <c r="A124" s="128"/>
      <c r="B124" s="133"/>
      <c r="C124" s="86"/>
      <c r="D124" s="79"/>
      <c r="E124" s="86"/>
      <c r="F124" s="86"/>
      <c r="G124" s="86"/>
      <c r="H124" s="134"/>
      <c r="I124" s="86"/>
      <c r="J124" s="134"/>
      <c r="K124" s="86"/>
      <c r="L124" s="86"/>
      <c r="M124" s="173"/>
      <c r="N124" s="173"/>
      <c r="O124" s="173"/>
      <c r="P124" s="173"/>
      <c r="Q124" s="173"/>
      <c r="R124" s="173"/>
      <c r="S124" s="173"/>
      <c r="T124" s="173"/>
      <c r="U124" s="173"/>
      <c r="V124" s="165"/>
      <c r="W124" s="173"/>
      <c r="X124" s="173"/>
      <c r="Y124" s="173"/>
      <c r="Z124" s="173"/>
      <c r="AA124" s="173"/>
      <c r="AB124" s="173"/>
      <c r="AC124" s="173"/>
      <c r="AD124" s="173"/>
      <c r="AE124" s="173"/>
      <c r="AF124" s="174"/>
      <c r="AG124" s="16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65"/>
      <c r="AR124" s="173"/>
      <c r="AS124" s="173"/>
      <c r="AT124" s="173"/>
      <c r="AU124" s="173"/>
      <c r="AV124" s="173"/>
      <c r="AW124" s="173"/>
      <c r="AX124" s="173"/>
      <c r="AY124" s="173"/>
      <c r="AZ124" s="173"/>
      <c r="BA124" s="165"/>
      <c r="BB124" s="174"/>
    </row>
    <row r="125" spans="1:54" s="36" customFormat="1" ht="13.8" x14ac:dyDescent="0.3">
      <c r="A125" s="128"/>
      <c r="B125" s="133"/>
      <c r="C125" s="86"/>
      <c r="D125" s="79"/>
      <c r="E125" s="86"/>
      <c r="F125" s="86"/>
      <c r="G125" s="86"/>
      <c r="H125" s="134"/>
      <c r="I125" s="86"/>
      <c r="J125" s="134"/>
      <c r="K125" s="86"/>
      <c r="L125" s="86"/>
      <c r="M125" s="173"/>
      <c r="N125" s="173"/>
      <c r="O125" s="173"/>
      <c r="P125" s="173"/>
      <c r="Q125" s="173"/>
      <c r="R125" s="173"/>
      <c r="S125" s="173"/>
      <c r="T125" s="173"/>
      <c r="U125" s="173"/>
      <c r="V125" s="165"/>
      <c r="W125" s="173"/>
      <c r="X125" s="173"/>
      <c r="Y125" s="173"/>
      <c r="Z125" s="173"/>
      <c r="AA125" s="173"/>
      <c r="AB125" s="173"/>
      <c r="AC125" s="173"/>
      <c r="AD125" s="173"/>
      <c r="AE125" s="173"/>
      <c r="AF125" s="174"/>
      <c r="AG125" s="16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65"/>
      <c r="AR125" s="173"/>
      <c r="AS125" s="173"/>
      <c r="AT125" s="173"/>
      <c r="AU125" s="173"/>
      <c r="AV125" s="173"/>
      <c r="AW125" s="173"/>
      <c r="AX125" s="173"/>
      <c r="AY125" s="173"/>
      <c r="AZ125" s="173"/>
      <c r="BA125" s="165"/>
      <c r="BB125" s="174"/>
    </row>
    <row r="126" spans="1:54" s="36" customFormat="1" ht="13.8" x14ac:dyDescent="0.3">
      <c r="A126" s="128"/>
      <c r="B126" s="133"/>
      <c r="C126" s="86"/>
      <c r="D126" s="79"/>
      <c r="E126" s="86"/>
      <c r="F126" s="86"/>
      <c r="G126" s="86"/>
      <c r="H126" s="134"/>
      <c r="I126" s="86"/>
      <c r="J126" s="134"/>
      <c r="K126" s="86"/>
      <c r="L126" s="86"/>
      <c r="M126" s="173"/>
      <c r="N126" s="173"/>
      <c r="O126" s="173"/>
      <c r="P126" s="173"/>
      <c r="Q126" s="173"/>
      <c r="R126" s="173"/>
      <c r="S126" s="173"/>
      <c r="T126" s="173"/>
      <c r="U126" s="173"/>
      <c r="V126" s="165"/>
      <c r="W126" s="173"/>
      <c r="X126" s="173"/>
      <c r="Y126" s="173"/>
      <c r="Z126" s="173"/>
      <c r="AA126" s="173"/>
      <c r="AB126" s="173"/>
      <c r="AC126" s="173"/>
      <c r="AD126" s="173"/>
      <c r="AE126" s="173"/>
      <c r="AF126" s="174"/>
      <c r="AG126" s="16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65"/>
      <c r="AR126" s="173"/>
      <c r="AS126" s="173"/>
      <c r="AT126" s="173"/>
      <c r="AU126" s="173"/>
      <c r="AV126" s="173"/>
      <c r="AW126" s="173"/>
      <c r="AX126" s="173"/>
      <c r="AY126" s="173"/>
      <c r="AZ126" s="173"/>
      <c r="BA126" s="165"/>
      <c r="BB126" s="174"/>
    </row>
    <row r="127" spans="1:54" s="36" customFormat="1" ht="13.8" x14ac:dyDescent="0.3">
      <c r="A127" s="128"/>
      <c r="B127" s="133"/>
      <c r="C127" s="86"/>
      <c r="D127" s="79"/>
      <c r="E127" s="86"/>
      <c r="F127" s="86"/>
      <c r="G127" s="86"/>
      <c r="H127" s="134"/>
      <c r="I127" s="86"/>
      <c r="J127" s="134"/>
      <c r="K127" s="86"/>
      <c r="L127" s="86"/>
      <c r="M127" s="173"/>
      <c r="N127" s="173"/>
      <c r="O127" s="173"/>
      <c r="P127" s="173"/>
      <c r="Q127" s="173"/>
      <c r="R127" s="173"/>
      <c r="S127" s="173"/>
      <c r="T127" s="173"/>
      <c r="U127" s="173"/>
      <c r="V127" s="165"/>
      <c r="W127" s="173"/>
      <c r="X127" s="173"/>
      <c r="Y127" s="173"/>
      <c r="Z127" s="173"/>
      <c r="AA127" s="173"/>
      <c r="AB127" s="173"/>
      <c r="AC127" s="173"/>
      <c r="AD127" s="173"/>
      <c r="AE127" s="173"/>
      <c r="AF127" s="174"/>
      <c r="AG127" s="16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65"/>
      <c r="AR127" s="173"/>
      <c r="AS127" s="173"/>
      <c r="AT127" s="173"/>
      <c r="AU127" s="173"/>
      <c r="AV127" s="173"/>
      <c r="AW127" s="173"/>
      <c r="AX127" s="173"/>
      <c r="AY127" s="173"/>
      <c r="AZ127" s="173"/>
      <c r="BA127" s="165"/>
      <c r="BB127" s="174"/>
    </row>
    <row r="128" spans="1:54" s="36" customFormat="1" ht="13.8" x14ac:dyDescent="0.3">
      <c r="A128" s="128"/>
      <c r="B128" s="133"/>
      <c r="C128" s="86"/>
      <c r="D128" s="79"/>
      <c r="E128" s="86"/>
      <c r="F128" s="86"/>
      <c r="G128" s="86"/>
      <c r="H128" s="134"/>
      <c r="I128" s="86"/>
      <c r="J128" s="134"/>
      <c r="K128" s="86"/>
      <c r="L128" s="86"/>
      <c r="M128" s="173"/>
      <c r="N128" s="173"/>
      <c r="O128" s="173"/>
      <c r="P128" s="173"/>
      <c r="Q128" s="173"/>
      <c r="R128" s="173"/>
      <c r="S128" s="173"/>
      <c r="T128" s="173"/>
      <c r="U128" s="173"/>
      <c r="V128" s="165"/>
      <c r="W128" s="173"/>
      <c r="X128" s="173"/>
      <c r="Y128" s="173"/>
      <c r="Z128" s="173"/>
      <c r="AA128" s="173"/>
      <c r="AB128" s="173"/>
      <c r="AC128" s="173"/>
      <c r="AD128" s="173"/>
      <c r="AE128" s="173"/>
      <c r="AF128" s="174"/>
      <c r="AG128" s="16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65"/>
      <c r="AR128" s="173"/>
      <c r="AS128" s="173"/>
      <c r="AT128" s="173"/>
      <c r="AU128" s="173"/>
      <c r="AV128" s="173"/>
      <c r="AW128" s="173"/>
      <c r="AX128" s="173"/>
      <c r="AY128" s="173"/>
      <c r="AZ128" s="173"/>
      <c r="BA128" s="165"/>
      <c r="BB128" s="174"/>
    </row>
    <row r="129" spans="1:54" s="36" customFormat="1" ht="13.8" x14ac:dyDescent="0.3">
      <c r="A129" s="128"/>
      <c r="B129" s="133"/>
      <c r="C129" s="86"/>
      <c r="D129" s="79"/>
      <c r="E129" s="86"/>
      <c r="F129" s="86"/>
      <c r="G129" s="86"/>
      <c r="H129" s="134"/>
      <c r="I129" s="86"/>
      <c r="J129" s="134"/>
      <c r="K129" s="86"/>
      <c r="L129" s="86"/>
      <c r="M129" s="173"/>
      <c r="N129" s="173"/>
      <c r="O129" s="173"/>
      <c r="P129" s="173"/>
      <c r="Q129" s="173"/>
      <c r="R129" s="173"/>
      <c r="S129" s="173"/>
      <c r="T129" s="173"/>
      <c r="U129" s="173"/>
      <c r="V129" s="165"/>
      <c r="W129" s="173"/>
      <c r="X129" s="173"/>
      <c r="Y129" s="173"/>
      <c r="Z129" s="173"/>
      <c r="AA129" s="173"/>
      <c r="AB129" s="173"/>
      <c r="AC129" s="173"/>
      <c r="AD129" s="173"/>
      <c r="AE129" s="173"/>
      <c r="AF129" s="174"/>
      <c r="AG129" s="16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65"/>
      <c r="AR129" s="173"/>
      <c r="AS129" s="173"/>
      <c r="AT129" s="173"/>
      <c r="AU129" s="173"/>
      <c r="AV129" s="173"/>
      <c r="AW129" s="173"/>
      <c r="AX129" s="173"/>
      <c r="AY129" s="173"/>
      <c r="AZ129" s="173"/>
      <c r="BA129" s="165"/>
      <c r="BB129" s="174"/>
    </row>
    <row r="130" spans="1:54" s="36" customFormat="1" ht="13.8" x14ac:dyDescent="0.3">
      <c r="A130" s="128"/>
      <c r="B130" s="133"/>
      <c r="C130" s="86"/>
      <c r="D130" s="79"/>
      <c r="E130" s="86"/>
      <c r="F130" s="86"/>
      <c r="G130" s="86"/>
      <c r="H130" s="134"/>
      <c r="I130" s="86"/>
      <c r="J130" s="134"/>
      <c r="K130" s="86"/>
      <c r="L130" s="86"/>
      <c r="M130" s="173"/>
      <c r="N130" s="173"/>
      <c r="O130" s="173"/>
      <c r="P130" s="173"/>
      <c r="Q130" s="173"/>
      <c r="R130" s="173"/>
      <c r="S130" s="173"/>
      <c r="T130" s="173"/>
      <c r="U130" s="173"/>
      <c r="V130" s="165"/>
      <c r="W130" s="173"/>
      <c r="X130" s="173"/>
      <c r="Y130" s="173"/>
      <c r="Z130" s="173"/>
      <c r="AA130" s="173"/>
      <c r="AB130" s="173"/>
      <c r="AC130" s="173"/>
      <c r="AD130" s="173"/>
      <c r="AE130" s="173"/>
      <c r="AF130" s="174"/>
      <c r="AG130" s="16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65"/>
      <c r="AR130" s="173"/>
      <c r="AS130" s="173"/>
      <c r="AT130" s="173"/>
      <c r="AU130" s="173"/>
      <c r="AV130" s="173"/>
      <c r="AW130" s="173"/>
      <c r="AX130" s="173"/>
      <c r="AY130" s="173"/>
      <c r="AZ130" s="173"/>
      <c r="BA130" s="165"/>
      <c r="BB130" s="174"/>
    </row>
    <row r="131" spans="1:54" s="36" customFormat="1" ht="13.8" x14ac:dyDescent="0.3">
      <c r="A131" s="128"/>
      <c r="B131" s="133"/>
      <c r="C131" s="86"/>
      <c r="D131" s="79"/>
      <c r="E131" s="86"/>
      <c r="F131" s="86"/>
      <c r="G131" s="86"/>
      <c r="H131" s="134"/>
      <c r="I131" s="86"/>
      <c r="J131" s="134"/>
      <c r="K131" s="86"/>
      <c r="L131" s="86"/>
      <c r="M131" s="173"/>
      <c r="N131" s="173"/>
      <c r="O131" s="173"/>
      <c r="P131" s="173"/>
      <c r="Q131" s="173"/>
      <c r="R131" s="173"/>
      <c r="S131" s="173"/>
      <c r="T131" s="173"/>
      <c r="U131" s="173"/>
      <c r="V131" s="165"/>
      <c r="W131" s="173"/>
      <c r="X131" s="173"/>
      <c r="Y131" s="173"/>
      <c r="Z131" s="173"/>
      <c r="AA131" s="173"/>
      <c r="AB131" s="173"/>
      <c r="AC131" s="173"/>
      <c r="AD131" s="173"/>
      <c r="AE131" s="173"/>
      <c r="AF131" s="174"/>
      <c r="AG131" s="16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65"/>
      <c r="AR131" s="173"/>
      <c r="AS131" s="173"/>
      <c r="AT131" s="173"/>
      <c r="AU131" s="173"/>
      <c r="AV131" s="173"/>
      <c r="AW131" s="173"/>
      <c r="AX131" s="173"/>
      <c r="AY131" s="173"/>
      <c r="AZ131" s="173"/>
      <c r="BA131" s="165"/>
      <c r="BB131" s="174"/>
    </row>
    <row r="132" spans="1:54" s="36" customFormat="1" ht="13.8" x14ac:dyDescent="0.3">
      <c r="A132" s="128"/>
      <c r="B132" s="133"/>
      <c r="C132" s="86"/>
      <c r="D132" s="79"/>
      <c r="E132" s="86"/>
      <c r="F132" s="86"/>
      <c r="G132" s="86"/>
      <c r="H132" s="134"/>
      <c r="I132" s="86"/>
      <c r="J132" s="134"/>
      <c r="K132" s="86"/>
      <c r="L132" s="86"/>
      <c r="M132" s="173"/>
      <c r="N132" s="173"/>
      <c r="O132" s="173"/>
      <c r="P132" s="173"/>
      <c r="Q132" s="173"/>
      <c r="R132" s="173"/>
      <c r="S132" s="173"/>
      <c r="T132" s="173"/>
      <c r="U132" s="173"/>
      <c r="V132" s="165"/>
      <c r="W132" s="173"/>
      <c r="X132" s="173"/>
      <c r="Y132" s="173"/>
      <c r="Z132" s="173"/>
      <c r="AA132" s="173"/>
      <c r="AB132" s="173"/>
      <c r="AC132" s="173"/>
      <c r="AD132" s="173"/>
      <c r="AE132" s="173"/>
      <c r="AF132" s="174"/>
      <c r="AG132" s="16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65"/>
      <c r="AR132" s="173"/>
      <c r="AS132" s="173"/>
      <c r="AT132" s="173"/>
      <c r="AU132" s="173"/>
      <c r="AV132" s="173"/>
      <c r="AW132" s="173"/>
      <c r="AX132" s="173"/>
      <c r="AY132" s="173"/>
      <c r="AZ132" s="173"/>
      <c r="BA132" s="165"/>
      <c r="BB132" s="174"/>
    </row>
    <row r="133" spans="1:54" s="36" customFormat="1" ht="13.8" x14ac:dyDescent="0.3">
      <c r="A133" s="128"/>
      <c r="B133" s="133"/>
      <c r="C133" s="86"/>
      <c r="D133" s="79"/>
      <c r="E133" s="86"/>
      <c r="F133" s="86"/>
      <c r="G133" s="86"/>
      <c r="H133" s="134"/>
      <c r="I133" s="86"/>
      <c r="J133" s="134"/>
      <c r="K133" s="86"/>
      <c r="L133" s="86"/>
      <c r="M133" s="173"/>
      <c r="N133" s="173"/>
      <c r="O133" s="173"/>
      <c r="P133" s="173"/>
      <c r="Q133" s="173"/>
      <c r="R133" s="173"/>
      <c r="S133" s="173"/>
      <c r="T133" s="173"/>
      <c r="U133" s="173"/>
      <c r="V133" s="165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4"/>
      <c r="AG133" s="16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65"/>
      <c r="AR133" s="173"/>
      <c r="AS133" s="173"/>
      <c r="AT133" s="173"/>
      <c r="AU133" s="173"/>
      <c r="AV133" s="173"/>
      <c r="AW133" s="173"/>
      <c r="AX133" s="173"/>
      <c r="AY133" s="173"/>
      <c r="AZ133" s="173"/>
      <c r="BA133" s="165"/>
      <c r="BB133" s="174"/>
    </row>
    <row r="134" spans="1:54" s="36" customFormat="1" ht="13.8" x14ac:dyDescent="0.3">
      <c r="A134" s="128"/>
      <c r="B134" s="133"/>
      <c r="C134" s="86"/>
      <c r="D134" s="79"/>
      <c r="E134" s="86"/>
      <c r="F134" s="86"/>
      <c r="G134" s="86"/>
      <c r="H134" s="134"/>
      <c r="I134" s="86"/>
      <c r="J134" s="134"/>
      <c r="K134" s="86"/>
      <c r="L134" s="86"/>
      <c r="M134" s="173"/>
      <c r="N134" s="173"/>
      <c r="O134" s="173"/>
      <c r="P134" s="173"/>
      <c r="Q134" s="173"/>
      <c r="R134" s="173"/>
      <c r="S134" s="173"/>
      <c r="T134" s="173"/>
      <c r="U134" s="173"/>
      <c r="V134" s="165"/>
      <c r="W134" s="173"/>
      <c r="X134" s="173"/>
      <c r="Y134" s="173"/>
      <c r="Z134" s="173"/>
      <c r="AA134" s="173"/>
      <c r="AB134" s="173"/>
      <c r="AC134" s="173"/>
      <c r="AD134" s="173"/>
      <c r="AE134" s="173"/>
      <c r="AF134" s="174"/>
      <c r="AG134" s="16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65"/>
      <c r="AR134" s="173"/>
      <c r="AS134" s="173"/>
      <c r="AT134" s="173"/>
      <c r="AU134" s="173"/>
      <c r="AV134" s="173"/>
      <c r="AW134" s="173"/>
      <c r="AX134" s="173"/>
      <c r="AY134" s="173"/>
      <c r="AZ134" s="173"/>
      <c r="BA134" s="165"/>
      <c r="BB134" s="174"/>
    </row>
    <row r="135" spans="1:54" s="36" customFormat="1" ht="13.8" x14ac:dyDescent="0.3">
      <c r="A135" s="128"/>
      <c r="B135" s="133"/>
      <c r="C135" s="86"/>
      <c r="D135" s="79"/>
      <c r="E135" s="86"/>
      <c r="F135" s="86"/>
      <c r="G135" s="86"/>
      <c r="H135" s="134"/>
      <c r="I135" s="86"/>
      <c r="J135" s="134"/>
      <c r="K135" s="86"/>
      <c r="L135" s="86"/>
      <c r="M135" s="173"/>
      <c r="N135" s="173"/>
      <c r="O135" s="173"/>
      <c r="P135" s="173"/>
      <c r="Q135" s="173"/>
      <c r="R135" s="173"/>
      <c r="S135" s="173"/>
      <c r="T135" s="173"/>
      <c r="U135" s="173"/>
      <c r="V135" s="165"/>
      <c r="W135" s="173"/>
      <c r="X135" s="173"/>
      <c r="Y135" s="173"/>
      <c r="Z135" s="173"/>
      <c r="AA135" s="173"/>
      <c r="AB135" s="173"/>
      <c r="AC135" s="173"/>
      <c r="AD135" s="173"/>
      <c r="AE135" s="173"/>
      <c r="AF135" s="174"/>
      <c r="AG135" s="16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65"/>
      <c r="AR135" s="173"/>
      <c r="AS135" s="173"/>
      <c r="AT135" s="173"/>
      <c r="AU135" s="173"/>
      <c r="AV135" s="173"/>
      <c r="AW135" s="173"/>
      <c r="AX135" s="173"/>
      <c r="AY135" s="173"/>
      <c r="AZ135" s="173"/>
      <c r="BA135" s="165"/>
      <c r="BB135" s="174"/>
    </row>
    <row r="136" spans="1:54" s="36" customFormat="1" ht="13.8" x14ac:dyDescent="0.3">
      <c r="A136" s="128"/>
      <c r="B136" s="133"/>
      <c r="C136" s="86"/>
      <c r="D136" s="79"/>
      <c r="E136" s="86"/>
      <c r="F136" s="86"/>
      <c r="G136" s="86"/>
      <c r="H136" s="134"/>
      <c r="I136" s="86"/>
      <c r="J136" s="134"/>
      <c r="K136" s="86"/>
      <c r="L136" s="86"/>
      <c r="M136" s="173"/>
      <c r="N136" s="173"/>
      <c r="O136" s="173"/>
      <c r="P136" s="173"/>
      <c r="Q136" s="173"/>
      <c r="R136" s="173"/>
      <c r="S136" s="173"/>
      <c r="T136" s="173"/>
      <c r="U136" s="173"/>
      <c r="V136" s="165"/>
      <c r="W136" s="173"/>
      <c r="X136" s="173"/>
      <c r="Y136" s="173"/>
      <c r="Z136" s="173"/>
      <c r="AA136" s="173"/>
      <c r="AB136" s="173"/>
      <c r="AC136" s="173"/>
      <c r="AD136" s="173"/>
      <c r="AE136" s="173"/>
      <c r="AF136" s="174"/>
      <c r="AG136" s="16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65"/>
      <c r="AR136" s="173"/>
      <c r="AS136" s="173"/>
      <c r="AT136" s="173"/>
      <c r="AU136" s="173"/>
      <c r="AV136" s="173"/>
      <c r="AW136" s="173"/>
      <c r="AX136" s="173"/>
      <c r="AY136" s="173"/>
      <c r="AZ136" s="173"/>
      <c r="BA136" s="165"/>
      <c r="BB136" s="174"/>
    </row>
    <row r="137" spans="1:54" s="36" customFormat="1" ht="13.8" x14ac:dyDescent="0.3">
      <c r="A137" s="128"/>
      <c r="B137" s="133"/>
      <c r="C137" s="86"/>
      <c r="D137" s="79"/>
      <c r="E137" s="86"/>
      <c r="F137" s="86"/>
      <c r="G137" s="86"/>
      <c r="H137" s="134"/>
      <c r="I137" s="86"/>
      <c r="J137" s="134"/>
      <c r="K137" s="86"/>
      <c r="L137" s="86"/>
      <c r="M137" s="173"/>
      <c r="N137" s="173"/>
      <c r="O137" s="173"/>
      <c r="P137" s="173"/>
      <c r="Q137" s="173"/>
      <c r="R137" s="173"/>
      <c r="S137" s="173"/>
      <c r="T137" s="173"/>
      <c r="U137" s="173"/>
      <c r="V137" s="165"/>
      <c r="W137" s="173"/>
      <c r="X137" s="173"/>
      <c r="Y137" s="173"/>
      <c r="Z137" s="173"/>
      <c r="AA137" s="173"/>
      <c r="AB137" s="173"/>
      <c r="AC137" s="173"/>
      <c r="AD137" s="173"/>
      <c r="AE137" s="173"/>
      <c r="AF137" s="174"/>
      <c r="AG137" s="16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65"/>
      <c r="AR137" s="173"/>
      <c r="AS137" s="173"/>
      <c r="AT137" s="173"/>
      <c r="AU137" s="173"/>
      <c r="AV137" s="173"/>
      <c r="AW137" s="173"/>
      <c r="AX137" s="173"/>
      <c r="AY137" s="173"/>
      <c r="AZ137" s="173"/>
      <c r="BA137" s="165"/>
      <c r="BB137" s="174"/>
    </row>
    <row r="138" spans="1:54" s="36" customFormat="1" ht="13.8" x14ac:dyDescent="0.3">
      <c r="A138" s="128"/>
      <c r="B138" s="133"/>
      <c r="C138" s="86"/>
      <c r="D138" s="79"/>
      <c r="E138" s="86"/>
      <c r="F138" s="86"/>
      <c r="G138" s="86"/>
      <c r="H138" s="134"/>
      <c r="I138" s="86"/>
      <c r="J138" s="134"/>
      <c r="K138" s="86"/>
      <c r="L138" s="86"/>
      <c r="M138" s="173"/>
      <c r="N138" s="173"/>
      <c r="O138" s="173"/>
      <c r="P138" s="173"/>
      <c r="Q138" s="173"/>
      <c r="R138" s="173"/>
      <c r="S138" s="173"/>
      <c r="T138" s="173"/>
      <c r="U138" s="173"/>
      <c r="V138" s="165"/>
      <c r="W138" s="173"/>
      <c r="X138" s="173"/>
      <c r="Y138" s="173"/>
      <c r="Z138" s="173"/>
      <c r="AA138" s="173"/>
      <c r="AB138" s="173"/>
      <c r="AC138" s="173"/>
      <c r="AD138" s="173"/>
      <c r="AE138" s="173"/>
      <c r="AF138" s="174"/>
      <c r="AG138" s="16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65"/>
      <c r="AR138" s="173"/>
      <c r="AS138" s="173"/>
      <c r="AT138" s="173"/>
      <c r="AU138" s="173"/>
      <c r="AV138" s="173"/>
      <c r="AW138" s="173"/>
      <c r="AX138" s="173"/>
      <c r="AY138" s="173"/>
      <c r="AZ138" s="173"/>
      <c r="BA138" s="165"/>
      <c r="BB138" s="174"/>
    </row>
    <row r="139" spans="1:54" s="36" customFormat="1" ht="13.8" x14ac:dyDescent="0.3">
      <c r="A139" s="128"/>
      <c r="B139" s="133"/>
      <c r="C139" s="86"/>
      <c r="D139" s="79"/>
      <c r="E139" s="86"/>
      <c r="F139" s="86"/>
      <c r="G139" s="86"/>
      <c r="H139" s="134"/>
      <c r="I139" s="86"/>
      <c r="J139" s="134"/>
      <c r="K139" s="86"/>
      <c r="L139" s="86"/>
      <c r="M139" s="173"/>
      <c r="N139" s="173"/>
      <c r="O139" s="173"/>
      <c r="P139" s="173"/>
      <c r="Q139" s="173"/>
      <c r="R139" s="173"/>
      <c r="S139" s="173"/>
      <c r="T139" s="173"/>
      <c r="U139" s="173"/>
      <c r="V139" s="165"/>
      <c r="W139" s="173"/>
      <c r="X139" s="173"/>
      <c r="Y139" s="173"/>
      <c r="Z139" s="173"/>
      <c r="AA139" s="173"/>
      <c r="AB139" s="173"/>
      <c r="AC139" s="173"/>
      <c r="AD139" s="173"/>
      <c r="AE139" s="173"/>
      <c r="AF139" s="174"/>
      <c r="AG139" s="16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65"/>
      <c r="AR139" s="173"/>
      <c r="AS139" s="173"/>
      <c r="AT139" s="173"/>
      <c r="AU139" s="173"/>
      <c r="AV139" s="173"/>
      <c r="AW139" s="173"/>
      <c r="AX139" s="173"/>
      <c r="AY139" s="173"/>
      <c r="AZ139" s="173"/>
      <c r="BA139" s="165"/>
      <c r="BB139" s="174"/>
    </row>
    <row r="140" spans="1:54" s="36" customFormat="1" ht="13.8" x14ac:dyDescent="0.3">
      <c r="A140" s="128"/>
      <c r="B140" s="133"/>
      <c r="C140" s="86"/>
      <c r="D140" s="79"/>
      <c r="E140" s="86"/>
      <c r="F140" s="86"/>
      <c r="G140" s="86"/>
      <c r="H140" s="134"/>
      <c r="I140" s="86"/>
      <c r="J140" s="134"/>
      <c r="K140" s="86"/>
      <c r="L140" s="86"/>
      <c r="M140" s="173"/>
      <c r="N140" s="173"/>
      <c r="O140" s="173"/>
      <c r="P140" s="173"/>
      <c r="Q140" s="173"/>
      <c r="R140" s="173"/>
      <c r="S140" s="173"/>
      <c r="T140" s="173"/>
      <c r="U140" s="173"/>
      <c r="V140" s="165"/>
      <c r="W140" s="173"/>
      <c r="X140" s="173"/>
      <c r="Y140" s="173"/>
      <c r="Z140" s="173"/>
      <c r="AA140" s="173"/>
      <c r="AB140" s="173"/>
      <c r="AC140" s="173"/>
      <c r="AD140" s="173"/>
      <c r="AE140" s="173"/>
      <c r="AF140" s="174"/>
      <c r="AG140" s="16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65"/>
      <c r="AR140" s="173"/>
      <c r="AS140" s="173"/>
      <c r="AT140" s="173"/>
      <c r="AU140" s="173"/>
      <c r="AV140" s="173"/>
      <c r="AW140" s="173"/>
      <c r="AX140" s="173"/>
      <c r="AY140" s="173"/>
      <c r="AZ140" s="173"/>
      <c r="BA140" s="165"/>
      <c r="BB140" s="174"/>
    </row>
    <row r="141" spans="1:54" s="36" customFormat="1" ht="13.8" x14ac:dyDescent="0.3">
      <c r="A141" s="128"/>
      <c r="B141" s="133"/>
      <c r="C141" s="86"/>
      <c r="D141" s="79"/>
      <c r="E141" s="86"/>
      <c r="F141" s="86"/>
      <c r="G141" s="86"/>
      <c r="H141" s="134"/>
      <c r="I141" s="86"/>
      <c r="J141" s="134"/>
      <c r="K141" s="86"/>
      <c r="L141" s="86"/>
      <c r="M141" s="173"/>
      <c r="N141" s="173"/>
      <c r="O141" s="173"/>
      <c r="P141" s="173"/>
      <c r="Q141" s="173"/>
      <c r="R141" s="173"/>
      <c r="S141" s="173"/>
      <c r="T141" s="173"/>
      <c r="U141" s="173"/>
      <c r="V141" s="165"/>
      <c r="W141" s="173"/>
      <c r="X141" s="173"/>
      <c r="Y141" s="173"/>
      <c r="Z141" s="173"/>
      <c r="AA141" s="173"/>
      <c r="AB141" s="173"/>
      <c r="AC141" s="173"/>
      <c r="AD141" s="173"/>
      <c r="AE141" s="173"/>
      <c r="AF141" s="174"/>
      <c r="AG141" s="16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65"/>
      <c r="AR141" s="173"/>
      <c r="AS141" s="173"/>
      <c r="AT141" s="173"/>
      <c r="AU141" s="173"/>
      <c r="AV141" s="173"/>
      <c r="AW141" s="173"/>
      <c r="AX141" s="173"/>
      <c r="AY141" s="173"/>
      <c r="AZ141" s="173"/>
      <c r="BA141" s="165"/>
      <c r="BB141" s="174"/>
    </row>
    <row r="142" spans="1:54" s="36" customFormat="1" ht="13.8" x14ac:dyDescent="0.3">
      <c r="A142" s="128"/>
      <c r="B142" s="133"/>
      <c r="C142" s="86"/>
      <c r="D142" s="79"/>
      <c r="E142" s="86"/>
      <c r="F142" s="86"/>
      <c r="G142" s="86"/>
      <c r="H142" s="134"/>
      <c r="I142" s="86"/>
      <c r="J142" s="134"/>
      <c r="K142" s="86"/>
      <c r="L142" s="86"/>
      <c r="M142" s="173"/>
      <c r="N142" s="173"/>
      <c r="O142" s="173"/>
      <c r="P142" s="173"/>
      <c r="Q142" s="173"/>
      <c r="R142" s="173"/>
      <c r="S142" s="173"/>
      <c r="T142" s="173"/>
      <c r="U142" s="173"/>
      <c r="V142" s="165"/>
      <c r="W142" s="173"/>
      <c r="X142" s="173"/>
      <c r="Y142" s="173"/>
      <c r="Z142" s="173"/>
      <c r="AA142" s="173"/>
      <c r="AB142" s="173"/>
      <c r="AC142" s="173"/>
      <c r="AD142" s="173"/>
      <c r="AE142" s="173"/>
      <c r="AF142" s="174"/>
      <c r="AG142" s="16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65"/>
      <c r="AR142" s="173"/>
      <c r="AS142" s="173"/>
      <c r="AT142" s="173"/>
      <c r="AU142" s="173"/>
      <c r="AV142" s="173"/>
      <c r="AW142" s="173"/>
      <c r="AX142" s="173"/>
      <c r="AY142" s="173"/>
      <c r="AZ142" s="173"/>
      <c r="BA142" s="165"/>
      <c r="BB142" s="174"/>
    </row>
    <row r="143" spans="1:54" s="36" customFormat="1" ht="13.8" x14ac:dyDescent="0.3">
      <c r="A143" s="128"/>
      <c r="B143" s="133"/>
      <c r="C143" s="86"/>
      <c r="D143" s="79"/>
      <c r="E143" s="86"/>
      <c r="F143" s="86"/>
      <c r="G143" s="86"/>
      <c r="H143" s="134"/>
      <c r="I143" s="86"/>
      <c r="J143" s="134"/>
      <c r="K143" s="86"/>
      <c r="L143" s="86"/>
      <c r="M143" s="173"/>
      <c r="N143" s="173"/>
      <c r="O143" s="173"/>
      <c r="P143" s="173"/>
      <c r="Q143" s="173"/>
      <c r="R143" s="173"/>
      <c r="S143" s="173"/>
      <c r="T143" s="173"/>
      <c r="U143" s="173"/>
      <c r="V143" s="165"/>
      <c r="W143" s="173"/>
      <c r="X143" s="173"/>
      <c r="Y143" s="173"/>
      <c r="Z143" s="173"/>
      <c r="AA143" s="173"/>
      <c r="AB143" s="173"/>
      <c r="AC143" s="173"/>
      <c r="AD143" s="173"/>
      <c r="AE143" s="173"/>
      <c r="AF143" s="174"/>
      <c r="AG143" s="16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65"/>
      <c r="AR143" s="173"/>
      <c r="AS143" s="173"/>
      <c r="AT143" s="173"/>
      <c r="AU143" s="173"/>
      <c r="AV143" s="173"/>
      <c r="AW143" s="173"/>
      <c r="AX143" s="173"/>
      <c r="AY143" s="173"/>
      <c r="AZ143" s="173"/>
      <c r="BA143" s="165"/>
      <c r="BB143" s="174"/>
    </row>
    <row r="144" spans="1:54" s="36" customFormat="1" ht="13.8" x14ac:dyDescent="0.3">
      <c r="A144" s="128"/>
      <c r="B144" s="133"/>
      <c r="C144" s="86"/>
      <c r="D144" s="79"/>
      <c r="E144" s="86"/>
      <c r="F144" s="86"/>
      <c r="G144" s="86"/>
      <c r="H144" s="134"/>
      <c r="I144" s="86"/>
      <c r="J144" s="134"/>
      <c r="K144" s="86"/>
      <c r="L144" s="86"/>
      <c r="M144" s="173"/>
      <c r="N144" s="173"/>
      <c r="O144" s="173"/>
      <c r="P144" s="173"/>
      <c r="Q144" s="173"/>
      <c r="R144" s="173"/>
      <c r="S144" s="173"/>
      <c r="T144" s="173"/>
      <c r="U144" s="173"/>
      <c r="V144" s="165"/>
      <c r="W144" s="173"/>
      <c r="X144" s="173"/>
      <c r="Y144" s="173"/>
      <c r="Z144" s="173"/>
      <c r="AA144" s="173"/>
      <c r="AB144" s="173"/>
      <c r="AC144" s="173"/>
      <c r="AD144" s="173"/>
      <c r="AE144" s="173"/>
      <c r="AF144" s="174"/>
      <c r="AG144" s="16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65"/>
      <c r="AR144" s="173"/>
      <c r="AS144" s="173"/>
      <c r="AT144" s="173"/>
      <c r="AU144" s="173"/>
      <c r="AV144" s="173"/>
      <c r="AW144" s="173"/>
      <c r="AX144" s="173"/>
      <c r="AY144" s="173"/>
      <c r="AZ144" s="173"/>
      <c r="BA144" s="165"/>
      <c r="BB144" s="174"/>
    </row>
    <row r="145" spans="1:54" s="36" customFormat="1" ht="13.8" x14ac:dyDescent="0.3">
      <c r="A145" s="128"/>
      <c r="B145" s="133"/>
      <c r="C145" s="86"/>
      <c r="D145" s="79"/>
      <c r="E145" s="86"/>
      <c r="F145" s="86"/>
      <c r="G145" s="86"/>
      <c r="H145" s="134"/>
      <c r="I145" s="86"/>
      <c r="J145" s="134"/>
      <c r="K145" s="86"/>
      <c r="L145" s="86"/>
      <c r="M145" s="173"/>
      <c r="N145" s="173"/>
      <c r="O145" s="173"/>
      <c r="P145" s="173"/>
      <c r="Q145" s="173"/>
      <c r="R145" s="173"/>
      <c r="S145" s="173"/>
      <c r="T145" s="173"/>
      <c r="U145" s="173"/>
      <c r="V145" s="165"/>
      <c r="W145" s="173"/>
      <c r="X145" s="173"/>
      <c r="Y145" s="173"/>
      <c r="Z145" s="173"/>
      <c r="AA145" s="173"/>
      <c r="AB145" s="173"/>
      <c r="AC145" s="173"/>
      <c r="AD145" s="173"/>
      <c r="AE145" s="173"/>
      <c r="AF145" s="174"/>
      <c r="AG145" s="165"/>
      <c r="AH145" s="175"/>
      <c r="AI145" s="175"/>
      <c r="AJ145" s="175"/>
      <c r="AK145" s="175"/>
      <c r="AL145" s="175"/>
      <c r="AM145" s="175"/>
      <c r="AN145" s="175"/>
      <c r="AO145" s="175"/>
      <c r="AP145" s="175"/>
      <c r="AQ145" s="165"/>
      <c r="AR145" s="173"/>
      <c r="AS145" s="173"/>
      <c r="AT145" s="173"/>
      <c r="AU145" s="173"/>
      <c r="AV145" s="173"/>
      <c r="AW145" s="173"/>
      <c r="AX145" s="173"/>
      <c r="AY145" s="173"/>
      <c r="AZ145" s="173"/>
      <c r="BA145" s="165"/>
      <c r="BB145" s="174"/>
    </row>
    <row r="146" spans="1:54" s="36" customFormat="1" ht="13.8" x14ac:dyDescent="0.3">
      <c r="A146" s="128"/>
      <c r="B146" s="133"/>
      <c r="C146" s="86"/>
      <c r="D146" s="79"/>
      <c r="E146" s="86"/>
      <c r="F146" s="86"/>
      <c r="G146" s="86"/>
      <c r="H146" s="134"/>
      <c r="I146" s="86"/>
      <c r="J146" s="134"/>
      <c r="K146" s="86"/>
      <c r="L146" s="86"/>
      <c r="M146" s="173"/>
      <c r="N146" s="173"/>
      <c r="O146" s="173"/>
      <c r="P146" s="173"/>
      <c r="Q146" s="173"/>
      <c r="R146" s="173"/>
      <c r="S146" s="173"/>
      <c r="T146" s="173"/>
      <c r="U146" s="173"/>
      <c r="V146" s="165"/>
      <c r="W146" s="173"/>
      <c r="X146" s="173"/>
      <c r="Y146" s="173"/>
      <c r="Z146" s="173"/>
      <c r="AA146" s="173"/>
      <c r="AB146" s="173"/>
      <c r="AC146" s="173"/>
      <c r="AD146" s="173"/>
      <c r="AE146" s="173"/>
      <c r="AF146" s="174"/>
      <c r="AG146" s="165"/>
      <c r="AH146" s="175"/>
      <c r="AI146" s="175"/>
      <c r="AJ146" s="175"/>
      <c r="AK146" s="175"/>
      <c r="AL146" s="175"/>
      <c r="AM146" s="175"/>
      <c r="AN146" s="175"/>
      <c r="AO146" s="175"/>
      <c r="AP146" s="175"/>
      <c r="AQ146" s="165"/>
      <c r="AR146" s="173"/>
      <c r="AS146" s="173"/>
      <c r="AT146" s="173"/>
      <c r="AU146" s="173"/>
      <c r="AV146" s="173"/>
      <c r="AW146" s="173"/>
      <c r="AX146" s="173"/>
      <c r="AY146" s="173"/>
      <c r="AZ146" s="173"/>
      <c r="BA146" s="165"/>
      <c r="BB146" s="174"/>
    </row>
    <row r="147" spans="1:54" s="36" customFormat="1" ht="13.8" x14ac:dyDescent="0.3">
      <c r="A147" s="128"/>
      <c r="B147" s="133"/>
      <c r="C147" s="86"/>
      <c r="D147" s="79"/>
      <c r="E147" s="86"/>
      <c r="F147" s="86"/>
      <c r="G147" s="86"/>
      <c r="H147" s="134"/>
      <c r="I147" s="86"/>
      <c r="J147" s="134"/>
      <c r="K147" s="86"/>
      <c r="L147" s="86"/>
      <c r="M147" s="173"/>
      <c r="N147" s="173"/>
      <c r="O147" s="173"/>
      <c r="P147" s="173"/>
      <c r="Q147" s="173"/>
      <c r="R147" s="173"/>
      <c r="S147" s="173"/>
      <c r="T147" s="173"/>
      <c r="U147" s="173"/>
      <c r="V147" s="165"/>
      <c r="W147" s="173"/>
      <c r="X147" s="173"/>
      <c r="Y147" s="173"/>
      <c r="Z147" s="173"/>
      <c r="AA147" s="173"/>
      <c r="AB147" s="173"/>
      <c r="AC147" s="173"/>
      <c r="AD147" s="173"/>
      <c r="AE147" s="173"/>
      <c r="AF147" s="174"/>
      <c r="AG147" s="16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65"/>
      <c r="AR147" s="173"/>
      <c r="AS147" s="173"/>
      <c r="AT147" s="173"/>
      <c r="AU147" s="173"/>
      <c r="AV147" s="173"/>
      <c r="AW147" s="173"/>
      <c r="AX147" s="173"/>
      <c r="AY147" s="173"/>
      <c r="AZ147" s="173"/>
      <c r="BA147" s="165"/>
      <c r="BB147" s="174"/>
    </row>
    <row r="148" spans="1:54" s="36" customFormat="1" ht="13.8" x14ac:dyDescent="0.3">
      <c r="A148" s="128"/>
      <c r="B148" s="133"/>
      <c r="C148" s="86"/>
      <c r="D148" s="79"/>
      <c r="E148" s="86"/>
      <c r="F148" s="86"/>
      <c r="G148" s="86"/>
      <c r="H148" s="134"/>
      <c r="I148" s="86"/>
      <c r="J148" s="134"/>
      <c r="K148" s="86"/>
      <c r="L148" s="86"/>
      <c r="M148" s="173"/>
      <c r="N148" s="173"/>
      <c r="O148" s="173"/>
      <c r="P148" s="173"/>
      <c r="Q148" s="173"/>
      <c r="R148" s="173"/>
      <c r="S148" s="173"/>
      <c r="T148" s="173"/>
      <c r="U148" s="173"/>
      <c r="V148" s="165"/>
      <c r="W148" s="173"/>
      <c r="X148" s="173"/>
      <c r="Y148" s="173"/>
      <c r="Z148" s="173"/>
      <c r="AA148" s="173"/>
      <c r="AB148" s="173"/>
      <c r="AC148" s="173"/>
      <c r="AD148" s="173"/>
      <c r="AE148" s="173"/>
      <c r="AF148" s="174"/>
      <c r="AG148" s="16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65"/>
      <c r="AR148" s="173"/>
      <c r="AS148" s="173"/>
      <c r="AT148" s="173"/>
      <c r="AU148" s="173"/>
      <c r="AV148" s="173"/>
      <c r="AW148" s="173"/>
      <c r="AX148" s="173"/>
      <c r="AY148" s="173"/>
      <c r="AZ148" s="173"/>
      <c r="BA148" s="165"/>
      <c r="BB148" s="174"/>
    </row>
    <row r="149" spans="1:54" s="36" customFormat="1" ht="13.8" x14ac:dyDescent="0.3">
      <c r="A149" s="128"/>
      <c r="B149" s="133"/>
      <c r="C149" s="86"/>
      <c r="D149" s="79"/>
      <c r="E149" s="86"/>
      <c r="F149" s="86"/>
      <c r="G149" s="86"/>
      <c r="H149" s="134"/>
      <c r="I149" s="86"/>
      <c r="J149" s="134"/>
      <c r="K149" s="86"/>
      <c r="L149" s="86"/>
      <c r="M149" s="173"/>
      <c r="N149" s="173"/>
      <c r="O149" s="173"/>
      <c r="P149" s="173"/>
      <c r="Q149" s="173"/>
      <c r="R149" s="173"/>
      <c r="S149" s="173"/>
      <c r="T149" s="173"/>
      <c r="U149" s="173"/>
      <c r="V149" s="165"/>
      <c r="W149" s="173"/>
      <c r="X149" s="173"/>
      <c r="Y149" s="173"/>
      <c r="Z149" s="173"/>
      <c r="AA149" s="173"/>
      <c r="AB149" s="173"/>
      <c r="AC149" s="173"/>
      <c r="AD149" s="173"/>
      <c r="AE149" s="173"/>
      <c r="AF149" s="174"/>
      <c r="AG149" s="16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65"/>
      <c r="AR149" s="173"/>
      <c r="AS149" s="173"/>
      <c r="AT149" s="173"/>
      <c r="AU149" s="173"/>
      <c r="AV149" s="173"/>
      <c r="AW149" s="173"/>
      <c r="AX149" s="173"/>
      <c r="AY149" s="173"/>
      <c r="AZ149" s="173"/>
      <c r="BA149" s="165"/>
      <c r="BB149" s="174"/>
    </row>
    <row r="150" spans="1:54" s="36" customFormat="1" ht="13.8" x14ac:dyDescent="0.3">
      <c r="A150" s="128"/>
      <c r="B150" s="133"/>
      <c r="C150" s="86"/>
      <c r="D150" s="79"/>
      <c r="E150" s="86"/>
      <c r="F150" s="86"/>
      <c r="G150" s="86"/>
      <c r="H150" s="134"/>
      <c r="I150" s="86"/>
      <c r="J150" s="134"/>
      <c r="K150" s="86"/>
      <c r="L150" s="86"/>
      <c r="M150" s="173"/>
      <c r="N150" s="173"/>
      <c r="O150" s="173"/>
      <c r="P150" s="173"/>
      <c r="Q150" s="173"/>
      <c r="R150" s="173"/>
      <c r="S150" s="173"/>
      <c r="T150" s="173"/>
      <c r="U150" s="173"/>
      <c r="V150" s="165"/>
      <c r="W150" s="173"/>
      <c r="X150" s="173"/>
      <c r="Y150" s="173"/>
      <c r="Z150" s="173"/>
      <c r="AA150" s="173"/>
      <c r="AB150" s="173"/>
      <c r="AC150" s="173"/>
      <c r="AD150" s="173"/>
      <c r="AE150" s="173"/>
      <c r="AF150" s="174"/>
      <c r="AG150" s="16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65"/>
      <c r="AR150" s="173"/>
      <c r="AS150" s="173"/>
      <c r="AT150" s="173"/>
      <c r="AU150" s="173"/>
      <c r="AV150" s="173"/>
      <c r="AW150" s="173"/>
      <c r="AX150" s="173"/>
      <c r="AY150" s="173"/>
      <c r="AZ150" s="173"/>
      <c r="BA150" s="165"/>
      <c r="BB150" s="174"/>
    </row>
    <row r="151" spans="1:54" s="36" customFormat="1" ht="13.8" x14ac:dyDescent="0.3">
      <c r="A151" s="128"/>
      <c r="B151" s="133"/>
      <c r="C151" s="86"/>
      <c r="D151" s="79"/>
      <c r="E151" s="86"/>
      <c r="F151" s="86"/>
      <c r="G151" s="86"/>
      <c r="H151" s="134"/>
      <c r="I151" s="86"/>
      <c r="J151" s="134"/>
      <c r="K151" s="86"/>
      <c r="L151" s="86"/>
      <c r="M151" s="173"/>
      <c r="N151" s="173"/>
      <c r="O151" s="173"/>
      <c r="P151" s="173"/>
      <c r="Q151" s="173"/>
      <c r="R151" s="173"/>
      <c r="S151" s="173"/>
      <c r="T151" s="173"/>
      <c r="U151" s="173"/>
      <c r="V151" s="165"/>
      <c r="W151" s="173"/>
      <c r="X151" s="173"/>
      <c r="Y151" s="173"/>
      <c r="Z151" s="173"/>
      <c r="AA151" s="173"/>
      <c r="AB151" s="173"/>
      <c r="AC151" s="173"/>
      <c r="AD151" s="173"/>
      <c r="AE151" s="173"/>
      <c r="AF151" s="174"/>
      <c r="AG151" s="16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65"/>
      <c r="AR151" s="173"/>
      <c r="AS151" s="173"/>
      <c r="AT151" s="173"/>
      <c r="AU151" s="173"/>
      <c r="AV151" s="173"/>
      <c r="AW151" s="173"/>
      <c r="AX151" s="173"/>
      <c r="AY151" s="173"/>
      <c r="AZ151" s="173"/>
      <c r="BA151" s="165"/>
      <c r="BB151" s="174"/>
    </row>
    <row r="152" spans="1:54" s="36" customFormat="1" ht="13.8" x14ac:dyDescent="0.3">
      <c r="A152" s="128"/>
      <c r="B152" s="133"/>
      <c r="C152" s="86"/>
      <c r="D152" s="79"/>
      <c r="E152" s="86"/>
      <c r="F152" s="86"/>
      <c r="G152" s="86"/>
      <c r="H152" s="134"/>
      <c r="I152" s="86"/>
      <c r="J152" s="134"/>
      <c r="K152" s="86"/>
      <c r="L152" s="86"/>
      <c r="M152" s="173"/>
      <c r="N152" s="173"/>
      <c r="O152" s="173"/>
      <c r="P152" s="173"/>
      <c r="Q152" s="173"/>
      <c r="R152" s="173"/>
      <c r="S152" s="173"/>
      <c r="T152" s="173"/>
      <c r="U152" s="173"/>
      <c r="V152" s="165"/>
      <c r="W152" s="173"/>
      <c r="X152" s="173"/>
      <c r="Y152" s="173"/>
      <c r="Z152" s="173"/>
      <c r="AA152" s="173"/>
      <c r="AB152" s="173"/>
      <c r="AC152" s="173"/>
      <c r="AD152" s="173"/>
      <c r="AE152" s="173"/>
      <c r="AF152" s="174"/>
      <c r="AG152" s="16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65"/>
      <c r="AR152" s="173"/>
      <c r="AS152" s="173"/>
      <c r="AT152" s="173"/>
      <c r="AU152" s="173"/>
      <c r="AV152" s="173"/>
      <c r="AW152" s="173"/>
      <c r="AX152" s="173"/>
      <c r="AY152" s="173"/>
      <c r="AZ152" s="173"/>
      <c r="BA152" s="165"/>
      <c r="BB152" s="174"/>
    </row>
    <row r="153" spans="1:54" s="36" customFormat="1" ht="13.8" x14ac:dyDescent="0.3">
      <c r="A153" s="128"/>
      <c r="B153" s="133"/>
      <c r="C153" s="86"/>
      <c r="D153" s="79"/>
      <c r="E153" s="86"/>
      <c r="F153" s="86"/>
      <c r="G153" s="86"/>
      <c r="H153" s="134"/>
      <c r="I153" s="86"/>
      <c r="J153" s="134"/>
      <c r="K153" s="86"/>
      <c r="L153" s="86"/>
      <c r="M153" s="173"/>
      <c r="N153" s="173"/>
      <c r="O153" s="173"/>
      <c r="P153" s="173"/>
      <c r="Q153" s="173"/>
      <c r="R153" s="173"/>
      <c r="S153" s="173"/>
      <c r="T153" s="173"/>
      <c r="U153" s="173"/>
      <c r="V153" s="165"/>
      <c r="W153" s="173"/>
      <c r="X153" s="173"/>
      <c r="Y153" s="173"/>
      <c r="Z153" s="173"/>
      <c r="AA153" s="173"/>
      <c r="AB153" s="173"/>
      <c r="AC153" s="173"/>
      <c r="AD153" s="173"/>
      <c r="AE153" s="173"/>
      <c r="AF153" s="174"/>
      <c r="AG153" s="16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65"/>
      <c r="AR153" s="173"/>
      <c r="AS153" s="173"/>
      <c r="AT153" s="173"/>
      <c r="AU153" s="173"/>
      <c r="AV153" s="173"/>
      <c r="AW153" s="173"/>
      <c r="AX153" s="173"/>
      <c r="AY153" s="173"/>
      <c r="AZ153" s="173"/>
      <c r="BA153" s="165"/>
      <c r="BB153" s="174"/>
    </row>
    <row r="154" spans="1:54" s="36" customFormat="1" ht="13.8" x14ac:dyDescent="0.3">
      <c r="A154" s="128"/>
      <c r="B154" s="133"/>
      <c r="C154" s="86"/>
      <c r="D154" s="79"/>
      <c r="E154" s="86"/>
      <c r="F154" s="86"/>
      <c r="G154" s="86"/>
      <c r="H154" s="134"/>
      <c r="I154" s="86"/>
      <c r="J154" s="134"/>
      <c r="K154" s="86"/>
      <c r="L154" s="86"/>
      <c r="M154" s="173"/>
      <c r="N154" s="173"/>
      <c r="O154" s="173"/>
      <c r="P154" s="173"/>
      <c r="Q154" s="173"/>
      <c r="R154" s="173"/>
      <c r="S154" s="173"/>
      <c r="T154" s="173"/>
      <c r="U154" s="173"/>
      <c r="V154" s="165"/>
      <c r="W154" s="173"/>
      <c r="X154" s="173"/>
      <c r="Y154" s="173"/>
      <c r="Z154" s="173"/>
      <c r="AA154" s="173"/>
      <c r="AB154" s="173"/>
      <c r="AC154" s="173"/>
      <c r="AD154" s="173"/>
      <c r="AE154" s="173"/>
      <c r="AF154" s="174"/>
      <c r="AG154" s="16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65"/>
      <c r="AR154" s="173"/>
      <c r="AS154" s="173"/>
      <c r="AT154" s="173"/>
      <c r="AU154" s="173"/>
      <c r="AV154" s="173"/>
      <c r="AW154" s="173"/>
      <c r="AX154" s="173"/>
      <c r="AY154" s="173"/>
      <c r="AZ154" s="173"/>
      <c r="BA154" s="165"/>
      <c r="BB154" s="174"/>
    </row>
    <row r="155" spans="1:54" s="36" customFormat="1" ht="13.8" x14ac:dyDescent="0.3">
      <c r="A155" s="128"/>
      <c r="B155" s="133"/>
      <c r="C155" s="86"/>
      <c r="D155" s="79"/>
      <c r="E155" s="86"/>
      <c r="F155" s="86"/>
      <c r="G155" s="86"/>
      <c r="H155" s="134"/>
      <c r="I155" s="86"/>
      <c r="J155" s="134"/>
      <c r="K155" s="86"/>
      <c r="L155" s="86"/>
      <c r="M155" s="173"/>
      <c r="N155" s="173"/>
      <c r="O155" s="173"/>
      <c r="P155" s="173"/>
      <c r="Q155" s="173"/>
      <c r="R155" s="173"/>
      <c r="S155" s="173"/>
      <c r="T155" s="173"/>
      <c r="U155" s="173"/>
      <c r="V155" s="165"/>
      <c r="W155" s="173"/>
      <c r="X155" s="173"/>
      <c r="Y155" s="173"/>
      <c r="Z155" s="173"/>
      <c r="AA155" s="173"/>
      <c r="AB155" s="173"/>
      <c r="AC155" s="173"/>
      <c r="AD155" s="173"/>
      <c r="AE155" s="173"/>
      <c r="AF155" s="174"/>
      <c r="AG155" s="16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65"/>
      <c r="AR155" s="173"/>
      <c r="AS155" s="173"/>
      <c r="AT155" s="173"/>
      <c r="AU155" s="173"/>
      <c r="AV155" s="173"/>
      <c r="AW155" s="173"/>
      <c r="AX155" s="173"/>
      <c r="AY155" s="173"/>
      <c r="AZ155" s="173"/>
      <c r="BA155" s="165"/>
      <c r="BB155" s="174"/>
    </row>
    <row r="156" spans="1:54" s="36" customFormat="1" ht="13.8" x14ac:dyDescent="0.3">
      <c r="A156" s="128"/>
      <c r="B156" s="133"/>
      <c r="C156" s="86"/>
      <c r="D156" s="79"/>
      <c r="E156" s="86"/>
      <c r="F156" s="86"/>
      <c r="G156" s="86"/>
      <c r="H156" s="134"/>
      <c r="I156" s="86"/>
      <c r="J156" s="134"/>
      <c r="K156" s="86"/>
      <c r="L156" s="86"/>
      <c r="M156" s="173"/>
      <c r="N156" s="173"/>
      <c r="O156" s="173"/>
      <c r="P156" s="173"/>
      <c r="Q156" s="173"/>
      <c r="R156" s="173"/>
      <c r="S156" s="173"/>
      <c r="T156" s="173"/>
      <c r="U156" s="173"/>
      <c r="V156" s="165"/>
      <c r="W156" s="173"/>
      <c r="X156" s="173"/>
      <c r="Y156" s="173"/>
      <c r="Z156" s="173"/>
      <c r="AA156" s="173"/>
      <c r="AB156" s="173"/>
      <c r="AC156" s="173"/>
      <c r="AD156" s="173"/>
      <c r="AE156" s="173"/>
      <c r="AF156" s="174"/>
      <c r="AG156" s="16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65"/>
      <c r="AR156" s="173"/>
      <c r="AS156" s="173"/>
      <c r="AT156" s="173"/>
      <c r="AU156" s="173"/>
      <c r="AV156" s="173"/>
      <c r="AW156" s="173"/>
      <c r="AX156" s="173"/>
      <c r="AY156" s="173"/>
      <c r="AZ156" s="173"/>
      <c r="BA156" s="165"/>
      <c r="BB156" s="174"/>
    </row>
    <row r="157" spans="1:54" s="36" customFormat="1" ht="13.8" x14ac:dyDescent="0.3">
      <c r="A157" s="128"/>
      <c r="B157" s="133"/>
      <c r="C157" s="86"/>
      <c r="D157" s="79"/>
      <c r="E157" s="86"/>
      <c r="F157" s="86"/>
      <c r="G157" s="86"/>
      <c r="H157" s="134"/>
      <c r="I157" s="86"/>
      <c r="J157" s="134"/>
      <c r="K157" s="86"/>
      <c r="L157" s="86"/>
      <c r="M157" s="173"/>
      <c r="N157" s="173"/>
      <c r="O157" s="173"/>
      <c r="P157" s="173"/>
      <c r="Q157" s="173"/>
      <c r="R157" s="173"/>
      <c r="S157" s="173"/>
      <c r="T157" s="173"/>
      <c r="U157" s="173"/>
      <c r="V157" s="165"/>
      <c r="W157" s="173"/>
      <c r="X157" s="173"/>
      <c r="Y157" s="173"/>
      <c r="Z157" s="173"/>
      <c r="AA157" s="173"/>
      <c r="AB157" s="173"/>
      <c r="AC157" s="173"/>
      <c r="AD157" s="173"/>
      <c r="AE157" s="173"/>
      <c r="AF157" s="174"/>
      <c r="AG157" s="16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65"/>
      <c r="AR157" s="173"/>
      <c r="AS157" s="173"/>
      <c r="AT157" s="173"/>
      <c r="AU157" s="173"/>
      <c r="AV157" s="173"/>
      <c r="AW157" s="173"/>
      <c r="AX157" s="173"/>
      <c r="AY157" s="173"/>
      <c r="AZ157" s="173"/>
      <c r="BA157" s="165"/>
      <c r="BB157" s="174"/>
    </row>
    <row r="158" spans="1:54" s="36" customFormat="1" ht="13.8" x14ac:dyDescent="0.3">
      <c r="A158" s="128"/>
      <c r="B158" s="133"/>
      <c r="C158" s="86"/>
      <c r="D158" s="79"/>
      <c r="E158" s="86"/>
      <c r="F158" s="86"/>
      <c r="G158" s="86"/>
      <c r="H158" s="134"/>
      <c r="I158" s="86"/>
      <c r="J158" s="134"/>
      <c r="K158" s="86"/>
      <c r="L158" s="86"/>
      <c r="M158" s="173"/>
      <c r="N158" s="173"/>
      <c r="O158" s="173"/>
      <c r="P158" s="173"/>
      <c r="Q158" s="173"/>
      <c r="R158" s="173"/>
      <c r="S158" s="173"/>
      <c r="T158" s="173"/>
      <c r="U158" s="173"/>
      <c r="V158" s="165"/>
      <c r="W158" s="173"/>
      <c r="X158" s="173"/>
      <c r="Y158" s="173"/>
      <c r="Z158" s="173"/>
      <c r="AA158" s="173"/>
      <c r="AB158" s="173"/>
      <c r="AC158" s="173"/>
      <c r="AD158" s="173"/>
      <c r="AE158" s="173"/>
      <c r="AF158" s="174"/>
      <c r="AG158" s="16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65"/>
      <c r="AR158" s="173"/>
      <c r="AS158" s="173"/>
      <c r="AT158" s="173"/>
      <c r="AU158" s="173"/>
      <c r="AV158" s="173"/>
      <c r="AW158" s="173"/>
      <c r="AX158" s="173"/>
      <c r="AY158" s="173"/>
      <c r="AZ158" s="173"/>
      <c r="BA158" s="165"/>
      <c r="BB158" s="174"/>
    </row>
    <row r="159" spans="1:54" s="36" customFormat="1" ht="13.8" x14ac:dyDescent="0.3">
      <c r="A159" s="128"/>
      <c r="B159" s="133"/>
      <c r="C159" s="86"/>
      <c r="D159" s="79"/>
      <c r="E159" s="86"/>
      <c r="F159" s="86"/>
      <c r="G159" s="86"/>
      <c r="H159" s="134"/>
      <c r="I159" s="86"/>
      <c r="J159" s="134"/>
      <c r="K159" s="86"/>
      <c r="L159" s="86"/>
      <c r="M159" s="173"/>
      <c r="N159" s="173"/>
      <c r="O159" s="173"/>
      <c r="P159" s="173"/>
      <c r="Q159" s="173"/>
      <c r="R159" s="173"/>
      <c r="S159" s="173"/>
      <c r="T159" s="173"/>
      <c r="U159" s="173"/>
      <c r="V159" s="165"/>
      <c r="W159" s="173"/>
      <c r="X159" s="173"/>
      <c r="Y159" s="173"/>
      <c r="Z159" s="173"/>
      <c r="AA159" s="173"/>
      <c r="AB159" s="173"/>
      <c r="AC159" s="173"/>
      <c r="AD159" s="173"/>
      <c r="AE159" s="173"/>
      <c r="AF159" s="174"/>
      <c r="AG159" s="16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65"/>
      <c r="AR159" s="173"/>
      <c r="AS159" s="173"/>
      <c r="AT159" s="173"/>
      <c r="AU159" s="173"/>
      <c r="AV159" s="173"/>
      <c r="AW159" s="173"/>
      <c r="AX159" s="173"/>
      <c r="AY159" s="173"/>
      <c r="AZ159" s="173"/>
      <c r="BA159" s="165"/>
      <c r="BB159" s="174"/>
    </row>
    <row r="160" spans="1:54" s="36" customFormat="1" ht="13.8" x14ac:dyDescent="0.3">
      <c r="A160" s="128"/>
      <c r="B160" s="133"/>
      <c r="C160" s="86"/>
      <c r="D160" s="79"/>
      <c r="E160" s="86"/>
      <c r="F160" s="86"/>
      <c r="G160" s="86"/>
      <c r="H160" s="134"/>
      <c r="I160" s="86"/>
      <c r="J160" s="134"/>
      <c r="K160" s="86"/>
      <c r="L160" s="86"/>
      <c r="M160" s="173"/>
      <c r="N160" s="173"/>
      <c r="O160" s="173"/>
      <c r="P160" s="173"/>
      <c r="Q160" s="173"/>
      <c r="R160" s="173"/>
      <c r="S160" s="173"/>
      <c r="T160" s="173"/>
      <c r="U160" s="173"/>
      <c r="V160" s="165"/>
      <c r="W160" s="173"/>
      <c r="X160" s="173"/>
      <c r="Y160" s="173"/>
      <c r="Z160" s="173"/>
      <c r="AA160" s="173"/>
      <c r="AB160" s="173"/>
      <c r="AC160" s="173"/>
      <c r="AD160" s="173"/>
      <c r="AE160" s="173"/>
      <c r="AF160" s="174"/>
      <c r="AG160" s="16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65"/>
      <c r="AR160" s="173"/>
      <c r="AS160" s="173"/>
      <c r="AT160" s="173"/>
      <c r="AU160" s="173"/>
      <c r="AV160" s="173"/>
      <c r="AW160" s="173"/>
      <c r="AX160" s="173"/>
      <c r="AY160" s="173"/>
      <c r="AZ160" s="173"/>
      <c r="BA160" s="165"/>
      <c r="BB160" s="174"/>
    </row>
    <row r="161" spans="1:54" s="36" customFormat="1" ht="13.8" x14ac:dyDescent="0.3">
      <c r="A161" s="128"/>
      <c r="B161" s="133"/>
      <c r="C161" s="86"/>
      <c r="D161" s="79"/>
      <c r="E161" s="86"/>
      <c r="F161" s="86"/>
      <c r="G161" s="86"/>
      <c r="H161" s="134"/>
      <c r="I161" s="86"/>
      <c r="J161" s="134"/>
      <c r="K161" s="86"/>
      <c r="L161" s="86"/>
      <c r="M161" s="173"/>
      <c r="N161" s="173"/>
      <c r="O161" s="173"/>
      <c r="P161" s="173"/>
      <c r="Q161" s="173"/>
      <c r="R161" s="173"/>
      <c r="S161" s="173"/>
      <c r="T161" s="173"/>
      <c r="U161" s="173"/>
      <c r="V161" s="165"/>
      <c r="W161" s="173"/>
      <c r="X161" s="173"/>
      <c r="Y161" s="173"/>
      <c r="Z161" s="173"/>
      <c r="AA161" s="173"/>
      <c r="AB161" s="173"/>
      <c r="AC161" s="173"/>
      <c r="AD161" s="173"/>
      <c r="AE161" s="173"/>
      <c r="AF161" s="174"/>
      <c r="AG161" s="16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65"/>
      <c r="AR161" s="173"/>
      <c r="AS161" s="173"/>
      <c r="AT161" s="173"/>
      <c r="AU161" s="173"/>
      <c r="AV161" s="173"/>
      <c r="AW161" s="173"/>
      <c r="AX161" s="173"/>
      <c r="AY161" s="173"/>
      <c r="AZ161" s="173"/>
      <c r="BA161" s="165"/>
      <c r="BB161" s="174"/>
    </row>
    <row r="162" spans="1:54" s="36" customFormat="1" ht="13.8" x14ac:dyDescent="0.3">
      <c r="A162" s="128"/>
      <c r="B162" s="133"/>
      <c r="C162" s="86"/>
      <c r="D162" s="79"/>
      <c r="E162" s="86"/>
      <c r="F162" s="86"/>
      <c r="G162" s="86"/>
      <c r="H162" s="134"/>
      <c r="I162" s="86"/>
      <c r="J162" s="134"/>
      <c r="K162" s="86"/>
      <c r="L162" s="86"/>
      <c r="M162" s="173"/>
      <c r="N162" s="173"/>
      <c r="O162" s="173"/>
      <c r="P162" s="173"/>
      <c r="Q162" s="173"/>
      <c r="R162" s="173"/>
      <c r="S162" s="173"/>
      <c r="T162" s="173"/>
      <c r="U162" s="173"/>
      <c r="V162" s="165"/>
      <c r="W162" s="173"/>
      <c r="X162" s="173"/>
      <c r="Y162" s="173"/>
      <c r="Z162" s="173"/>
      <c r="AA162" s="173"/>
      <c r="AB162" s="173"/>
      <c r="AC162" s="173"/>
      <c r="AD162" s="173"/>
      <c r="AE162" s="173"/>
      <c r="AF162" s="174"/>
      <c r="AG162" s="16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65"/>
      <c r="AR162" s="173"/>
      <c r="AS162" s="173"/>
      <c r="AT162" s="173"/>
      <c r="AU162" s="173"/>
      <c r="AV162" s="173"/>
      <c r="AW162" s="173"/>
      <c r="AX162" s="173"/>
      <c r="AY162" s="173"/>
      <c r="AZ162" s="173"/>
      <c r="BA162" s="165"/>
      <c r="BB162" s="174"/>
    </row>
    <row r="163" spans="1:54" s="36" customFormat="1" ht="13.8" x14ac:dyDescent="0.3">
      <c r="A163" s="128"/>
      <c r="B163" s="133"/>
      <c r="C163" s="86"/>
      <c r="D163" s="79"/>
      <c r="E163" s="86"/>
      <c r="F163" s="86"/>
      <c r="G163" s="86"/>
      <c r="H163" s="134"/>
      <c r="I163" s="86"/>
      <c r="J163" s="134"/>
      <c r="K163" s="86"/>
      <c r="L163" s="86"/>
      <c r="M163" s="173"/>
      <c r="N163" s="173"/>
      <c r="O163" s="173"/>
      <c r="P163" s="173"/>
      <c r="Q163" s="173"/>
      <c r="R163" s="173"/>
      <c r="S163" s="173"/>
      <c r="T163" s="173"/>
      <c r="U163" s="173"/>
      <c r="V163" s="165"/>
      <c r="W163" s="173"/>
      <c r="X163" s="173"/>
      <c r="Y163" s="173"/>
      <c r="Z163" s="173"/>
      <c r="AA163" s="173"/>
      <c r="AB163" s="173"/>
      <c r="AC163" s="173"/>
      <c r="AD163" s="173"/>
      <c r="AE163" s="173"/>
      <c r="AF163" s="174"/>
      <c r="AG163" s="16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65"/>
      <c r="AR163" s="173"/>
      <c r="AS163" s="173"/>
      <c r="AT163" s="173"/>
      <c r="AU163" s="173"/>
      <c r="AV163" s="173"/>
      <c r="AW163" s="173"/>
      <c r="AX163" s="173"/>
      <c r="AY163" s="173"/>
      <c r="AZ163" s="173"/>
      <c r="BA163" s="165"/>
      <c r="BB163" s="174"/>
    </row>
    <row r="164" spans="1:54" s="36" customFormat="1" ht="13.8" x14ac:dyDescent="0.3">
      <c r="A164" s="128"/>
      <c r="B164" s="133"/>
      <c r="C164" s="86"/>
      <c r="D164" s="79"/>
      <c r="E164" s="86"/>
      <c r="F164" s="86"/>
      <c r="G164" s="86"/>
      <c r="H164" s="134"/>
      <c r="I164" s="86"/>
      <c r="J164" s="134"/>
      <c r="K164" s="86"/>
      <c r="L164" s="86"/>
      <c r="M164" s="173"/>
      <c r="N164" s="173"/>
      <c r="O164" s="173"/>
      <c r="P164" s="173"/>
      <c r="Q164" s="173"/>
      <c r="R164" s="173"/>
      <c r="S164" s="173"/>
      <c r="T164" s="173"/>
      <c r="U164" s="173"/>
      <c r="V164" s="165"/>
      <c r="W164" s="173"/>
      <c r="X164" s="173"/>
      <c r="Y164" s="173"/>
      <c r="Z164" s="173"/>
      <c r="AA164" s="173"/>
      <c r="AB164" s="173"/>
      <c r="AC164" s="173"/>
      <c r="AD164" s="173"/>
      <c r="AE164" s="173"/>
      <c r="AF164" s="174"/>
      <c r="AG164" s="16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65"/>
      <c r="AR164" s="173"/>
      <c r="AS164" s="173"/>
      <c r="AT164" s="173"/>
      <c r="AU164" s="173"/>
      <c r="AV164" s="173"/>
      <c r="AW164" s="173"/>
      <c r="AX164" s="173"/>
      <c r="AY164" s="173"/>
      <c r="AZ164" s="173"/>
      <c r="BA164" s="165"/>
      <c r="BB164" s="174"/>
    </row>
    <row r="165" spans="1:54" s="36" customFormat="1" ht="13.8" x14ac:dyDescent="0.3">
      <c r="A165" s="128"/>
      <c r="B165" s="133"/>
      <c r="C165" s="86"/>
      <c r="D165" s="79"/>
      <c r="E165" s="86"/>
      <c r="F165" s="86"/>
      <c r="G165" s="86"/>
      <c r="H165" s="134"/>
      <c r="I165" s="86"/>
      <c r="J165" s="134"/>
      <c r="K165" s="86"/>
      <c r="L165" s="86"/>
      <c r="M165" s="173"/>
      <c r="N165" s="173"/>
      <c r="O165" s="173"/>
      <c r="P165" s="173"/>
      <c r="Q165" s="173"/>
      <c r="R165" s="173"/>
      <c r="S165" s="173"/>
      <c r="T165" s="173"/>
      <c r="U165" s="173"/>
      <c r="V165" s="165"/>
      <c r="W165" s="173"/>
      <c r="X165" s="173"/>
      <c r="Y165" s="173"/>
      <c r="Z165" s="173"/>
      <c r="AA165" s="173"/>
      <c r="AB165" s="173"/>
      <c r="AC165" s="173"/>
      <c r="AD165" s="173"/>
      <c r="AE165" s="173"/>
      <c r="AF165" s="174"/>
      <c r="AG165" s="165"/>
      <c r="AH165" s="175"/>
      <c r="AI165" s="175"/>
      <c r="AJ165" s="175"/>
      <c r="AK165" s="175"/>
      <c r="AL165" s="175"/>
      <c r="AM165" s="175"/>
      <c r="AN165" s="175"/>
      <c r="AO165" s="175"/>
      <c r="AP165" s="175"/>
      <c r="AQ165" s="165"/>
      <c r="AR165" s="173"/>
      <c r="AS165" s="173"/>
      <c r="AT165" s="173"/>
      <c r="AU165" s="173"/>
      <c r="AV165" s="173"/>
      <c r="AW165" s="173"/>
      <c r="AX165" s="173"/>
      <c r="AY165" s="173"/>
      <c r="AZ165" s="173"/>
      <c r="BA165" s="165"/>
      <c r="BB165" s="174"/>
    </row>
    <row r="166" spans="1:54" s="36" customFormat="1" ht="13.8" x14ac:dyDescent="0.3">
      <c r="A166" s="128"/>
      <c r="B166" s="133"/>
      <c r="C166" s="86"/>
      <c r="D166" s="79"/>
      <c r="E166" s="86"/>
      <c r="F166" s="86"/>
      <c r="G166" s="86"/>
      <c r="H166" s="134"/>
      <c r="I166" s="86"/>
      <c r="J166" s="134"/>
      <c r="K166" s="86"/>
      <c r="L166" s="86"/>
      <c r="M166" s="173"/>
      <c r="N166" s="173"/>
      <c r="O166" s="173"/>
      <c r="P166" s="173"/>
      <c r="Q166" s="173"/>
      <c r="R166" s="173"/>
      <c r="S166" s="173"/>
      <c r="T166" s="173"/>
      <c r="U166" s="173"/>
      <c r="V166" s="165"/>
      <c r="W166" s="173"/>
      <c r="X166" s="173"/>
      <c r="Y166" s="173"/>
      <c r="Z166" s="173"/>
      <c r="AA166" s="173"/>
      <c r="AB166" s="173"/>
      <c r="AC166" s="173"/>
      <c r="AD166" s="173"/>
      <c r="AE166" s="173"/>
      <c r="AF166" s="174"/>
      <c r="AG166" s="16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65"/>
      <c r="AR166" s="173"/>
      <c r="AS166" s="173"/>
      <c r="AT166" s="173"/>
      <c r="AU166" s="173"/>
      <c r="AV166" s="173"/>
      <c r="AW166" s="173"/>
      <c r="AX166" s="173"/>
      <c r="AY166" s="173"/>
      <c r="AZ166" s="173"/>
      <c r="BA166" s="165"/>
      <c r="BB166" s="174"/>
    </row>
    <row r="167" spans="1:54" s="36" customFormat="1" ht="13.8" x14ac:dyDescent="0.3">
      <c r="A167" s="128"/>
      <c r="B167" s="133"/>
      <c r="C167" s="86"/>
      <c r="D167" s="79"/>
      <c r="E167" s="86"/>
      <c r="F167" s="86"/>
      <c r="G167" s="86"/>
      <c r="H167" s="134"/>
      <c r="I167" s="86"/>
      <c r="J167" s="134"/>
      <c r="K167" s="86"/>
      <c r="L167" s="86"/>
      <c r="M167" s="173"/>
      <c r="N167" s="173"/>
      <c r="O167" s="173"/>
      <c r="P167" s="173"/>
      <c r="Q167" s="173"/>
      <c r="R167" s="173"/>
      <c r="S167" s="173"/>
      <c r="T167" s="173"/>
      <c r="U167" s="173"/>
      <c r="V167" s="165"/>
      <c r="W167" s="173"/>
      <c r="X167" s="173"/>
      <c r="Y167" s="173"/>
      <c r="Z167" s="173"/>
      <c r="AA167" s="173"/>
      <c r="AB167" s="173"/>
      <c r="AC167" s="173"/>
      <c r="AD167" s="173"/>
      <c r="AE167" s="173"/>
      <c r="AF167" s="174"/>
      <c r="AG167" s="165"/>
      <c r="AH167" s="175"/>
      <c r="AI167" s="175"/>
      <c r="AJ167" s="175"/>
      <c r="AK167" s="175"/>
      <c r="AL167" s="175"/>
      <c r="AM167" s="175"/>
      <c r="AN167" s="175"/>
      <c r="AO167" s="175"/>
      <c r="AP167" s="175"/>
      <c r="AQ167" s="165"/>
      <c r="AR167" s="173"/>
      <c r="AS167" s="173"/>
      <c r="AT167" s="173"/>
      <c r="AU167" s="173"/>
      <c r="AV167" s="173"/>
      <c r="AW167" s="173"/>
      <c r="AX167" s="173"/>
      <c r="AY167" s="173"/>
      <c r="AZ167" s="173"/>
      <c r="BA167" s="165"/>
      <c r="BB167" s="174"/>
    </row>
    <row r="168" spans="1:54" s="36" customFormat="1" ht="13.8" x14ac:dyDescent="0.3">
      <c r="A168" s="128"/>
      <c r="B168" s="133"/>
      <c r="C168" s="86"/>
      <c r="D168" s="79"/>
      <c r="E168" s="86"/>
      <c r="F168" s="86"/>
      <c r="G168" s="86"/>
      <c r="H168" s="134"/>
      <c r="I168" s="86"/>
      <c r="J168" s="134"/>
      <c r="K168" s="86"/>
      <c r="L168" s="86"/>
      <c r="M168" s="173"/>
      <c r="N168" s="173"/>
      <c r="O168" s="173"/>
      <c r="P168" s="173"/>
      <c r="Q168" s="173"/>
      <c r="R168" s="173"/>
      <c r="S168" s="173"/>
      <c r="T168" s="173"/>
      <c r="U168" s="173"/>
      <c r="V168" s="165"/>
      <c r="W168" s="173"/>
      <c r="X168" s="173"/>
      <c r="Y168" s="173"/>
      <c r="Z168" s="173"/>
      <c r="AA168" s="173"/>
      <c r="AB168" s="173"/>
      <c r="AC168" s="173"/>
      <c r="AD168" s="173"/>
      <c r="AE168" s="173"/>
      <c r="AF168" s="174"/>
      <c r="AG168" s="16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65"/>
      <c r="AR168" s="173"/>
      <c r="AS168" s="173"/>
      <c r="AT168" s="173"/>
      <c r="AU168" s="173"/>
      <c r="AV168" s="173"/>
      <c r="AW168" s="173"/>
      <c r="AX168" s="173"/>
      <c r="AY168" s="173"/>
      <c r="AZ168" s="173"/>
      <c r="BA168" s="165"/>
      <c r="BB168" s="174"/>
    </row>
    <row r="169" spans="1:54" s="36" customFormat="1" ht="13.8" x14ac:dyDescent="0.3">
      <c r="A169" s="128"/>
      <c r="B169" s="133"/>
      <c r="C169" s="86"/>
      <c r="D169" s="79"/>
      <c r="E169" s="86"/>
      <c r="F169" s="86"/>
      <c r="G169" s="86"/>
      <c r="H169" s="134"/>
      <c r="I169" s="86"/>
      <c r="J169" s="134"/>
      <c r="K169" s="86"/>
      <c r="L169" s="86"/>
      <c r="M169" s="173"/>
      <c r="N169" s="173"/>
      <c r="O169" s="173"/>
      <c r="P169" s="173"/>
      <c r="Q169" s="173"/>
      <c r="R169" s="173"/>
      <c r="S169" s="173"/>
      <c r="T169" s="173"/>
      <c r="U169" s="173"/>
      <c r="V169" s="165"/>
      <c r="W169" s="173"/>
      <c r="X169" s="173"/>
      <c r="Y169" s="173"/>
      <c r="Z169" s="173"/>
      <c r="AA169" s="173"/>
      <c r="AB169" s="173"/>
      <c r="AC169" s="173"/>
      <c r="AD169" s="173"/>
      <c r="AE169" s="173"/>
      <c r="AF169" s="174"/>
      <c r="AG169" s="16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65"/>
      <c r="AR169" s="173"/>
      <c r="AS169" s="173"/>
      <c r="AT169" s="173"/>
      <c r="AU169" s="173"/>
      <c r="AV169" s="173"/>
      <c r="AW169" s="173"/>
      <c r="AX169" s="173"/>
      <c r="AY169" s="173"/>
      <c r="AZ169" s="173"/>
      <c r="BA169" s="165"/>
      <c r="BB169" s="174"/>
    </row>
    <row r="170" spans="1:54" s="36" customFormat="1" ht="13.8" x14ac:dyDescent="0.3">
      <c r="A170" s="128"/>
      <c r="B170" s="133"/>
      <c r="C170" s="86"/>
      <c r="D170" s="79"/>
      <c r="E170" s="86"/>
      <c r="F170" s="86"/>
      <c r="G170" s="86"/>
      <c r="H170" s="134"/>
      <c r="I170" s="86"/>
      <c r="J170" s="134"/>
      <c r="K170" s="86"/>
      <c r="L170" s="86"/>
      <c r="M170" s="173"/>
      <c r="N170" s="173"/>
      <c r="O170" s="173"/>
      <c r="P170" s="173"/>
      <c r="Q170" s="173"/>
      <c r="R170" s="173"/>
      <c r="S170" s="173"/>
      <c r="T170" s="173"/>
      <c r="U170" s="173"/>
      <c r="V170" s="165"/>
      <c r="W170" s="173"/>
      <c r="X170" s="173"/>
      <c r="Y170" s="173"/>
      <c r="Z170" s="173"/>
      <c r="AA170" s="173"/>
      <c r="AB170" s="173"/>
      <c r="AC170" s="173"/>
      <c r="AD170" s="173"/>
      <c r="AE170" s="173"/>
      <c r="AF170" s="174"/>
      <c r="AG170" s="16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65"/>
      <c r="AR170" s="173"/>
      <c r="AS170" s="173"/>
      <c r="AT170" s="173"/>
      <c r="AU170" s="173"/>
      <c r="AV170" s="173"/>
      <c r="AW170" s="173"/>
      <c r="AX170" s="173"/>
      <c r="AY170" s="173"/>
      <c r="AZ170" s="173"/>
      <c r="BA170" s="165"/>
      <c r="BB170" s="174"/>
    </row>
    <row r="171" spans="1:54" s="36" customFormat="1" ht="13.8" x14ac:dyDescent="0.3">
      <c r="A171" s="128"/>
      <c r="B171" s="133"/>
      <c r="C171" s="86"/>
      <c r="D171" s="79"/>
      <c r="E171" s="86"/>
      <c r="F171" s="86"/>
      <c r="G171" s="86"/>
      <c r="H171" s="134"/>
      <c r="I171" s="86"/>
      <c r="J171" s="134"/>
      <c r="K171" s="86"/>
      <c r="L171" s="86"/>
      <c r="M171" s="173"/>
      <c r="N171" s="173"/>
      <c r="O171" s="173"/>
      <c r="P171" s="173"/>
      <c r="Q171" s="173"/>
      <c r="R171" s="173"/>
      <c r="S171" s="173"/>
      <c r="T171" s="173"/>
      <c r="U171" s="173"/>
      <c r="V171" s="165"/>
      <c r="W171" s="173"/>
      <c r="X171" s="173"/>
      <c r="Y171" s="173"/>
      <c r="Z171" s="173"/>
      <c r="AA171" s="173"/>
      <c r="AB171" s="173"/>
      <c r="AC171" s="173"/>
      <c r="AD171" s="173"/>
      <c r="AE171" s="173"/>
      <c r="AF171" s="174"/>
      <c r="AG171" s="16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65"/>
      <c r="AR171" s="173"/>
      <c r="AS171" s="173"/>
      <c r="AT171" s="173"/>
      <c r="AU171" s="173"/>
      <c r="AV171" s="173"/>
      <c r="AW171" s="173"/>
      <c r="AX171" s="173"/>
      <c r="AY171" s="173"/>
      <c r="AZ171" s="173"/>
      <c r="BA171" s="165"/>
      <c r="BB171" s="174"/>
    </row>
    <row r="172" spans="1:54" s="36" customFormat="1" ht="13.8" x14ac:dyDescent="0.3">
      <c r="A172" s="128"/>
      <c r="B172" s="133"/>
      <c r="C172" s="86"/>
      <c r="D172" s="79"/>
      <c r="E172" s="86"/>
      <c r="F172" s="86"/>
      <c r="G172" s="86"/>
      <c r="H172" s="134"/>
      <c r="I172" s="86"/>
      <c r="J172" s="134"/>
      <c r="K172" s="86"/>
      <c r="L172" s="86"/>
      <c r="M172" s="173"/>
      <c r="N172" s="173"/>
      <c r="O172" s="173"/>
      <c r="P172" s="173"/>
      <c r="Q172" s="173"/>
      <c r="R172" s="173"/>
      <c r="S172" s="173"/>
      <c r="T172" s="173"/>
      <c r="U172" s="173"/>
      <c r="V172" s="165"/>
      <c r="W172" s="173"/>
      <c r="X172" s="173"/>
      <c r="Y172" s="173"/>
      <c r="Z172" s="173"/>
      <c r="AA172" s="173"/>
      <c r="AB172" s="173"/>
      <c r="AC172" s="173"/>
      <c r="AD172" s="173"/>
      <c r="AE172" s="173"/>
      <c r="AF172" s="174"/>
      <c r="AG172" s="16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65"/>
      <c r="AR172" s="173"/>
      <c r="AS172" s="173"/>
      <c r="AT172" s="173"/>
      <c r="AU172" s="173"/>
      <c r="AV172" s="173"/>
      <c r="AW172" s="173"/>
      <c r="AX172" s="173"/>
      <c r="AY172" s="173"/>
      <c r="AZ172" s="173"/>
      <c r="BA172" s="165"/>
      <c r="BB172" s="174"/>
    </row>
    <row r="173" spans="1:54" s="36" customFormat="1" ht="13.8" x14ac:dyDescent="0.3">
      <c r="A173" s="128"/>
      <c r="B173" s="133"/>
      <c r="C173" s="86"/>
      <c r="D173" s="79"/>
      <c r="E173" s="86"/>
      <c r="F173" s="86"/>
      <c r="G173" s="86"/>
      <c r="H173" s="134"/>
      <c r="I173" s="86"/>
      <c r="J173" s="134"/>
      <c r="K173" s="86"/>
      <c r="L173" s="86"/>
      <c r="M173" s="173"/>
      <c r="N173" s="173"/>
      <c r="O173" s="173"/>
      <c r="P173" s="173"/>
      <c r="Q173" s="173"/>
      <c r="R173" s="173"/>
      <c r="S173" s="173"/>
      <c r="T173" s="173"/>
      <c r="U173" s="173"/>
      <c r="V173" s="165"/>
      <c r="W173" s="173"/>
      <c r="X173" s="173"/>
      <c r="Y173" s="173"/>
      <c r="Z173" s="173"/>
      <c r="AA173" s="173"/>
      <c r="AB173" s="173"/>
      <c r="AC173" s="173"/>
      <c r="AD173" s="173"/>
      <c r="AE173" s="173"/>
      <c r="AF173" s="174"/>
      <c r="AG173" s="16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65"/>
      <c r="AR173" s="173"/>
      <c r="AS173" s="173"/>
      <c r="AT173" s="173"/>
      <c r="AU173" s="173"/>
      <c r="AV173" s="173"/>
      <c r="AW173" s="173"/>
      <c r="AX173" s="173"/>
      <c r="AY173" s="173"/>
      <c r="AZ173" s="173"/>
      <c r="BA173" s="165"/>
      <c r="BB173" s="174"/>
    </row>
    <row r="174" spans="1:54" s="36" customFormat="1" ht="13.8" x14ac:dyDescent="0.3">
      <c r="A174" s="128"/>
      <c r="B174" s="133"/>
      <c r="C174" s="86"/>
      <c r="D174" s="79"/>
      <c r="E174" s="86"/>
      <c r="F174" s="86"/>
      <c r="G174" s="86"/>
      <c r="H174" s="134"/>
      <c r="I174" s="86"/>
      <c r="J174" s="134"/>
      <c r="K174" s="86"/>
      <c r="L174" s="86"/>
      <c r="M174" s="173"/>
      <c r="N174" s="173"/>
      <c r="O174" s="173"/>
      <c r="P174" s="173"/>
      <c r="Q174" s="173"/>
      <c r="R174" s="173"/>
      <c r="S174" s="173"/>
      <c r="T174" s="173"/>
      <c r="U174" s="173"/>
      <c r="V174" s="165"/>
      <c r="W174" s="173"/>
      <c r="X174" s="173"/>
      <c r="Y174" s="173"/>
      <c r="Z174" s="173"/>
      <c r="AA174" s="173"/>
      <c r="AB174" s="173"/>
      <c r="AC174" s="173"/>
      <c r="AD174" s="173"/>
      <c r="AE174" s="173"/>
      <c r="AF174" s="174"/>
      <c r="AG174" s="16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65"/>
      <c r="AR174" s="173"/>
      <c r="AS174" s="173"/>
      <c r="AT174" s="173"/>
      <c r="AU174" s="173"/>
      <c r="AV174" s="173"/>
      <c r="AW174" s="173"/>
      <c r="AX174" s="173"/>
      <c r="AY174" s="173"/>
      <c r="AZ174" s="173"/>
      <c r="BA174" s="165"/>
      <c r="BB174" s="174"/>
    </row>
    <row r="175" spans="1:54" s="36" customFormat="1" ht="13.8" x14ac:dyDescent="0.3">
      <c r="A175" s="128"/>
      <c r="B175" s="133"/>
      <c r="C175" s="86"/>
      <c r="D175" s="79"/>
      <c r="E175" s="86"/>
      <c r="F175" s="86"/>
      <c r="G175" s="86"/>
      <c r="H175" s="134"/>
      <c r="I175" s="86"/>
      <c r="J175" s="134"/>
      <c r="K175" s="86"/>
      <c r="L175" s="86"/>
      <c r="M175" s="173"/>
      <c r="N175" s="173"/>
      <c r="O175" s="173"/>
      <c r="P175" s="173"/>
      <c r="Q175" s="173"/>
      <c r="R175" s="173"/>
      <c r="S175" s="173"/>
      <c r="T175" s="173"/>
      <c r="U175" s="173"/>
      <c r="V175" s="165"/>
      <c r="W175" s="173"/>
      <c r="X175" s="173"/>
      <c r="Y175" s="173"/>
      <c r="Z175" s="173"/>
      <c r="AA175" s="173"/>
      <c r="AB175" s="173"/>
      <c r="AC175" s="173"/>
      <c r="AD175" s="173"/>
      <c r="AE175" s="173"/>
      <c r="AF175" s="174"/>
      <c r="AG175" s="16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65"/>
      <c r="AR175" s="173"/>
      <c r="AS175" s="173"/>
      <c r="AT175" s="173"/>
      <c r="AU175" s="173"/>
      <c r="AV175" s="173"/>
      <c r="AW175" s="173"/>
      <c r="AX175" s="173"/>
      <c r="AY175" s="173"/>
      <c r="AZ175" s="173"/>
      <c r="BA175" s="165"/>
      <c r="BB175" s="174"/>
    </row>
    <row r="176" spans="1:54" s="36" customFormat="1" ht="13.8" x14ac:dyDescent="0.3">
      <c r="A176" s="128"/>
      <c r="B176" s="133"/>
      <c r="C176" s="86"/>
      <c r="D176" s="79"/>
      <c r="E176" s="86"/>
      <c r="F176" s="86"/>
      <c r="G176" s="86"/>
      <c r="H176" s="134"/>
      <c r="I176" s="86"/>
      <c r="J176" s="134"/>
      <c r="K176" s="86"/>
      <c r="L176" s="86"/>
      <c r="M176" s="173"/>
      <c r="N176" s="173"/>
      <c r="O176" s="173"/>
      <c r="P176" s="173"/>
      <c r="Q176" s="173"/>
      <c r="R176" s="173"/>
      <c r="S176" s="173"/>
      <c r="T176" s="173"/>
      <c r="U176" s="173"/>
      <c r="V176" s="165"/>
      <c r="W176" s="173"/>
      <c r="X176" s="173"/>
      <c r="Y176" s="173"/>
      <c r="Z176" s="173"/>
      <c r="AA176" s="173"/>
      <c r="AB176" s="173"/>
      <c r="AC176" s="173"/>
      <c r="AD176" s="173"/>
      <c r="AE176" s="173"/>
      <c r="AF176" s="174"/>
      <c r="AG176" s="16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65"/>
      <c r="AR176" s="173"/>
      <c r="AS176" s="173"/>
      <c r="AT176" s="173"/>
      <c r="AU176" s="173"/>
      <c r="AV176" s="173"/>
      <c r="AW176" s="173"/>
      <c r="AX176" s="173"/>
      <c r="AY176" s="173"/>
      <c r="AZ176" s="173"/>
      <c r="BA176" s="165"/>
      <c r="BB176" s="174"/>
    </row>
    <row r="177" spans="1:54" s="36" customFormat="1" ht="13.8" x14ac:dyDescent="0.3">
      <c r="A177" s="128"/>
      <c r="B177" s="133"/>
      <c r="C177" s="86"/>
      <c r="D177" s="79"/>
      <c r="E177" s="86"/>
      <c r="F177" s="86"/>
      <c r="G177" s="86"/>
      <c r="H177" s="134"/>
      <c r="I177" s="86"/>
      <c r="J177" s="134"/>
      <c r="K177" s="86"/>
      <c r="L177" s="86"/>
      <c r="M177" s="173"/>
      <c r="N177" s="173"/>
      <c r="O177" s="173"/>
      <c r="P177" s="173"/>
      <c r="Q177" s="173"/>
      <c r="R177" s="173"/>
      <c r="S177" s="173"/>
      <c r="T177" s="173"/>
      <c r="U177" s="173"/>
      <c r="V177" s="165"/>
      <c r="W177" s="173"/>
      <c r="X177" s="173"/>
      <c r="Y177" s="173"/>
      <c r="Z177" s="173"/>
      <c r="AA177" s="173"/>
      <c r="AB177" s="173"/>
      <c r="AC177" s="173"/>
      <c r="AD177" s="173"/>
      <c r="AE177" s="173"/>
      <c r="AF177" s="174"/>
      <c r="AG177" s="16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65"/>
      <c r="AR177" s="173"/>
      <c r="AS177" s="173"/>
      <c r="AT177" s="173"/>
      <c r="AU177" s="173"/>
      <c r="AV177" s="173"/>
      <c r="AW177" s="173"/>
      <c r="AX177" s="173"/>
      <c r="AY177" s="173"/>
      <c r="AZ177" s="173"/>
      <c r="BA177" s="165"/>
      <c r="BB177" s="174"/>
    </row>
    <row r="178" spans="1:54" s="36" customFormat="1" ht="13.8" x14ac:dyDescent="0.3">
      <c r="A178" s="128"/>
      <c r="B178" s="133"/>
      <c r="C178" s="86"/>
      <c r="D178" s="79"/>
      <c r="E178" s="86"/>
      <c r="F178" s="86"/>
      <c r="G178" s="86"/>
      <c r="H178" s="134"/>
      <c r="I178" s="86"/>
      <c r="J178" s="134"/>
      <c r="K178" s="86"/>
      <c r="L178" s="86"/>
      <c r="M178" s="173"/>
      <c r="N178" s="173"/>
      <c r="O178" s="173"/>
      <c r="P178" s="173"/>
      <c r="Q178" s="173"/>
      <c r="R178" s="173"/>
      <c r="S178" s="173"/>
      <c r="T178" s="173"/>
      <c r="U178" s="173"/>
      <c r="V178" s="165"/>
      <c r="W178" s="173"/>
      <c r="X178" s="173"/>
      <c r="Y178" s="173"/>
      <c r="Z178" s="173"/>
      <c r="AA178" s="173"/>
      <c r="AB178" s="173"/>
      <c r="AC178" s="173"/>
      <c r="AD178" s="173"/>
      <c r="AE178" s="173"/>
      <c r="AF178" s="174"/>
      <c r="AG178" s="16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65"/>
      <c r="AR178" s="173"/>
      <c r="AS178" s="173"/>
      <c r="AT178" s="173"/>
      <c r="AU178" s="173"/>
      <c r="AV178" s="173"/>
      <c r="AW178" s="173"/>
      <c r="AX178" s="173"/>
      <c r="AY178" s="173"/>
      <c r="AZ178" s="173"/>
      <c r="BA178" s="165"/>
      <c r="BB178" s="174"/>
    </row>
    <row r="179" spans="1:54" s="36" customFormat="1" ht="13.8" x14ac:dyDescent="0.3">
      <c r="A179" s="128"/>
      <c r="B179" s="133"/>
      <c r="C179" s="86"/>
      <c r="D179" s="79"/>
      <c r="E179" s="86"/>
      <c r="F179" s="86"/>
      <c r="G179" s="86"/>
      <c r="H179" s="134"/>
      <c r="I179" s="86"/>
      <c r="J179" s="134"/>
      <c r="K179" s="86"/>
      <c r="L179" s="86"/>
      <c r="M179" s="173"/>
      <c r="N179" s="173"/>
      <c r="O179" s="173"/>
      <c r="P179" s="173"/>
      <c r="Q179" s="173"/>
      <c r="R179" s="173"/>
      <c r="S179" s="173"/>
      <c r="T179" s="173"/>
      <c r="U179" s="173"/>
      <c r="V179" s="165"/>
      <c r="W179" s="173"/>
      <c r="X179" s="173"/>
      <c r="Y179" s="173"/>
      <c r="Z179" s="173"/>
      <c r="AA179" s="173"/>
      <c r="AB179" s="173"/>
      <c r="AC179" s="173"/>
      <c r="AD179" s="173"/>
      <c r="AE179" s="173"/>
      <c r="AF179" s="174"/>
      <c r="AG179" s="16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65"/>
      <c r="AR179" s="173"/>
      <c r="AS179" s="173"/>
      <c r="AT179" s="173"/>
      <c r="AU179" s="173"/>
      <c r="AV179" s="173"/>
      <c r="AW179" s="173"/>
      <c r="AX179" s="173"/>
      <c r="AY179" s="173"/>
      <c r="AZ179" s="173"/>
      <c r="BA179" s="165"/>
      <c r="BB179" s="174"/>
    </row>
    <row r="180" spans="1:54" s="36" customFormat="1" ht="13.8" x14ac:dyDescent="0.3">
      <c r="A180" s="128"/>
      <c r="B180" s="133"/>
      <c r="C180" s="86"/>
      <c r="D180" s="79"/>
      <c r="E180" s="86"/>
      <c r="F180" s="86"/>
      <c r="G180" s="86"/>
      <c r="H180" s="134"/>
      <c r="I180" s="86"/>
      <c r="J180" s="134"/>
      <c r="K180" s="86"/>
      <c r="L180" s="86"/>
      <c r="M180" s="173"/>
      <c r="N180" s="173"/>
      <c r="O180" s="173"/>
      <c r="P180" s="173"/>
      <c r="Q180" s="173"/>
      <c r="R180" s="173"/>
      <c r="S180" s="173"/>
      <c r="T180" s="173"/>
      <c r="U180" s="173"/>
      <c r="V180" s="165"/>
      <c r="W180" s="173"/>
      <c r="X180" s="173"/>
      <c r="Y180" s="173"/>
      <c r="Z180" s="173"/>
      <c r="AA180" s="173"/>
      <c r="AB180" s="173"/>
      <c r="AC180" s="173"/>
      <c r="AD180" s="173"/>
      <c r="AE180" s="173"/>
      <c r="AF180" s="174"/>
      <c r="AG180" s="16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65"/>
      <c r="AR180" s="173"/>
      <c r="AS180" s="173"/>
      <c r="AT180" s="173"/>
      <c r="AU180" s="173"/>
      <c r="AV180" s="173"/>
      <c r="AW180" s="173"/>
      <c r="AX180" s="173"/>
      <c r="AY180" s="173"/>
      <c r="AZ180" s="173"/>
      <c r="BA180" s="165"/>
      <c r="BB180" s="174"/>
    </row>
    <row r="181" spans="1:54" s="36" customFormat="1" ht="13.8" x14ac:dyDescent="0.3">
      <c r="A181" s="128"/>
      <c r="B181" s="133"/>
      <c r="C181" s="86"/>
      <c r="D181" s="79"/>
      <c r="E181" s="86"/>
      <c r="F181" s="86"/>
      <c r="G181" s="86"/>
      <c r="H181" s="134"/>
      <c r="I181" s="86"/>
      <c r="J181" s="134"/>
      <c r="K181" s="86"/>
      <c r="L181" s="86"/>
      <c r="M181" s="173"/>
      <c r="N181" s="173"/>
      <c r="O181" s="173"/>
      <c r="P181" s="173"/>
      <c r="Q181" s="173"/>
      <c r="R181" s="173"/>
      <c r="S181" s="173"/>
      <c r="T181" s="173"/>
      <c r="U181" s="173"/>
      <c r="V181" s="165"/>
      <c r="W181" s="173"/>
      <c r="X181" s="173"/>
      <c r="Y181" s="173"/>
      <c r="Z181" s="173"/>
      <c r="AA181" s="173"/>
      <c r="AB181" s="173"/>
      <c r="AC181" s="173"/>
      <c r="AD181" s="173"/>
      <c r="AE181" s="173"/>
      <c r="AF181" s="174"/>
      <c r="AG181" s="16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65"/>
      <c r="AR181" s="173"/>
      <c r="AS181" s="173"/>
      <c r="AT181" s="173"/>
      <c r="AU181" s="173"/>
      <c r="AV181" s="173"/>
      <c r="AW181" s="173"/>
      <c r="AX181" s="173"/>
      <c r="AY181" s="173"/>
      <c r="AZ181" s="173"/>
      <c r="BA181" s="165"/>
      <c r="BB181" s="174"/>
    </row>
    <row r="182" spans="1:54" s="36" customFormat="1" ht="13.8" x14ac:dyDescent="0.3">
      <c r="A182" s="128"/>
      <c r="B182" s="133"/>
      <c r="C182" s="86"/>
      <c r="D182" s="79"/>
      <c r="E182" s="86"/>
      <c r="F182" s="86"/>
      <c r="G182" s="86"/>
      <c r="H182" s="134"/>
      <c r="I182" s="86"/>
      <c r="J182" s="134"/>
      <c r="K182" s="86"/>
      <c r="L182" s="86"/>
      <c r="M182" s="173"/>
      <c r="N182" s="173"/>
      <c r="O182" s="173"/>
      <c r="P182" s="173"/>
      <c r="Q182" s="173"/>
      <c r="R182" s="173"/>
      <c r="S182" s="173"/>
      <c r="T182" s="173"/>
      <c r="U182" s="173"/>
      <c r="V182" s="165"/>
      <c r="W182" s="173"/>
      <c r="X182" s="173"/>
      <c r="Y182" s="173"/>
      <c r="Z182" s="173"/>
      <c r="AA182" s="173"/>
      <c r="AB182" s="173"/>
      <c r="AC182" s="173"/>
      <c r="AD182" s="173"/>
      <c r="AE182" s="173"/>
      <c r="AF182" s="174"/>
      <c r="AG182" s="16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65"/>
      <c r="AR182" s="173"/>
      <c r="AS182" s="173"/>
      <c r="AT182" s="173"/>
      <c r="AU182" s="173"/>
      <c r="AV182" s="173"/>
      <c r="AW182" s="173"/>
      <c r="AX182" s="173"/>
      <c r="AY182" s="173"/>
      <c r="AZ182" s="173"/>
      <c r="BA182" s="165"/>
      <c r="BB182" s="174"/>
    </row>
    <row r="183" spans="1:54" s="36" customFormat="1" ht="13.8" x14ac:dyDescent="0.3">
      <c r="A183" s="128"/>
      <c r="B183" s="133"/>
      <c r="C183" s="86"/>
      <c r="D183" s="79"/>
      <c r="E183" s="86"/>
      <c r="F183" s="86"/>
      <c r="G183" s="86"/>
      <c r="H183" s="134"/>
      <c r="I183" s="86"/>
      <c r="J183" s="134"/>
      <c r="K183" s="86"/>
      <c r="L183" s="86"/>
      <c r="M183" s="173"/>
      <c r="N183" s="173"/>
      <c r="O183" s="173"/>
      <c r="P183" s="173"/>
      <c r="Q183" s="173"/>
      <c r="R183" s="173"/>
      <c r="S183" s="173"/>
      <c r="T183" s="173"/>
      <c r="U183" s="173"/>
      <c r="V183" s="165"/>
      <c r="W183" s="173"/>
      <c r="X183" s="173"/>
      <c r="Y183" s="173"/>
      <c r="Z183" s="173"/>
      <c r="AA183" s="173"/>
      <c r="AB183" s="173"/>
      <c r="AC183" s="173"/>
      <c r="AD183" s="173"/>
      <c r="AE183" s="173"/>
      <c r="AF183" s="174"/>
      <c r="AG183" s="16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65"/>
      <c r="AR183" s="173"/>
      <c r="AS183" s="173"/>
      <c r="AT183" s="173"/>
      <c r="AU183" s="173"/>
      <c r="AV183" s="173"/>
      <c r="AW183" s="173"/>
      <c r="AX183" s="173"/>
      <c r="AY183" s="173"/>
      <c r="AZ183" s="173"/>
      <c r="BA183" s="165"/>
      <c r="BB183" s="174"/>
    </row>
    <row r="184" spans="1:54" s="36" customFormat="1" ht="13.8" x14ac:dyDescent="0.3">
      <c r="A184" s="128"/>
      <c r="B184" s="133"/>
      <c r="C184" s="86"/>
      <c r="D184" s="79"/>
      <c r="E184" s="86"/>
      <c r="F184" s="86"/>
      <c r="G184" s="86"/>
      <c r="H184" s="134"/>
      <c r="I184" s="86"/>
      <c r="J184" s="134"/>
      <c r="K184" s="86"/>
      <c r="L184" s="86"/>
      <c r="M184" s="173"/>
      <c r="N184" s="173"/>
      <c r="O184" s="173"/>
      <c r="P184" s="173"/>
      <c r="Q184" s="173"/>
      <c r="R184" s="173"/>
      <c r="S184" s="173"/>
      <c r="T184" s="173"/>
      <c r="U184" s="173"/>
      <c r="V184" s="165"/>
      <c r="W184" s="173"/>
      <c r="X184" s="173"/>
      <c r="Y184" s="173"/>
      <c r="Z184" s="173"/>
      <c r="AA184" s="173"/>
      <c r="AB184" s="173"/>
      <c r="AC184" s="173"/>
      <c r="AD184" s="173"/>
      <c r="AE184" s="173"/>
      <c r="AF184" s="174"/>
      <c r="AG184" s="16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65"/>
      <c r="AR184" s="173"/>
      <c r="AS184" s="173"/>
      <c r="AT184" s="173"/>
      <c r="AU184" s="173"/>
      <c r="AV184" s="173"/>
      <c r="AW184" s="173"/>
      <c r="AX184" s="173"/>
      <c r="AY184" s="173"/>
      <c r="AZ184" s="173"/>
      <c r="BA184" s="165"/>
      <c r="BB184" s="174"/>
    </row>
    <row r="185" spans="1:54" s="36" customFormat="1" ht="13.8" x14ac:dyDescent="0.3">
      <c r="A185" s="128"/>
      <c r="B185" s="133"/>
      <c r="C185" s="86"/>
      <c r="D185" s="79"/>
      <c r="E185" s="86"/>
      <c r="F185" s="86"/>
      <c r="G185" s="86"/>
      <c r="H185" s="134"/>
      <c r="I185" s="86"/>
      <c r="J185" s="134"/>
      <c r="K185" s="86"/>
      <c r="L185" s="86"/>
      <c r="M185" s="173"/>
      <c r="N185" s="173"/>
      <c r="O185" s="173"/>
      <c r="P185" s="173"/>
      <c r="Q185" s="173"/>
      <c r="R185" s="173"/>
      <c r="S185" s="173"/>
      <c r="T185" s="173"/>
      <c r="U185" s="173"/>
      <c r="V185" s="165"/>
      <c r="W185" s="173"/>
      <c r="X185" s="173"/>
      <c r="Y185" s="173"/>
      <c r="Z185" s="173"/>
      <c r="AA185" s="173"/>
      <c r="AB185" s="173"/>
      <c r="AC185" s="173"/>
      <c r="AD185" s="173"/>
      <c r="AE185" s="173"/>
      <c r="AF185" s="174"/>
      <c r="AG185" s="16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65"/>
      <c r="AR185" s="173"/>
      <c r="AS185" s="173"/>
      <c r="AT185" s="173"/>
      <c r="AU185" s="173"/>
      <c r="AV185" s="173"/>
      <c r="AW185" s="173"/>
      <c r="AX185" s="173"/>
      <c r="AY185" s="173"/>
      <c r="AZ185" s="173"/>
      <c r="BA185" s="165"/>
      <c r="BB185" s="174"/>
    </row>
    <row r="186" spans="1:54" s="36" customFormat="1" ht="13.8" x14ac:dyDescent="0.3">
      <c r="A186" s="128"/>
      <c r="B186" s="133"/>
      <c r="C186" s="86"/>
      <c r="D186" s="79"/>
      <c r="E186" s="86"/>
      <c r="F186" s="86"/>
      <c r="G186" s="86"/>
      <c r="H186" s="134"/>
      <c r="I186" s="86"/>
      <c r="J186" s="134"/>
      <c r="K186" s="86"/>
      <c r="L186" s="86"/>
      <c r="M186" s="173"/>
      <c r="N186" s="173"/>
      <c r="O186" s="173"/>
      <c r="P186" s="173"/>
      <c r="Q186" s="173"/>
      <c r="R186" s="173"/>
      <c r="S186" s="173"/>
      <c r="T186" s="173"/>
      <c r="U186" s="173"/>
      <c r="V186" s="165"/>
      <c r="W186" s="173"/>
      <c r="X186" s="173"/>
      <c r="Y186" s="173"/>
      <c r="Z186" s="173"/>
      <c r="AA186" s="173"/>
      <c r="AB186" s="173"/>
      <c r="AC186" s="173"/>
      <c r="AD186" s="173"/>
      <c r="AE186" s="173"/>
      <c r="AF186" s="174"/>
      <c r="AG186" s="16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65"/>
      <c r="AR186" s="173"/>
      <c r="AS186" s="173"/>
      <c r="AT186" s="173"/>
      <c r="AU186" s="173"/>
      <c r="AV186" s="173"/>
      <c r="AW186" s="173"/>
      <c r="AX186" s="173"/>
      <c r="AY186" s="173"/>
      <c r="AZ186" s="173"/>
      <c r="BA186" s="165"/>
      <c r="BB186" s="174"/>
    </row>
    <row r="187" spans="1:54" s="36" customFormat="1" ht="13.8" x14ac:dyDescent="0.3">
      <c r="A187" s="128"/>
      <c r="B187" s="133"/>
      <c r="C187" s="86"/>
      <c r="D187" s="79"/>
      <c r="E187" s="86"/>
      <c r="F187" s="86"/>
      <c r="G187" s="86"/>
      <c r="H187" s="134"/>
      <c r="I187" s="86"/>
      <c r="J187" s="134"/>
      <c r="K187" s="86"/>
      <c r="L187" s="86"/>
      <c r="M187" s="173"/>
      <c r="N187" s="173"/>
      <c r="O187" s="173"/>
      <c r="P187" s="173"/>
      <c r="Q187" s="173"/>
      <c r="R187" s="173"/>
      <c r="S187" s="173"/>
      <c r="T187" s="173"/>
      <c r="U187" s="173"/>
      <c r="V187" s="165"/>
      <c r="W187" s="173"/>
      <c r="X187" s="173"/>
      <c r="Y187" s="173"/>
      <c r="Z187" s="173"/>
      <c r="AA187" s="173"/>
      <c r="AB187" s="173"/>
      <c r="AC187" s="173"/>
      <c r="AD187" s="173"/>
      <c r="AE187" s="173"/>
      <c r="AF187" s="174"/>
      <c r="AG187" s="16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65"/>
      <c r="AR187" s="173"/>
      <c r="AS187" s="173"/>
      <c r="AT187" s="173"/>
      <c r="AU187" s="173"/>
      <c r="AV187" s="173"/>
      <c r="AW187" s="173"/>
      <c r="AX187" s="173"/>
      <c r="AY187" s="173"/>
      <c r="AZ187" s="173"/>
      <c r="BA187" s="165"/>
      <c r="BB187" s="174"/>
    </row>
    <row r="188" spans="1:54" s="36" customFormat="1" ht="13.8" x14ac:dyDescent="0.3">
      <c r="A188" s="128"/>
      <c r="B188" s="133"/>
      <c r="C188" s="86"/>
      <c r="D188" s="79"/>
      <c r="E188" s="86"/>
      <c r="F188" s="86"/>
      <c r="G188" s="86"/>
      <c r="H188" s="134"/>
      <c r="I188" s="86"/>
      <c r="J188" s="134"/>
      <c r="K188" s="86"/>
      <c r="L188" s="86"/>
      <c r="M188" s="173"/>
      <c r="N188" s="173"/>
      <c r="O188" s="173"/>
      <c r="P188" s="173"/>
      <c r="Q188" s="173"/>
      <c r="R188" s="173"/>
      <c r="S188" s="173"/>
      <c r="T188" s="173"/>
      <c r="U188" s="173"/>
      <c r="V188" s="165"/>
      <c r="W188" s="173"/>
      <c r="X188" s="173"/>
      <c r="Y188" s="173"/>
      <c r="Z188" s="173"/>
      <c r="AA188" s="173"/>
      <c r="AB188" s="173"/>
      <c r="AC188" s="173"/>
      <c r="AD188" s="173"/>
      <c r="AE188" s="173"/>
      <c r="AF188" s="174"/>
      <c r="AG188" s="16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65"/>
      <c r="AR188" s="173"/>
      <c r="AS188" s="173"/>
      <c r="AT188" s="173"/>
      <c r="AU188" s="173"/>
      <c r="AV188" s="173"/>
      <c r="AW188" s="173"/>
      <c r="AX188" s="173"/>
      <c r="AY188" s="173"/>
      <c r="AZ188" s="173"/>
      <c r="BA188" s="165"/>
      <c r="BB188" s="174"/>
    </row>
    <row r="189" spans="1:54" s="36" customFormat="1" ht="13.8" x14ac:dyDescent="0.3">
      <c r="A189" s="128"/>
      <c r="B189" s="133"/>
      <c r="C189" s="86"/>
      <c r="D189" s="79"/>
      <c r="E189" s="86"/>
      <c r="F189" s="86"/>
      <c r="G189" s="86"/>
      <c r="H189" s="134"/>
      <c r="I189" s="86"/>
      <c r="J189" s="134"/>
      <c r="K189" s="86"/>
      <c r="L189" s="86"/>
      <c r="M189" s="173"/>
      <c r="N189" s="173"/>
      <c r="O189" s="173"/>
      <c r="P189" s="173"/>
      <c r="Q189" s="173"/>
      <c r="R189" s="173"/>
      <c r="S189" s="173"/>
      <c r="T189" s="173"/>
      <c r="U189" s="173"/>
      <c r="V189" s="165"/>
      <c r="W189" s="173"/>
      <c r="X189" s="173"/>
      <c r="Y189" s="173"/>
      <c r="Z189" s="173"/>
      <c r="AA189" s="173"/>
      <c r="AB189" s="173"/>
      <c r="AC189" s="173"/>
      <c r="AD189" s="173"/>
      <c r="AE189" s="173"/>
      <c r="AF189" s="174"/>
      <c r="AG189" s="16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65"/>
      <c r="AR189" s="173"/>
      <c r="AS189" s="173"/>
      <c r="AT189" s="173"/>
      <c r="AU189" s="173"/>
      <c r="AV189" s="173"/>
      <c r="AW189" s="173"/>
      <c r="AX189" s="173"/>
      <c r="AY189" s="173"/>
      <c r="AZ189" s="173"/>
      <c r="BA189" s="165"/>
      <c r="BB189" s="174"/>
    </row>
    <row r="190" spans="1:54" s="36" customFormat="1" ht="13.8" x14ac:dyDescent="0.3">
      <c r="A190" s="128"/>
      <c r="B190" s="133"/>
      <c r="C190" s="86"/>
      <c r="D190" s="79"/>
      <c r="E190" s="86"/>
      <c r="F190" s="86"/>
      <c r="G190" s="86"/>
      <c r="H190" s="134"/>
      <c r="I190" s="86"/>
      <c r="J190" s="134"/>
      <c r="K190" s="86"/>
      <c r="L190" s="86"/>
      <c r="M190" s="173"/>
      <c r="N190" s="173"/>
      <c r="O190" s="173"/>
      <c r="P190" s="173"/>
      <c r="Q190" s="173"/>
      <c r="R190" s="173"/>
      <c r="S190" s="173"/>
      <c r="T190" s="173"/>
      <c r="U190" s="173"/>
      <c r="V190" s="165"/>
      <c r="W190" s="173"/>
      <c r="X190" s="173"/>
      <c r="Y190" s="173"/>
      <c r="Z190" s="173"/>
      <c r="AA190" s="173"/>
      <c r="AB190" s="173"/>
      <c r="AC190" s="173"/>
      <c r="AD190" s="173"/>
      <c r="AE190" s="173"/>
      <c r="AF190" s="174"/>
      <c r="AG190" s="16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65"/>
      <c r="AR190" s="173"/>
      <c r="AS190" s="173"/>
      <c r="AT190" s="173"/>
      <c r="AU190" s="173"/>
      <c r="AV190" s="173"/>
      <c r="AW190" s="173"/>
      <c r="AX190" s="173"/>
      <c r="AY190" s="173"/>
      <c r="AZ190" s="173"/>
      <c r="BA190" s="165"/>
      <c r="BB190" s="174"/>
    </row>
    <row r="191" spans="1:54" s="36" customFormat="1" ht="13.8" x14ac:dyDescent="0.3">
      <c r="A191" s="128"/>
      <c r="B191" s="133"/>
      <c r="C191" s="86"/>
      <c r="D191" s="79"/>
      <c r="E191" s="86"/>
      <c r="F191" s="86"/>
      <c r="G191" s="86"/>
      <c r="H191" s="134"/>
      <c r="I191" s="86"/>
      <c r="J191" s="134"/>
      <c r="K191" s="86"/>
      <c r="L191" s="86"/>
      <c r="M191" s="173"/>
      <c r="N191" s="173"/>
      <c r="O191" s="173"/>
      <c r="P191" s="173"/>
      <c r="Q191" s="173"/>
      <c r="R191" s="173"/>
      <c r="S191" s="173"/>
      <c r="T191" s="173"/>
      <c r="U191" s="173"/>
      <c r="V191" s="165"/>
      <c r="W191" s="173"/>
      <c r="X191" s="173"/>
      <c r="Y191" s="173"/>
      <c r="Z191" s="173"/>
      <c r="AA191" s="173"/>
      <c r="AB191" s="173"/>
      <c r="AC191" s="173"/>
      <c r="AD191" s="173"/>
      <c r="AE191" s="173"/>
      <c r="AF191" s="174"/>
      <c r="AG191" s="16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65"/>
      <c r="AR191" s="173"/>
      <c r="AS191" s="173"/>
      <c r="AT191" s="173"/>
      <c r="AU191" s="173"/>
      <c r="AV191" s="173"/>
      <c r="AW191" s="173"/>
      <c r="AX191" s="173"/>
      <c r="AY191" s="173"/>
      <c r="AZ191" s="173"/>
      <c r="BA191" s="165"/>
      <c r="BB191" s="174"/>
    </row>
    <row r="192" spans="1:54" s="36" customFormat="1" ht="13.8" x14ac:dyDescent="0.3">
      <c r="A192" s="128"/>
      <c r="B192" s="133"/>
      <c r="C192" s="86"/>
      <c r="D192" s="79"/>
      <c r="E192" s="86"/>
      <c r="F192" s="86"/>
      <c r="G192" s="86"/>
      <c r="H192" s="134"/>
      <c r="I192" s="86"/>
      <c r="J192" s="134"/>
      <c r="K192" s="86"/>
      <c r="L192" s="86"/>
      <c r="M192" s="173"/>
      <c r="N192" s="173"/>
      <c r="O192" s="173"/>
      <c r="P192" s="173"/>
      <c r="Q192" s="173"/>
      <c r="R192" s="173"/>
      <c r="S192" s="173"/>
      <c r="T192" s="173"/>
      <c r="U192" s="173"/>
      <c r="V192" s="165"/>
      <c r="W192" s="173"/>
      <c r="X192" s="173"/>
      <c r="Y192" s="173"/>
      <c r="Z192" s="173"/>
      <c r="AA192" s="173"/>
      <c r="AB192" s="173"/>
      <c r="AC192" s="173"/>
      <c r="AD192" s="173"/>
      <c r="AE192" s="173"/>
      <c r="AF192" s="174"/>
      <c r="AG192" s="16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65"/>
      <c r="AR192" s="173"/>
      <c r="AS192" s="173"/>
      <c r="AT192" s="173"/>
      <c r="AU192" s="173"/>
      <c r="AV192" s="173"/>
      <c r="AW192" s="173"/>
      <c r="AX192" s="173"/>
      <c r="AY192" s="173"/>
      <c r="AZ192" s="173"/>
      <c r="BA192" s="165"/>
      <c r="BB192" s="174"/>
    </row>
    <row r="193" spans="1:54" s="36" customFormat="1" ht="13.8" x14ac:dyDescent="0.3">
      <c r="A193" s="128"/>
      <c r="B193" s="133"/>
      <c r="C193" s="86"/>
      <c r="D193" s="79"/>
      <c r="E193" s="86"/>
      <c r="F193" s="86"/>
      <c r="G193" s="86"/>
      <c r="H193" s="134"/>
      <c r="I193" s="86"/>
      <c r="J193" s="134"/>
      <c r="K193" s="86"/>
      <c r="L193" s="86"/>
      <c r="M193" s="173"/>
      <c r="N193" s="173"/>
      <c r="O193" s="173"/>
      <c r="P193" s="173"/>
      <c r="Q193" s="173"/>
      <c r="R193" s="173"/>
      <c r="S193" s="173"/>
      <c r="T193" s="173"/>
      <c r="U193" s="173"/>
      <c r="V193" s="165"/>
      <c r="W193" s="173"/>
      <c r="X193" s="173"/>
      <c r="Y193" s="173"/>
      <c r="Z193" s="173"/>
      <c r="AA193" s="173"/>
      <c r="AB193" s="173"/>
      <c r="AC193" s="173"/>
      <c r="AD193" s="173"/>
      <c r="AE193" s="173"/>
      <c r="AF193" s="174"/>
      <c r="AG193" s="16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65"/>
      <c r="AR193" s="173"/>
      <c r="AS193" s="173"/>
      <c r="AT193" s="173"/>
      <c r="AU193" s="173"/>
      <c r="AV193" s="173"/>
      <c r="AW193" s="173"/>
      <c r="AX193" s="173"/>
      <c r="AY193" s="173"/>
      <c r="AZ193" s="173"/>
      <c r="BA193" s="165"/>
      <c r="BB193" s="174"/>
    </row>
    <row r="194" spans="1:54" s="36" customFormat="1" ht="13.8" x14ac:dyDescent="0.3">
      <c r="A194" s="128"/>
      <c r="B194" s="133"/>
      <c r="C194" s="86"/>
      <c r="D194" s="79"/>
      <c r="E194" s="86"/>
      <c r="F194" s="86"/>
      <c r="G194" s="86"/>
      <c r="H194" s="134"/>
      <c r="I194" s="86"/>
      <c r="J194" s="134"/>
      <c r="K194" s="86"/>
      <c r="L194" s="86"/>
      <c r="M194" s="173"/>
      <c r="N194" s="173"/>
      <c r="O194" s="173"/>
      <c r="P194" s="173"/>
      <c r="Q194" s="173"/>
      <c r="R194" s="173"/>
      <c r="S194" s="173"/>
      <c r="T194" s="173"/>
      <c r="U194" s="173"/>
      <c r="V194" s="165"/>
      <c r="W194" s="173"/>
      <c r="X194" s="173"/>
      <c r="Y194" s="173"/>
      <c r="Z194" s="173"/>
      <c r="AA194" s="173"/>
      <c r="AB194" s="173"/>
      <c r="AC194" s="173"/>
      <c r="AD194" s="173"/>
      <c r="AE194" s="173"/>
      <c r="AF194" s="174"/>
      <c r="AG194" s="16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65"/>
      <c r="AR194" s="173"/>
      <c r="AS194" s="173"/>
      <c r="AT194" s="173"/>
      <c r="AU194" s="173"/>
      <c r="AV194" s="173"/>
      <c r="AW194" s="173"/>
      <c r="AX194" s="173"/>
      <c r="AY194" s="173"/>
      <c r="AZ194" s="173"/>
      <c r="BA194" s="165"/>
      <c r="BB194" s="174"/>
    </row>
    <row r="195" spans="1:54" s="36" customFormat="1" ht="13.8" x14ac:dyDescent="0.3">
      <c r="A195" s="128"/>
      <c r="B195" s="133"/>
      <c r="C195" s="86"/>
      <c r="D195" s="79"/>
      <c r="E195" s="86"/>
      <c r="F195" s="86"/>
      <c r="G195" s="86"/>
      <c r="H195" s="134"/>
      <c r="I195" s="86"/>
      <c r="J195" s="134"/>
      <c r="K195" s="86"/>
      <c r="L195" s="86"/>
      <c r="M195" s="173"/>
      <c r="N195" s="173"/>
      <c r="O195" s="173"/>
      <c r="P195" s="173"/>
      <c r="Q195" s="173"/>
      <c r="R195" s="173"/>
      <c r="S195" s="173"/>
      <c r="T195" s="173"/>
      <c r="U195" s="173"/>
      <c r="V195" s="165"/>
      <c r="W195" s="173"/>
      <c r="X195" s="173"/>
      <c r="Y195" s="173"/>
      <c r="Z195" s="173"/>
      <c r="AA195" s="173"/>
      <c r="AB195" s="173"/>
      <c r="AC195" s="173"/>
      <c r="AD195" s="173"/>
      <c r="AE195" s="173"/>
      <c r="AF195" s="174"/>
      <c r="AG195" s="16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65"/>
      <c r="AR195" s="173"/>
      <c r="AS195" s="173"/>
      <c r="AT195" s="173"/>
      <c r="AU195" s="173"/>
      <c r="AV195" s="173"/>
      <c r="AW195" s="173"/>
      <c r="AX195" s="173"/>
      <c r="AY195" s="173"/>
      <c r="AZ195" s="173"/>
      <c r="BA195" s="165"/>
      <c r="BB195" s="174"/>
    </row>
    <row r="196" spans="1:54" s="36" customFormat="1" ht="13.8" x14ac:dyDescent="0.3">
      <c r="A196" s="128"/>
      <c r="B196" s="133"/>
      <c r="C196" s="86"/>
      <c r="D196" s="79"/>
      <c r="E196" s="86"/>
      <c r="F196" s="86"/>
      <c r="G196" s="86"/>
      <c r="H196" s="134"/>
      <c r="I196" s="86"/>
      <c r="J196" s="134"/>
      <c r="K196" s="86"/>
      <c r="L196" s="86"/>
      <c r="M196" s="173"/>
      <c r="N196" s="173"/>
      <c r="O196" s="173"/>
      <c r="P196" s="173"/>
      <c r="Q196" s="173"/>
      <c r="R196" s="173"/>
      <c r="S196" s="173"/>
      <c r="T196" s="173"/>
      <c r="U196" s="173"/>
      <c r="V196" s="165"/>
      <c r="W196" s="173"/>
      <c r="X196" s="173"/>
      <c r="Y196" s="173"/>
      <c r="Z196" s="173"/>
      <c r="AA196" s="173"/>
      <c r="AB196" s="173"/>
      <c r="AC196" s="173"/>
      <c r="AD196" s="173"/>
      <c r="AE196" s="173"/>
      <c r="AF196" s="174"/>
      <c r="AG196" s="16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65"/>
      <c r="AR196" s="173"/>
      <c r="AS196" s="173"/>
      <c r="AT196" s="173"/>
      <c r="AU196" s="173"/>
      <c r="AV196" s="173"/>
      <c r="AW196" s="173"/>
      <c r="AX196" s="173"/>
      <c r="AY196" s="173"/>
      <c r="AZ196" s="173"/>
      <c r="BA196" s="165"/>
      <c r="BB196" s="174"/>
    </row>
    <row r="197" spans="1:54" s="36" customFormat="1" ht="13.8" x14ac:dyDescent="0.3">
      <c r="A197" s="128"/>
      <c r="B197" s="133"/>
      <c r="C197" s="86"/>
      <c r="D197" s="79"/>
      <c r="E197" s="86"/>
      <c r="F197" s="86"/>
      <c r="G197" s="86"/>
      <c r="H197" s="134"/>
      <c r="I197" s="86"/>
      <c r="J197" s="134"/>
      <c r="K197" s="86"/>
      <c r="L197" s="86"/>
      <c r="M197" s="173"/>
      <c r="N197" s="173"/>
      <c r="O197" s="173"/>
      <c r="P197" s="173"/>
      <c r="Q197" s="173"/>
      <c r="R197" s="173"/>
      <c r="S197" s="173"/>
      <c r="T197" s="173"/>
      <c r="U197" s="173"/>
      <c r="V197" s="165"/>
      <c r="W197" s="173"/>
      <c r="X197" s="173"/>
      <c r="Y197" s="173"/>
      <c r="Z197" s="173"/>
      <c r="AA197" s="173"/>
      <c r="AB197" s="173"/>
      <c r="AC197" s="173"/>
      <c r="AD197" s="173"/>
      <c r="AE197" s="173"/>
      <c r="AF197" s="174"/>
      <c r="AG197" s="16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65"/>
      <c r="AR197" s="173"/>
      <c r="AS197" s="173"/>
      <c r="AT197" s="173"/>
      <c r="AU197" s="173"/>
      <c r="AV197" s="173"/>
      <c r="AW197" s="173"/>
      <c r="AX197" s="173"/>
      <c r="AY197" s="173"/>
      <c r="AZ197" s="173"/>
      <c r="BA197" s="165"/>
      <c r="BB197" s="174"/>
    </row>
    <row r="198" spans="1:54" s="36" customFormat="1" ht="13.8" x14ac:dyDescent="0.3">
      <c r="A198" s="128"/>
      <c r="B198" s="133"/>
      <c r="C198" s="86"/>
      <c r="D198" s="79"/>
      <c r="E198" s="86"/>
      <c r="F198" s="86"/>
      <c r="G198" s="86"/>
      <c r="H198" s="134"/>
      <c r="I198" s="86"/>
      <c r="J198" s="134"/>
      <c r="K198" s="86"/>
      <c r="L198" s="86"/>
      <c r="M198" s="173"/>
      <c r="N198" s="173"/>
      <c r="O198" s="173"/>
      <c r="P198" s="173"/>
      <c r="Q198" s="173"/>
      <c r="R198" s="173"/>
      <c r="S198" s="173"/>
      <c r="T198" s="173"/>
      <c r="U198" s="173"/>
      <c r="V198" s="165"/>
      <c r="W198" s="173"/>
      <c r="X198" s="173"/>
      <c r="Y198" s="173"/>
      <c r="Z198" s="173"/>
      <c r="AA198" s="173"/>
      <c r="AB198" s="173"/>
      <c r="AC198" s="173"/>
      <c r="AD198" s="173"/>
      <c r="AE198" s="173"/>
      <c r="AF198" s="174"/>
      <c r="AG198" s="16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65"/>
      <c r="AR198" s="173"/>
      <c r="AS198" s="173"/>
      <c r="AT198" s="173"/>
      <c r="AU198" s="173"/>
      <c r="AV198" s="173"/>
      <c r="AW198" s="173"/>
      <c r="AX198" s="173"/>
      <c r="AY198" s="173"/>
      <c r="AZ198" s="173"/>
      <c r="BA198" s="165"/>
      <c r="BB198" s="174"/>
    </row>
    <row r="199" spans="1:54" s="36" customFormat="1" ht="13.8" x14ac:dyDescent="0.3">
      <c r="A199" s="128"/>
      <c r="B199" s="133"/>
      <c r="C199" s="86"/>
      <c r="D199" s="79"/>
      <c r="E199" s="86"/>
      <c r="F199" s="86"/>
      <c r="G199" s="86"/>
      <c r="H199" s="134"/>
      <c r="I199" s="86"/>
      <c r="J199" s="134"/>
      <c r="K199" s="86"/>
      <c r="L199" s="86"/>
      <c r="M199" s="173"/>
      <c r="N199" s="173"/>
      <c r="O199" s="173"/>
      <c r="P199" s="173"/>
      <c r="Q199" s="173"/>
      <c r="R199" s="173"/>
      <c r="S199" s="173"/>
      <c r="T199" s="173"/>
      <c r="U199" s="173"/>
      <c r="V199" s="165"/>
      <c r="W199" s="173"/>
      <c r="X199" s="173"/>
      <c r="Y199" s="173"/>
      <c r="Z199" s="173"/>
      <c r="AA199" s="173"/>
      <c r="AB199" s="173"/>
      <c r="AC199" s="173"/>
      <c r="AD199" s="173"/>
      <c r="AE199" s="173"/>
      <c r="AF199" s="174"/>
      <c r="AG199" s="16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65"/>
      <c r="AR199" s="173"/>
      <c r="AS199" s="173"/>
      <c r="AT199" s="173"/>
      <c r="AU199" s="173"/>
      <c r="AV199" s="173"/>
      <c r="AW199" s="173"/>
      <c r="AX199" s="173"/>
      <c r="AY199" s="173"/>
      <c r="AZ199" s="173"/>
      <c r="BA199" s="165"/>
      <c r="BB199" s="174"/>
    </row>
    <row r="200" spans="1:54" s="36" customFormat="1" ht="13.8" x14ac:dyDescent="0.3">
      <c r="A200" s="128"/>
      <c r="B200" s="133"/>
      <c r="C200" s="86"/>
      <c r="D200" s="79"/>
      <c r="E200" s="86"/>
      <c r="F200" s="86"/>
      <c r="G200" s="86"/>
      <c r="H200" s="134"/>
      <c r="I200" s="86"/>
      <c r="J200" s="134"/>
      <c r="K200" s="86"/>
      <c r="L200" s="86"/>
      <c r="M200" s="173"/>
      <c r="N200" s="173"/>
      <c r="O200" s="173"/>
      <c r="P200" s="173"/>
      <c r="Q200" s="173"/>
      <c r="R200" s="173"/>
      <c r="S200" s="173"/>
      <c r="T200" s="173"/>
      <c r="U200" s="173"/>
      <c r="V200" s="165"/>
      <c r="W200" s="173"/>
      <c r="X200" s="173"/>
      <c r="Y200" s="173"/>
      <c r="Z200" s="173"/>
      <c r="AA200" s="173"/>
      <c r="AB200" s="173"/>
      <c r="AC200" s="173"/>
      <c r="AD200" s="173"/>
      <c r="AE200" s="173"/>
      <c r="AF200" s="174"/>
      <c r="AG200" s="16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65"/>
      <c r="AR200" s="173"/>
      <c r="AS200" s="173"/>
      <c r="AT200" s="173"/>
      <c r="AU200" s="173"/>
      <c r="AV200" s="173"/>
      <c r="AW200" s="173"/>
      <c r="AX200" s="173"/>
      <c r="AY200" s="173"/>
      <c r="AZ200" s="173"/>
      <c r="BA200" s="165"/>
      <c r="BB200" s="174"/>
    </row>
    <row r="201" spans="1:54" s="36" customFormat="1" ht="13.8" x14ac:dyDescent="0.3">
      <c r="A201" s="128"/>
      <c r="B201" s="133"/>
      <c r="C201" s="86"/>
      <c r="D201" s="79"/>
      <c r="E201" s="86"/>
      <c r="F201" s="86"/>
      <c r="G201" s="86"/>
      <c r="H201" s="134"/>
      <c r="I201" s="86"/>
      <c r="J201" s="134"/>
      <c r="K201" s="86"/>
      <c r="L201" s="86"/>
      <c r="M201" s="173"/>
      <c r="N201" s="173"/>
      <c r="O201" s="173"/>
      <c r="P201" s="173"/>
      <c r="Q201" s="173"/>
      <c r="R201" s="173"/>
      <c r="S201" s="173"/>
      <c r="T201" s="173"/>
      <c r="U201" s="173"/>
      <c r="V201" s="165"/>
      <c r="W201" s="173"/>
      <c r="X201" s="173"/>
      <c r="Y201" s="173"/>
      <c r="Z201" s="173"/>
      <c r="AA201" s="173"/>
      <c r="AB201" s="173"/>
      <c r="AC201" s="173"/>
      <c r="AD201" s="173"/>
      <c r="AE201" s="173"/>
      <c r="AF201" s="174"/>
      <c r="AG201" s="16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65"/>
      <c r="AR201" s="173"/>
      <c r="AS201" s="173"/>
      <c r="AT201" s="173"/>
      <c r="AU201" s="173"/>
      <c r="AV201" s="173"/>
      <c r="AW201" s="173"/>
      <c r="AX201" s="173"/>
      <c r="AY201" s="173"/>
      <c r="AZ201" s="173"/>
      <c r="BA201" s="165"/>
      <c r="BB201" s="174"/>
    </row>
    <row r="202" spans="1:54" s="36" customFormat="1" ht="13.8" x14ac:dyDescent="0.3">
      <c r="A202" s="128"/>
      <c r="B202" s="133"/>
      <c r="C202" s="86"/>
      <c r="D202" s="79"/>
      <c r="E202" s="86"/>
      <c r="F202" s="86"/>
      <c r="G202" s="86"/>
      <c r="H202" s="134"/>
      <c r="I202" s="86"/>
      <c r="J202" s="134"/>
      <c r="K202" s="86"/>
      <c r="L202" s="86"/>
      <c r="M202" s="173"/>
      <c r="N202" s="173"/>
      <c r="O202" s="173"/>
      <c r="P202" s="173"/>
      <c r="Q202" s="173"/>
      <c r="R202" s="173"/>
      <c r="S202" s="173"/>
      <c r="T202" s="173"/>
      <c r="U202" s="173"/>
      <c r="V202" s="165"/>
      <c r="W202" s="173"/>
      <c r="X202" s="173"/>
      <c r="Y202" s="173"/>
      <c r="Z202" s="173"/>
      <c r="AA202" s="173"/>
      <c r="AB202" s="173"/>
      <c r="AC202" s="173"/>
      <c r="AD202" s="173"/>
      <c r="AE202" s="173"/>
      <c r="AF202" s="174"/>
      <c r="AG202" s="16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65"/>
      <c r="AR202" s="173"/>
      <c r="AS202" s="173"/>
      <c r="AT202" s="173"/>
      <c r="AU202" s="173"/>
      <c r="AV202" s="173"/>
      <c r="AW202" s="173"/>
      <c r="AX202" s="173"/>
      <c r="AY202" s="173"/>
      <c r="AZ202" s="173"/>
      <c r="BA202" s="165"/>
      <c r="BB202" s="174"/>
    </row>
    <row r="203" spans="1:54" s="36" customFormat="1" ht="13.8" x14ac:dyDescent="0.3">
      <c r="A203" s="128"/>
      <c r="B203" s="133"/>
      <c r="C203" s="86"/>
      <c r="D203" s="79"/>
      <c r="E203" s="86"/>
      <c r="F203" s="86"/>
      <c r="G203" s="86"/>
      <c r="H203" s="134"/>
      <c r="I203" s="86"/>
      <c r="J203" s="134"/>
      <c r="K203" s="86"/>
      <c r="L203" s="86"/>
      <c r="M203" s="173"/>
      <c r="N203" s="173"/>
      <c r="O203" s="173"/>
      <c r="P203" s="173"/>
      <c r="Q203" s="173"/>
      <c r="R203" s="173"/>
      <c r="S203" s="173"/>
      <c r="T203" s="173"/>
      <c r="U203" s="173"/>
      <c r="V203" s="165"/>
      <c r="W203" s="173"/>
      <c r="X203" s="173"/>
      <c r="Y203" s="173"/>
      <c r="Z203" s="173"/>
      <c r="AA203" s="173"/>
      <c r="AB203" s="173"/>
      <c r="AC203" s="173"/>
      <c r="AD203" s="173"/>
      <c r="AE203" s="173"/>
      <c r="AF203" s="174"/>
      <c r="AG203" s="16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65"/>
      <c r="AR203" s="173"/>
      <c r="AS203" s="173"/>
      <c r="AT203" s="173"/>
      <c r="AU203" s="173"/>
      <c r="AV203" s="173"/>
      <c r="AW203" s="173"/>
      <c r="AX203" s="173"/>
      <c r="AY203" s="173"/>
      <c r="AZ203" s="173"/>
      <c r="BA203" s="165"/>
      <c r="BB203" s="174"/>
    </row>
    <row r="204" spans="1:54" s="36" customFormat="1" ht="13.8" x14ac:dyDescent="0.3">
      <c r="A204" s="128"/>
      <c r="B204" s="133"/>
      <c r="C204" s="86"/>
      <c r="D204" s="79"/>
      <c r="E204" s="86"/>
      <c r="F204" s="86"/>
      <c r="G204" s="86"/>
      <c r="H204" s="134"/>
      <c r="I204" s="86"/>
      <c r="J204" s="134"/>
      <c r="K204" s="86"/>
      <c r="L204" s="86"/>
      <c r="M204" s="173"/>
      <c r="N204" s="173"/>
      <c r="O204" s="173"/>
      <c r="P204" s="173"/>
      <c r="Q204" s="173"/>
      <c r="R204" s="173"/>
      <c r="S204" s="173"/>
      <c r="T204" s="173"/>
      <c r="U204" s="173"/>
      <c r="V204" s="165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4"/>
      <c r="AG204" s="16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65"/>
      <c r="AR204" s="173"/>
      <c r="AS204" s="173"/>
      <c r="AT204" s="173"/>
      <c r="AU204" s="173"/>
      <c r="AV204" s="173"/>
      <c r="AW204" s="173"/>
      <c r="AX204" s="173"/>
      <c r="AY204" s="173"/>
      <c r="AZ204" s="173"/>
      <c r="BA204" s="165"/>
      <c r="BB204" s="174"/>
    </row>
    <row r="205" spans="1:54" s="36" customFormat="1" ht="13.8" x14ac:dyDescent="0.3">
      <c r="A205" s="128"/>
      <c r="B205" s="133"/>
      <c r="C205" s="86"/>
      <c r="D205" s="79"/>
      <c r="E205" s="86"/>
      <c r="F205" s="86"/>
      <c r="G205" s="86"/>
      <c r="H205" s="134"/>
      <c r="I205" s="86"/>
      <c r="J205" s="134"/>
      <c r="K205" s="86"/>
      <c r="L205" s="86"/>
      <c r="M205" s="173"/>
      <c r="N205" s="173"/>
      <c r="O205" s="173"/>
      <c r="P205" s="173"/>
      <c r="Q205" s="173"/>
      <c r="R205" s="173"/>
      <c r="S205" s="173"/>
      <c r="T205" s="173"/>
      <c r="U205" s="173"/>
      <c r="V205" s="165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4"/>
      <c r="AG205" s="16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65"/>
      <c r="AR205" s="173"/>
      <c r="AS205" s="173"/>
      <c r="AT205" s="173"/>
      <c r="AU205" s="173"/>
      <c r="AV205" s="173"/>
      <c r="AW205" s="173"/>
      <c r="AX205" s="173"/>
      <c r="AY205" s="173"/>
      <c r="AZ205" s="173"/>
      <c r="BA205" s="165"/>
      <c r="BB205" s="174"/>
    </row>
    <row r="206" spans="1:54" s="36" customFormat="1" ht="13.8" x14ac:dyDescent="0.3">
      <c r="A206" s="128"/>
      <c r="B206" s="133"/>
      <c r="C206" s="86"/>
      <c r="D206" s="79"/>
      <c r="E206" s="86"/>
      <c r="F206" s="86"/>
      <c r="G206" s="86"/>
      <c r="H206" s="134"/>
      <c r="I206" s="86"/>
      <c r="J206" s="134"/>
      <c r="K206" s="86"/>
      <c r="L206" s="86"/>
      <c r="M206" s="173"/>
      <c r="N206" s="173"/>
      <c r="O206" s="173"/>
      <c r="P206" s="173"/>
      <c r="Q206" s="173"/>
      <c r="R206" s="173"/>
      <c r="S206" s="173"/>
      <c r="T206" s="173"/>
      <c r="U206" s="173"/>
      <c r="V206" s="165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4"/>
      <c r="AG206" s="16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65"/>
      <c r="AR206" s="173"/>
      <c r="AS206" s="173"/>
      <c r="AT206" s="173"/>
      <c r="AU206" s="173"/>
      <c r="AV206" s="173"/>
      <c r="AW206" s="173"/>
      <c r="AX206" s="173"/>
      <c r="AY206" s="173"/>
      <c r="AZ206" s="173"/>
      <c r="BA206" s="165"/>
      <c r="BB206" s="174"/>
    </row>
    <row r="207" spans="1:54" s="36" customFormat="1" ht="13.8" x14ac:dyDescent="0.3">
      <c r="A207" s="128"/>
      <c r="B207" s="133"/>
      <c r="C207" s="86"/>
      <c r="D207" s="79"/>
      <c r="E207" s="86"/>
      <c r="F207" s="86"/>
      <c r="G207" s="86"/>
      <c r="H207" s="134"/>
      <c r="I207" s="86"/>
      <c r="J207" s="134"/>
      <c r="K207" s="86"/>
      <c r="L207" s="86"/>
      <c r="M207" s="173"/>
      <c r="N207" s="173"/>
      <c r="O207" s="173"/>
      <c r="P207" s="173"/>
      <c r="Q207" s="173"/>
      <c r="R207" s="173"/>
      <c r="S207" s="173"/>
      <c r="T207" s="173"/>
      <c r="U207" s="173"/>
      <c r="V207" s="165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4"/>
      <c r="AG207" s="16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65"/>
      <c r="AR207" s="173"/>
      <c r="AS207" s="173"/>
      <c r="AT207" s="173"/>
      <c r="AU207" s="173"/>
      <c r="AV207" s="173"/>
      <c r="AW207" s="173"/>
      <c r="AX207" s="173"/>
      <c r="AY207" s="173"/>
      <c r="AZ207" s="173"/>
      <c r="BA207" s="165"/>
      <c r="BB207" s="174"/>
    </row>
    <row r="208" spans="1:54" s="36" customFormat="1" ht="13.8" x14ac:dyDescent="0.3">
      <c r="A208" s="128"/>
      <c r="B208" s="133"/>
      <c r="C208" s="86"/>
      <c r="D208" s="79"/>
      <c r="E208" s="86"/>
      <c r="F208" s="86"/>
      <c r="G208" s="86"/>
      <c r="H208" s="134"/>
      <c r="I208" s="86"/>
      <c r="J208" s="134"/>
      <c r="K208" s="86"/>
      <c r="L208" s="86"/>
      <c r="M208" s="173"/>
      <c r="N208" s="173"/>
      <c r="O208" s="173"/>
      <c r="P208" s="173"/>
      <c r="Q208" s="173"/>
      <c r="R208" s="173"/>
      <c r="S208" s="173"/>
      <c r="T208" s="173"/>
      <c r="U208" s="173"/>
      <c r="V208" s="165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4"/>
      <c r="AG208" s="16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65"/>
      <c r="AR208" s="173"/>
      <c r="AS208" s="173"/>
      <c r="AT208" s="173"/>
      <c r="AU208" s="173"/>
      <c r="AV208" s="173"/>
      <c r="AW208" s="173"/>
      <c r="AX208" s="173"/>
      <c r="AY208" s="173"/>
      <c r="AZ208" s="173"/>
      <c r="BA208" s="165"/>
      <c r="BB208" s="174"/>
    </row>
    <row r="209" spans="1:54" s="36" customFormat="1" ht="13.8" x14ac:dyDescent="0.3">
      <c r="A209" s="128"/>
      <c r="B209" s="133"/>
      <c r="C209" s="86"/>
      <c r="D209" s="79"/>
      <c r="E209" s="86"/>
      <c r="F209" s="86"/>
      <c r="G209" s="86"/>
      <c r="H209" s="134"/>
      <c r="I209" s="86"/>
      <c r="J209" s="134"/>
      <c r="K209" s="86"/>
      <c r="L209" s="86"/>
      <c r="M209" s="173"/>
      <c r="N209" s="173"/>
      <c r="O209" s="173"/>
      <c r="P209" s="173"/>
      <c r="Q209" s="173"/>
      <c r="R209" s="173"/>
      <c r="S209" s="173"/>
      <c r="T209" s="173"/>
      <c r="U209" s="173"/>
      <c r="V209" s="165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4"/>
      <c r="AG209" s="16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65"/>
      <c r="AR209" s="173"/>
      <c r="AS209" s="173"/>
      <c r="AT209" s="173"/>
      <c r="AU209" s="173"/>
      <c r="AV209" s="173"/>
      <c r="AW209" s="173"/>
      <c r="AX209" s="173"/>
      <c r="AY209" s="173"/>
      <c r="AZ209" s="173"/>
      <c r="BA209" s="165"/>
      <c r="BB209" s="174"/>
    </row>
    <row r="210" spans="1:54" s="36" customFormat="1" ht="13.8" x14ac:dyDescent="0.3">
      <c r="A210" s="128"/>
      <c r="B210" s="133"/>
      <c r="C210" s="86"/>
      <c r="D210" s="79"/>
      <c r="E210" s="86"/>
      <c r="F210" s="86"/>
      <c r="G210" s="86"/>
      <c r="H210" s="134"/>
      <c r="I210" s="86"/>
      <c r="J210" s="134"/>
      <c r="K210" s="86"/>
      <c r="L210" s="86"/>
      <c r="M210" s="173"/>
      <c r="N210" s="173"/>
      <c r="O210" s="173"/>
      <c r="P210" s="173"/>
      <c r="Q210" s="173"/>
      <c r="R210" s="173"/>
      <c r="S210" s="173"/>
      <c r="T210" s="173"/>
      <c r="U210" s="173"/>
      <c r="V210" s="165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4"/>
      <c r="AG210" s="16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65"/>
      <c r="AR210" s="173"/>
      <c r="AS210" s="173"/>
      <c r="AT210" s="173"/>
      <c r="AU210" s="173"/>
      <c r="AV210" s="173"/>
      <c r="AW210" s="173"/>
      <c r="AX210" s="173"/>
      <c r="AY210" s="173"/>
      <c r="AZ210" s="173"/>
      <c r="BA210" s="165"/>
      <c r="BB210" s="174"/>
    </row>
    <row r="211" spans="1:54" s="36" customFormat="1" ht="13.8" x14ac:dyDescent="0.3">
      <c r="A211" s="128"/>
      <c r="B211" s="133"/>
      <c r="C211" s="86"/>
      <c r="D211" s="79"/>
      <c r="E211" s="86"/>
      <c r="F211" s="86"/>
      <c r="G211" s="86"/>
      <c r="H211" s="134"/>
      <c r="I211" s="86"/>
      <c r="J211" s="134"/>
      <c r="K211" s="86"/>
      <c r="L211" s="86"/>
      <c r="M211" s="173"/>
      <c r="N211" s="173"/>
      <c r="O211" s="173"/>
      <c r="P211" s="173"/>
      <c r="Q211" s="173"/>
      <c r="R211" s="173"/>
      <c r="S211" s="173"/>
      <c r="T211" s="173"/>
      <c r="U211" s="173"/>
      <c r="V211" s="165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4"/>
      <c r="AG211" s="16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65"/>
      <c r="AR211" s="173"/>
      <c r="AS211" s="173"/>
      <c r="AT211" s="173"/>
      <c r="AU211" s="173"/>
      <c r="AV211" s="173"/>
      <c r="AW211" s="173"/>
      <c r="AX211" s="173"/>
      <c r="AY211" s="173"/>
      <c r="AZ211" s="173"/>
      <c r="BA211" s="165"/>
      <c r="BB211" s="174"/>
    </row>
    <row r="212" spans="1:54" s="36" customFormat="1" ht="13.8" x14ac:dyDescent="0.3">
      <c r="A212" s="128"/>
      <c r="B212" s="133"/>
      <c r="C212" s="86"/>
      <c r="D212" s="79"/>
      <c r="E212" s="86"/>
      <c r="F212" s="86"/>
      <c r="G212" s="86"/>
      <c r="H212" s="134"/>
      <c r="I212" s="86"/>
      <c r="J212" s="134"/>
      <c r="K212" s="86"/>
      <c r="L212" s="86"/>
      <c r="M212" s="173"/>
      <c r="N212" s="173"/>
      <c r="O212" s="173"/>
      <c r="P212" s="173"/>
      <c r="Q212" s="173"/>
      <c r="R212" s="173"/>
      <c r="S212" s="173"/>
      <c r="T212" s="173"/>
      <c r="U212" s="173"/>
      <c r="V212" s="165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4"/>
      <c r="AG212" s="16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65"/>
      <c r="AR212" s="173"/>
      <c r="AS212" s="173"/>
      <c r="AT212" s="173"/>
      <c r="AU212" s="173"/>
      <c r="AV212" s="173"/>
      <c r="AW212" s="173"/>
      <c r="AX212" s="173"/>
      <c r="AY212" s="173"/>
      <c r="AZ212" s="173"/>
      <c r="BA212" s="165"/>
      <c r="BB212" s="174"/>
    </row>
    <row r="213" spans="1:54" s="36" customFormat="1" ht="13.8" x14ac:dyDescent="0.3">
      <c r="A213" s="128"/>
      <c r="B213" s="133"/>
      <c r="C213" s="86"/>
      <c r="D213" s="79"/>
      <c r="E213" s="86"/>
      <c r="F213" s="86"/>
      <c r="G213" s="86"/>
      <c r="H213" s="134"/>
      <c r="I213" s="86"/>
      <c r="J213" s="134"/>
      <c r="K213" s="86"/>
      <c r="L213" s="86"/>
      <c r="M213" s="173"/>
      <c r="N213" s="173"/>
      <c r="O213" s="173"/>
      <c r="P213" s="173"/>
      <c r="Q213" s="173"/>
      <c r="R213" s="173"/>
      <c r="S213" s="173"/>
      <c r="T213" s="173"/>
      <c r="U213" s="173"/>
      <c r="V213" s="165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4"/>
      <c r="AG213" s="16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65"/>
      <c r="AR213" s="173"/>
      <c r="AS213" s="173"/>
      <c r="AT213" s="173"/>
      <c r="AU213" s="173"/>
      <c r="AV213" s="173"/>
      <c r="AW213" s="173"/>
      <c r="AX213" s="173"/>
      <c r="AY213" s="173"/>
      <c r="AZ213" s="173"/>
      <c r="BA213" s="165"/>
      <c r="BB213" s="174"/>
    </row>
    <row r="214" spans="1:54" s="36" customFormat="1" ht="13.8" x14ac:dyDescent="0.3">
      <c r="A214" s="128"/>
      <c r="B214" s="133"/>
      <c r="C214" s="86"/>
      <c r="D214" s="79"/>
      <c r="E214" s="86"/>
      <c r="F214" s="86"/>
      <c r="G214" s="86"/>
      <c r="H214" s="134"/>
      <c r="I214" s="86"/>
      <c r="J214" s="134"/>
      <c r="K214" s="86"/>
      <c r="L214" s="86"/>
      <c r="M214" s="173"/>
      <c r="N214" s="173"/>
      <c r="O214" s="173"/>
      <c r="P214" s="173"/>
      <c r="Q214" s="173"/>
      <c r="R214" s="173"/>
      <c r="S214" s="173"/>
      <c r="T214" s="173"/>
      <c r="U214" s="173"/>
      <c r="V214" s="165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4"/>
      <c r="AG214" s="16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65"/>
      <c r="AR214" s="173"/>
      <c r="AS214" s="173"/>
      <c r="AT214" s="173"/>
      <c r="AU214" s="173"/>
      <c r="AV214" s="173"/>
      <c r="AW214" s="173"/>
      <c r="AX214" s="173"/>
      <c r="AY214" s="173"/>
      <c r="AZ214" s="173"/>
      <c r="BA214" s="165"/>
      <c r="BB214" s="174"/>
    </row>
    <row r="215" spans="1:54" s="36" customFormat="1" ht="13.8" x14ac:dyDescent="0.3">
      <c r="A215" s="128"/>
      <c r="B215" s="133"/>
      <c r="C215" s="86"/>
      <c r="D215" s="79"/>
      <c r="E215" s="86"/>
      <c r="F215" s="86"/>
      <c r="G215" s="86"/>
      <c r="H215" s="134"/>
      <c r="I215" s="86"/>
      <c r="J215" s="134"/>
      <c r="K215" s="86"/>
      <c r="L215" s="86"/>
      <c r="M215" s="173"/>
      <c r="N215" s="173"/>
      <c r="O215" s="173"/>
      <c r="P215" s="173"/>
      <c r="Q215" s="173"/>
      <c r="R215" s="173"/>
      <c r="S215" s="173"/>
      <c r="T215" s="173"/>
      <c r="U215" s="173"/>
      <c r="V215" s="165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4"/>
      <c r="AG215" s="16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65"/>
      <c r="AR215" s="173"/>
      <c r="AS215" s="173"/>
      <c r="AT215" s="173"/>
      <c r="AU215" s="173"/>
      <c r="AV215" s="173"/>
      <c r="AW215" s="173"/>
      <c r="AX215" s="173"/>
      <c r="AY215" s="173"/>
      <c r="AZ215" s="173"/>
      <c r="BA215" s="165"/>
      <c r="BB215" s="174"/>
    </row>
    <row r="216" spans="1:54" s="36" customFormat="1" ht="13.8" x14ac:dyDescent="0.3">
      <c r="A216" s="128"/>
      <c r="B216" s="133"/>
      <c r="C216" s="86"/>
      <c r="D216" s="79"/>
      <c r="E216" s="86"/>
      <c r="F216" s="86"/>
      <c r="G216" s="86"/>
      <c r="H216" s="134"/>
      <c r="I216" s="86"/>
      <c r="J216" s="134"/>
      <c r="K216" s="86"/>
      <c r="L216" s="86"/>
      <c r="M216" s="173"/>
      <c r="N216" s="173"/>
      <c r="O216" s="173"/>
      <c r="P216" s="173"/>
      <c r="Q216" s="173"/>
      <c r="R216" s="173"/>
      <c r="S216" s="173"/>
      <c r="T216" s="173"/>
      <c r="U216" s="173"/>
      <c r="V216" s="165"/>
      <c r="W216" s="173"/>
      <c r="X216" s="173"/>
      <c r="Y216" s="173"/>
      <c r="Z216" s="173"/>
      <c r="AA216" s="173"/>
      <c r="AB216" s="173"/>
      <c r="AC216" s="173"/>
      <c r="AD216" s="173"/>
      <c r="AE216" s="173"/>
      <c r="AF216" s="174"/>
      <c r="AG216" s="16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65"/>
      <c r="AR216" s="173"/>
      <c r="AS216" s="173"/>
      <c r="AT216" s="173"/>
      <c r="AU216" s="173"/>
      <c r="AV216" s="173"/>
      <c r="AW216" s="173"/>
      <c r="AX216" s="173"/>
      <c r="AY216" s="173"/>
      <c r="AZ216" s="173"/>
      <c r="BA216" s="165"/>
      <c r="BB216" s="174"/>
    </row>
    <row r="217" spans="1:54" s="36" customFormat="1" ht="13.8" x14ac:dyDescent="0.3">
      <c r="A217" s="128"/>
      <c r="B217" s="133"/>
      <c r="C217" s="86"/>
      <c r="D217" s="79"/>
      <c r="E217" s="86"/>
      <c r="F217" s="86"/>
      <c r="G217" s="86"/>
      <c r="H217" s="134"/>
      <c r="I217" s="86"/>
      <c r="J217" s="134"/>
      <c r="K217" s="86"/>
      <c r="L217" s="86"/>
      <c r="M217" s="173"/>
      <c r="N217" s="173"/>
      <c r="O217" s="173"/>
      <c r="P217" s="173"/>
      <c r="Q217" s="173"/>
      <c r="R217" s="173"/>
      <c r="S217" s="173"/>
      <c r="T217" s="173"/>
      <c r="U217" s="173"/>
      <c r="V217" s="165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4"/>
      <c r="AG217" s="16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65"/>
      <c r="AR217" s="173"/>
      <c r="AS217" s="173"/>
      <c r="AT217" s="173"/>
      <c r="AU217" s="173"/>
      <c r="AV217" s="173"/>
      <c r="AW217" s="173"/>
      <c r="AX217" s="173"/>
      <c r="AY217" s="173"/>
      <c r="AZ217" s="173"/>
      <c r="BA217" s="165"/>
      <c r="BB217" s="174"/>
    </row>
    <row r="218" spans="1:54" s="36" customFormat="1" ht="13.8" x14ac:dyDescent="0.3">
      <c r="A218" s="128"/>
      <c r="B218" s="133"/>
      <c r="C218" s="86"/>
      <c r="D218" s="79"/>
      <c r="E218" s="86"/>
      <c r="F218" s="86"/>
      <c r="G218" s="86"/>
      <c r="H218" s="134"/>
      <c r="I218" s="86"/>
      <c r="J218" s="134"/>
      <c r="K218" s="86"/>
      <c r="L218" s="86"/>
      <c r="M218" s="173"/>
      <c r="N218" s="173"/>
      <c r="O218" s="173"/>
      <c r="P218" s="173"/>
      <c r="Q218" s="173"/>
      <c r="R218" s="173"/>
      <c r="S218" s="173"/>
      <c r="T218" s="173"/>
      <c r="U218" s="173"/>
      <c r="V218" s="165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4"/>
      <c r="AG218" s="16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65"/>
      <c r="AR218" s="173"/>
      <c r="AS218" s="173"/>
      <c r="AT218" s="173"/>
      <c r="AU218" s="173"/>
      <c r="AV218" s="173"/>
      <c r="AW218" s="173"/>
      <c r="AX218" s="173"/>
      <c r="AY218" s="173"/>
      <c r="AZ218" s="173"/>
      <c r="BA218" s="165"/>
      <c r="BB218" s="174"/>
    </row>
    <row r="219" spans="1:54" s="36" customFormat="1" ht="13.8" x14ac:dyDescent="0.3">
      <c r="A219" s="128"/>
      <c r="B219" s="133"/>
      <c r="C219" s="86"/>
      <c r="D219" s="79"/>
      <c r="E219" s="86"/>
      <c r="F219" s="86"/>
      <c r="G219" s="86"/>
      <c r="H219" s="134"/>
      <c r="I219" s="86"/>
      <c r="J219" s="134"/>
      <c r="K219" s="86"/>
      <c r="L219" s="86"/>
      <c r="M219" s="173"/>
      <c r="N219" s="173"/>
      <c r="O219" s="173"/>
      <c r="P219" s="173"/>
      <c r="Q219" s="173"/>
      <c r="R219" s="173"/>
      <c r="S219" s="173"/>
      <c r="T219" s="173"/>
      <c r="U219" s="173"/>
      <c r="V219" s="165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4"/>
      <c r="AG219" s="16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65"/>
      <c r="AR219" s="173"/>
      <c r="AS219" s="173"/>
      <c r="AT219" s="173"/>
      <c r="AU219" s="173"/>
      <c r="AV219" s="173"/>
      <c r="AW219" s="173"/>
      <c r="AX219" s="173"/>
      <c r="AY219" s="173"/>
      <c r="AZ219" s="173"/>
      <c r="BA219" s="165"/>
      <c r="BB219" s="174"/>
    </row>
    <row r="220" spans="1:54" s="36" customFormat="1" ht="13.8" x14ac:dyDescent="0.3">
      <c r="A220" s="128"/>
      <c r="B220" s="133"/>
      <c r="C220" s="86"/>
      <c r="D220" s="79"/>
      <c r="E220" s="86"/>
      <c r="F220" s="86"/>
      <c r="G220" s="86"/>
      <c r="H220" s="134"/>
      <c r="I220" s="86"/>
      <c r="J220" s="134"/>
      <c r="K220" s="86"/>
      <c r="L220" s="86"/>
      <c r="M220" s="173"/>
      <c r="N220" s="173"/>
      <c r="O220" s="173"/>
      <c r="P220" s="173"/>
      <c r="Q220" s="173"/>
      <c r="R220" s="173"/>
      <c r="S220" s="173"/>
      <c r="T220" s="173"/>
      <c r="U220" s="173"/>
      <c r="V220" s="165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4"/>
      <c r="AG220" s="16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65"/>
      <c r="AR220" s="173"/>
      <c r="AS220" s="173"/>
      <c r="AT220" s="173"/>
      <c r="AU220" s="173"/>
      <c r="AV220" s="173"/>
      <c r="AW220" s="173"/>
      <c r="AX220" s="173"/>
      <c r="AY220" s="173"/>
      <c r="AZ220" s="173"/>
      <c r="BA220" s="165"/>
      <c r="BB220" s="174"/>
    </row>
    <row r="221" spans="1:54" s="36" customFormat="1" ht="13.8" x14ac:dyDescent="0.3">
      <c r="A221" s="128"/>
      <c r="B221" s="133"/>
      <c r="C221" s="86"/>
      <c r="D221" s="79"/>
      <c r="E221" s="86"/>
      <c r="F221" s="86"/>
      <c r="G221" s="86"/>
      <c r="H221" s="134"/>
      <c r="I221" s="86"/>
      <c r="J221" s="134"/>
      <c r="K221" s="86"/>
      <c r="L221" s="86"/>
      <c r="M221" s="173"/>
      <c r="N221" s="173"/>
      <c r="O221" s="173"/>
      <c r="P221" s="173"/>
      <c r="Q221" s="173"/>
      <c r="R221" s="173"/>
      <c r="S221" s="173"/>
      <c r="T221" s="173"/>
      <c r="U221" s="173"/>
      <c r="V221" s="165"/>
      <c r="W221" s="173"/>
      <c r="X221" s="173"/>
      <c r="Y221" s="173"/>
      <c r="Z221" s="173"/>
      <c r="AA221" s="173"/>
      <c r="AB221" s="173"/>
      <c r="AC221" s="173"/>
      <c r="AD221" s="173"/>
      <c r="AE221" s="173"/>
      <c r="AF221" s="174"/>
      <c r="AG221" s="16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65"/>
      <c r="AR221" s="173"/>
      <c r="AS221" s="173"/>
      <c r="AT221" s="173"/>
      <c r="AU221" s="173"/>
      <c r="AV221" s="173"/>
      <c r="AW221" s="173"/>
      <c r="AX221" s="173"/>
      <c r="AY221" s="173"/>
      <c r="AZ221" s="173"/>
      <c r="BA221" s="165"/>
      <c r="BB221" s="174"/>
    </row>
    <row r="222" spans="1:54" s="36" customFormat="1" ht="13.8" x14ac:dyDescent="0.3">
      <c r="A222" s="128"/>
      <c r="B222" s="133"/>
      <c r="C222" s="86"/>
      <c r="D222" s="79"/>
      <c r="E222" s="86"/>
      <c r="F222" s="86"/>
      <c r="G222" s="86"/>
      <c r="H222" s="134"/>
      <c r="I222" s="86"/>
      <c r="J222" s="134"/>
      <c r="K222" s="86"/>
      <c r="L222" s="86"/>
      <c r="M222" s="173"/>
      <c r="N222" s="173"/>
      <c r="O222" s="173"/>
      <c r="P222" s="173"/>
      <c r="Q222" s="173"/>
      <c r="R222" s="173"/>
      <c r="S222" s="173"/>
      <c r="T222" s="173"/>
      <c r="U222" s="173"/>
      <c r="V222" s="165"/>
      <c r="W222" s="173"/>
      <c r="X222" s="173"/>
      <c r="Y222" s="173"/>
      <c r="Z222" s="173"/>
      <c r="AA222" s="173"/>
      <c r="AB222" s="173"/>
      <c r="AC222" s="173"/>
      <c r="AD222" s="173"/>
      <c r="AE222" s="173"/>
      <c r="AF222" s="174"/>
      <c r="AG222" s="16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65"/>
      <c r="AR222" s="173"/>
      <c r="AS222" s="173"/>
      <c r="AT222" s="173"/>
      <c r="AU222" s="173"/>
      <c r="AV222" s="173"/>
      <c r="AW222" s="173"/>
      <c r="AX222" s="173"/>
      <c r="AY222" s="173"/>
      <c r="AZ222" s="173"/>
      <c r="BA222" s="165"/>
      <c r="BB222" s="174"/>
    </row>
    <row r="223" spans="1:54" s="36" customFormat="1" ht="13.8" x14ac:dyDescent="0.3">
      <c r="A223" s="128"/>
      <c r="B223" s="133"/>
      <c r="C223" s="86"/>
      <c r="D223" s="79"/>
      <c r="E223" s="86"/>
      <c r="F223" s="86"/>
      <c r="G223" s="86"/>
      <c r="H223" s="134"/>
      <c r="I223" s="86"/>
      <c r="J223" s="134"/>
      <c r="K223" s="86"/>
      <c r="L223" s="86"/>
      <c r="M223" s="173"/>
      <c r="N223" s="173"/>
      <c r="O223" s="173"/>
      <c r="P223" s="173"/>
      <c r="Q223" s="173"/>
      <c r="R223" s="173"/>
      <c r="S223" s="173"/>
      <c r="T223" s="173"/>
      <c r="U223" s="173"/>
      <c r="V223" s="165"/>
      <c r="W223" s="173"/>
      <c r="X223" s="173"/>
      <c r="Y223" s="173"/>
      <c r="Z223" s="173"/>
      <c r="AA223" s="173"/>
      <c r="AB223" s="173"/>
      <c r="AC223" s="173"/>
      <c r="AD223" s="173"/>
      <c r="AE223" s="173"/>
      <c r="AF223" s="174"/>
      <c r="AG223" s="16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65"/>
      <c r="AR223" s="173"/>
      <c r="AS223" s="173"/>
      <c r="AT223" s="173"/>
      <c r="AU223" s="173"/>
      <c r="AV223" s="173"/>
      <c r="AW223" s="173"/>
      <c r="AX223" s="173"/>
      <c r="AY223" s="173"/>
      <c r="AZ223" s="173"/>
      <c r="BA223" s="165"/>
      <c r="BB223" s="174"/>
    </row>
    <row r="224" spans="1:54" s="36" customFormat="1" ht="13.8" x14ac:dyDescent="0.3">
      <c r="A224" s="128"/>
      <c r="B224" s="133"/>
      <c r="C224" s="86"/>
      <c r="D224" s="79"/>
      <c r="E224" s="86"/>
      <c r="F224" s="86"/>
      <c r="G224" s="86"/>
      <c r="H224" s="134"/>
      <c r="I224" s="86"/>
      <c r="J224" s="134"/>
      <c r="K224" s="86"/>
      <c r="L224" s="86"/>
      <c r="M224" s="173"/>
      <c r="N224" s="173"/>
      <c r="O224" s="173"/>
      <c r="P224" s="173"/>
      <c r="Q224" s="173"/>
      <c r="R224" s="173"/>
      <c r="S224" s="173"/>
      <c r="T224" s="173"/>
      <c r="U224" s="173"/>
      <c r="V224" s="165"/>
      <c r="W224" s="173"/>
      <c r="X224" s="173"/>
      <c r="Y224" s="173"/>
      <c r="Z224" s="173"/>
      <c r="AA224" s="173"/>
      <c r="AB224" s="173"/>
      <c r="AC224" s="173"/>
      <c r="AD224" s="173"/>
      <c r="AE224" s="173"/>
      <c r="AF224" s="174"/>
      <c r="AG224" s="16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65"/>
      <c r="AR224" s="173"/>
      <c r="AS224" s="173"/>
      <c r="AT224" s="173"/>
      <c r="AU224" s="173"/>
      <c r="AV224" s="173"/>
      <c r="AW224" s="173"/>
      <c r="AX224" s="173"/>
      <c r="AY224" s="173"/>
      <c r="AZ224" s="173"/>
      <c r="BA224" s="165"/>
      <c r="BB224" s="174"/>
    </row>
    <row r="225" spans="1:54" s="36" customFormat="1" ht="13.8" x14ac:dyDescent="0.3">
      <c r="A225" s="128"/>
      <c r="B225" s="133"/>
      <c r="C225" s="86"/>
      <c r="D225" s="79"/>
      <c r="E225" s="86"/>
      <c r="F225" s="86"/>
      <c r="G225" s="86"/>
      <c r="H225" s="134"/>
      <c r="I225" s="86"/>
      <c r="J225" s="134"/>
      <c r="K225" s="86"/>
      <c r="L225" s="86"/>
      <c r="M225" s="173"/>
      <c r="N225" s="173"/>
      <c r="O225" s="173"/>
      <c r="P225" s="173"/>
      <c r="Q225" s="173"/>
      <c r="R225" s="173"/>
      <c r="S225" s="173"/>
      <c r="T225" s="173"/>
      <c r="U225" s="173"/>
      <c r="V225" s="165"/>
      <c r="W225" s="173"/>
      <c r="X225" s="173"/>
      <c r="Y225" s="173"/>
      <c r="Z225" s="173"/>
      <c r="AA225" s="173"/>
      <c r="AB225" s="173"/>
      <c r="AC225" s="173"/>
      <c r="AD225" s="173"/>
      <c r="AE225" s="173"/>
      <c r="AF225" s="174"/>
      <c r="AG225" s="16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65"/>
      <c r="AR225" s="173"/>
      <c r="AS225" s="173"/>
      <c r="AT225" s="173"/>
      <c r="AU225" s="173"/>
      <c r="AV225" s="173"/>
      <c r="AW225" s="173"/>
      <c r="AX225" s="173"/>
      <c r="AY225" s="173"/>
      <c r="AZ225" s="173"/>
      <c r="BA225" s="165"/>
      <c r="BB225" s="174"/>
    </row>
    <row r="226" spans="1:54" s="36" customFormat="1" ht="13.8" x14ac:dyDescent="0.3">
      <c r="A226" s="128"/>
      <c r="B226" s="133"/>
      <c r="C226" s="86"/>
      <c r="D226" s="79"/>
      <c r="E226" s="86"/>
      <c r="F226" s="86"/>
      <c r="G226" s="86"/>
      <c r="H226" s="134"/>
      <c r="I226" s="86"/>
      <c r="J226" s="134"/>
      <c r="K226" s="86"/>
      <c r="L226" s="86"/>
      <c r="M226" s="173"/>
      <c r="N226" s="173"/>
      <c r="O226" s="173"/>
      <c r="P226" s="173"/>
      <c r="Q226" s="173"/>
      <c r="R226" s="173"/>
      <c r="S226" s="173"/>
      <c r="T226" s="173"/>
      <c r="U226" s="173"/>
      <c r="V226" s="165"/>
      <c r="W226" s="173"/>
      <c r="X226" s="173"/>
      <c r="Y226" s="173"/>
      <c r="Z226" s="173"/>
      <c r="AA226" s="173"/>
      <c r="AB226" s="173"/>
      <c r="AC226" s="173"/>
      <c r="AD226" s="173"/>
      <c r="AE226" s="173"/>
      <c r="AF226" s="174"/>
      <c r="AG226" s="165"/>
      <c r="AH226" s="175"/>
      <c r="AI226" s="175"/>
      <c r="AJ226" s="175"/>
      <c r="AK226" s="175"/>
      <c r="AL226" s="175"/>
      <c r="AM226" s="175"/>
      <c r="AN226" s="175"/>
      <c r="AO226" s="175"/>
      <c r="AP226" s="175"/>
      <c r="AQ226" s="165"/>
      <c r="AR226" s="173"/>
      <c r="AS226" s="173"/>
      <c r="AT226" s="173"/>
      <c r="AU226" s="173"/>
      <c r="AV226" s="173"/>
      <c r="AW226" s="173"/>
      <c r="AX226" s="173"/>
      <c r="AY226" s="173"/>
      <c r="AZ226" s="173"/>
      <c r="BA226" s="165"/>
      <c r="BB226" s="174"/>
    </row>
    <row r="227" spans="1:54" s="36" customFormat="1" ht="13.8" x14ac:dyDescent="0.3">
      <c r="A227" s="128"/>
      <c r="B227" s="133"/>
      <c r="C227" s="86"/>
      <c r="D227" s="79"/>
      <c r="E227" s="86"/>
      <c r="F227" s="86"/>
      <c r="G227" s="86"/>
      <c r="H227" s="134"/>
      <c r="I227" s="86"/>
      <c r="J227" s="134"/>
      <c r="K227" s="86"/>
      <c r="L227" s="86"/>
      <c r="M227" s="173"/>
      <c r="N227" s="173"/>
      <c r="O227" s="173"/>
      <c r="P227" s="173"/>
      <c r="Q227" s="173"/>
      <c r="R227" s="173"/>
      <c r="S227" s="173"/>
      <c r="T227" s="173"/>
      <c r="U227" s="173"/>
      <c r="V227" s="165"/>
      <c r="W227" s="173"/>
      <c r="X227" s="173"/>
      <c r="Y227" s="173"/>
      <c r="Z227" s="173"/>
      <c r="AA227" s="173"/>
      <c r="AB227" s="173"/>
      <c r="AC227" s="173"/>
      <c r="AD227" s="173"/>
      <c r="AE227" s="173"/>
      <c r="AF227" s="174"/>
      <c r="AG227" s="165"/>
      <c r="AH227" s="175"/>
      <c r="AI227" s="175"/>
      <c r="AJ227" s="175"/>
      <c r="AK227" s="175"/>
      <c r="AL227" s="175"/>
      <c r="AM227" s="175"/>
      <c r="AN227" s="175"/>
      <c r="AO227" s="175"/>
      <c r="AP227" s="175"/>
      <c r="AQ227" s="165"/>
      <c r="AR227" s="173"/>
      <c r="AS227" s="173"/>
      <c r="AT227" s="173"/>
      <c r="AU227" s="173"/>
      <c r="AV227" s="173"/>
      <c r="AW227" s="173"/>
      <c r="AX227" s="173"/>
      <c r="AY227" s="173"/>
      <c r="AZ227" s="173"/>
      <c r="BA227" s="165"/>
      <c r="BB227" s="174"/>
    </row>
    <row r="228" spans="1:54" s="36" customFormat="1" ht="13.8" x14ac:dyDescent="0.3">
      <c r="A228" s="128"/>
      <c r="B228" s="133"/>
      <c r="C228" s="86"/>
      <c r="D228" s="79"/>
      <c r="E228" s="86"/>
      <c r="F228" s="86"/>
      <c r="G228" s="86"/>
      <c r="H228" s="134"/>
      <c r="I228" s="86"/>
      <c r="J228" s="134"/>
      <c r="K228" s="86"/>
      <c r="L228" s="86"/>
      <c r="M228" s="173"/>
      <c r="N228" s="173"/>
      <c r="O228" s="173"/>
      <c r="P228" s="173"/>
      <c r="Q228" s="173"/>
      <c r="R228" s="173"/>
      <c r="S228" s="173"/>
      <c r="T228" s="173"/>
      <c r="U228" s="173"/>
      <c r="V228" s="165"/>
      <c r="W228" s="173"/>
      <c r="X228" s="173"/>
      <c r="Y228" s="173"/>
      <c r="Z228" s="173"/>
      <c r="AA228" s="173"/>
      <c r="AB228" s="173"/>
      <c r="AC228" s="173"/>
      <c r="AD228" s="173"/>
      <c r="AE228" s="173"/>
      <c r="AF228" s="174"/>
      <c r="AG228" s="16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65"/>
      <c r="AR228" s="173"/>
      <c r="AS228" s="173"/>
      <c r="AT228" s="173"/>
      <c r="AU228" s="173"/>
      <c r="AV228" s="173"/>
      <c r="AW228" s="173"/>
      <c r="AX228" s="173"/>
      <c r="AY228" s="173"/>
      <c r="AZ228" s="173"/>
      <c r="BA228" s="165"/>
      <c r="BB228" s="174"/>
    </row>
    <row r="229" spans="1:54" s="36" customFormat="1" ht="13.8" x14ac:dyDescent="0.3">
      <c r="A229" s="128"/>
      <c r="B229" s="133"/>
      <c r="C229" s="86"/>
      <c r="D229" s="79"/>
      <c r="E229" s="86"/>
      <c r="F229" s="86"/>
      <c r="G229" s="86"/>
      <c r="H229" s="134"/>
      <c r="I229" s="86"/>
      <c r="J229" s="134"/>
      <c r="K229" s="86"/>
      <c r="L229" s="86"/>
      <c r="M229" s="173"/>
      <c r="N229" s="173"/>
      <c r="O229" s="173"/>
      <c r="P229" s="173"/>
      <c r="Q229" s="173"/>
      <c r="R229" s="173"/>
      <c r="S229" s="173"/>
      <c r="T229" s="173"/>
      <c r="U229" s="173"/>
      <c r="V229" s="165"/>
      <c r="W229" s="173"/>
      <c r="X229" s="173"/>
      <c r="Y229" s="173"/>
      <c r="Z229" s="173"/>
      <c r="AA229" s="173"/>
      <c r="AB229" s="173"/>
      <c r="AC229" s="173"/>
      <c r="AD229" s="173"/>
      <c r="AE229" s="173"/>
      <c r="AF229" s="174"/>
      <c r="AG229" s="16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65"/>
      <c r="AR229" s="173"/>
      <c r="AS229" s="173"/>
      <c r="AT229" s="173"/>
      <c r="AU229" s="173"/>
      <c r="AV229" s="173"/>
      <c r="AW229" s="173"/>
      <c r="AX229" s="173"/>
      <c r="AY229" s="173"/>
      <c r="AZ229" s="173"/>
      <c r="BA229" s="165"/>
      <c r="BB229" s="174"/>
    </row>
    <row r="230" spans="1:54" s="36" customFormat="1" ht="13.8" x14ac:dyDescent="0.3">
      <c r="A230" s="128"/>
      <c r="B230" s="133"/>
      <c r="C230" s="86"/>
      <c r="D230" s="79"/>
      <c r="E230" s="86"/>
      <c r="F230" s="86"/>
      <c r="G230" s="86"/>
      <c r="H230" s="134"/>
      <c r="I230" s="86"/>
      <c r="J230" s="134"/>
      <c r="K230" s="86"/>
      <c r="L230" s="86"/>
      <c r="M230" s="173"/>
      <c r="N230" s="173"/>
      <c r="O230" s="173"/>
      <c r="P230" s="173"/>
      <c r="Q230" s="173"/>
      <c r="R230" s="173"/>
      <c r="S230" s="173"/>
      <c r="T230" s="173"/>
      <c r="U230" s="173"/>
      <c r="V230" s="165"/>
      <c r="W230" s="173"/>
      <c r="X230" s="173"/>
      <c r="Y230" s="173"/>
      <c r="Z230" s="173"/>
      <c r="AA230" s="173"/>
      <c r="AB230" s="173"/>
      <c r="AC230" s="173"/>
      <c r="AD230" s="173"/>
      <c r="AE230" s="173"/>
      <c r="AF230" s="174"/>
      <c r="AG230" s="16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65"/>
      <c r="AR230" s="173"/>
      <c r="AS230" s="173"/>
      <c r="AT230" s="173"/>
      <c r="AU230" s="173"/>
      <c r="AV230" s="173"/>
      <c r="AW230" s="173"/>
      <c r="AX230" s="173"/>
      <c r="AY230" s="173"/>
      <c r="AZ230" s="173"/>
      <c r="BA230" s="165"/>
      <c r="BB230" s="174"/>
    </row>
    <row r="231" spans="1:54" s="36" customFormat="1" ht="13.8" x14ac:dyDescent="0.3">
      <c r="A231" s="128"/>
      <c r="B231" s="133"/>
      <c r="C231" s="86"/>
      <c r="D231" s="79"/>
      <c r="E231" s="86"/>
      <c r="F231" s="86"/>
      <c r="G231" s="86"/>
      <c r="H231" s="134"/>
      <c r="I231" s="86"/>
      <c r="J231" s="134"/>
      <c r="K231" s="86"/>
      <c r="L231" s="86"/>
      <c r="M231" s="173"/>
      <c r="N231" s="173"/>
      <c r="O231" s="173"/>
      <c r="P231" s="173"/>
      <c r="Q231" s="173"/>
      <c r="R231" s="173"/>
      <c r="S231" s="173"/>
      <c r="T231" s="173"/>
      <c r="U231" s="173"/>
      <c r="V231" s="165"/>
      <c r="W231" s="173"/>
      <c r="X231" s="173"/>
      <c r="Y231" s="173"/>
      <c r="Z231" s="173"/>
      <c r="AA231" s="173"/>
      <c r="AB231" s="173"/>
      <c r="AC231" s="173"/>
      <c r="AD231" s="173"/>
      <c r="AE231" s="173"/>
      <c r="AF231" s="174"/>
      <c r="AG231" s="16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65"/>
      <c r="AR231" s="173"/>
      <c r="AS231" s="173"/>
      <c r="AT231" s="173"/>
      <c r="AU231" s="173"/>
      <c r="AV231" s="173"/>
      <c r="AW231" s="173"/>
      <c r="AX231" s="173"/>
      <c r="AY231" s="173"/>
      <c r="AZ231" s="173"/>
      <c r="BA231" s="165"/>
      <c r="BB231" s="174"/>
    </row>
    <row r="232" spans="1:54" s="36" customFormat="1" ht="13.8" x14ac:dyDescent="0.3">
      <c r="A232" s="128"/>
      <c r="B232" s="133"/>
      <c r="C232" s="86"/>
      <c r="D232" s="79"/>
      <c r="E232" s="86"/>
      <c r="F232" s="86"/>
      <c r="G232" s="86"/>
      <c r="H232" s="134"/>
      <c r="I232" s="86"/>
      <c r="J232" s="134"/>
      <c r="K232" s="86"/>
      <c r="L232" s="86"/>
      <c r="M232" s="173"/>
      <c r="N232" s="173"/>
      <c r="O232" s="173"/>
      <c r="P232" s="173"/>
      <c r="Q232" s="173"/>
      <c r="R232" s="173"/>
      <c r="S232" s="173"/>
      <c r="T232" s="173"/>
      <c r="U232" s="173"/>
      <c r="V232" s="165"/>
      <c r="W232" s="173"/>
      <c r="X232" s="173"/>
      <c r="Y232" s="173"/>
      <c r="Z232" s="173"/>
      <c r="AA232" s="173"/>
      <c r="AB232" s="173"/>
      <c r="AC232" s="173"/>
      <c r="AD232" s="173"/>
      <c r="AE232" s="173"/>
      <c r="AF232" s="174"/>
      <c r="AG232" s="16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65"/>
      <c r="AR232" s="173"/>
      <c r="AS232" s="173"/>
      <c r="AT232" s="173"/>
      <c r="AU232" s="173"/>
      <c r="AV232" s="173"/>
      <c r="AW232" s="173"/>
      <c r="AX232" s="173"/>
      <c r="AY232" s="173"/>
      <c r="AZ232" s="173"/>
      <c r="BA232" s="165"/>
      <c r="BB232" s="174"/>
    </row>
    <row r="233" spans="1:54" s="36" customFormat="1" ht="13.8" x14ac:dyDescent="0.3">
      <c r="A233" s="128"/>
      <c r="B233" s="133"/>
      <c r="C233" s="86"/>
      <c r="D233" s="79"/>
      <c r="E233" s="86"/>
      <c r="F233" s="86"/>
      <c r="G233" s="86"/>
      <c r="H233" s="134"/>
      <c r="I233" s="86"/>
      <c r="J233" s="134"/>
      <c r="K233" s="86"/>
      <c r="L233" s="86"/>
      <c r="M233" s="173"/>
      <c r="N233" s="173"/>
      <c r="O233" s="173"/>
      <c r="P233" s="173"/>
      <c r="Q233" s="173"/>
      <c r="R233" s="173"/>
      <c r="S233" s="173"/>
      <c r="T233" s="173"/>
      <c r="U233" s="173"/>
      <c r="V233" s="165"/>
      <c r="W233" s="173"/>
      <c r="X233" s="173"/>
      <c r="Y233" s="173"/>
      <c r="Z233" s="173"/>
      <c r="AA233" s="173"/>
      <c r="AB233" s="173"/>
      <c r="AC233" s="173"/>
      <c r="AD233" s="173"/>
      <c r="AE233" s="173"/>
      <c r="AF233" s="174"/>
      <c r="AG233" s="16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65"/>
      <c r="AR233" s="173"/>
      <c r="AS233" s="173"/>
      <c r="AT233" s="173"/>
      <c r="AU233" s="173"/>
      <c r="AV233" s="173"/>
      <c r="AW233" s="173"/>
      <c r="AX233" s="173"/>
      <c r="AY233" s="173"/>
      <c r="AZ233" s="173"/>
      <c r="BA233" s="165"/>
      <c r="BB233" s="174"/>
    </row>
    <row r="234" spans="1:54" s="36" customFormat="1" ht="13.8" x14ac:dyDescent="0.3">
      <c r="A234" s="128"/>
      <c r="B234" s="133"/>
      <c r="C234" s="86"/>
      <c r="D234" s="79"/>
      <c r="E234" s="86"/>
      <c r="F234" s="86"/>
      <c r="G234" s="86"/>
      <c r="H234" s="134"/>
      <c r="I234" s="86"/>
      <c r="J234" s="134"/>
      <c r="K234" s="86"/>
      <c r="L234" s="86"/>
      <c r="M234" s="173"/>
      <c r="N234" s="173"/>
      <c r="O234" s="173"/>
      <c r="P234" s="173"/>
      <c r="Q234" s="173"/>
      <c r="R234" s="173"/>
      <c r="S234" s="173"/>
      <c r="T234" s="173"/>
      <c r="U234" s="173"/>
      <c r="V234" s="165"/>
      <c r="W234" s="173"/>
      <c r="X234" s="173"/>
      <c r="Y234" s="173"/>
      <c r="Z234" s="173"/>
      <c r="AA234" s="173"/>
      <c r="AB234" s="173"/>
      <c r="AC234" s="173"/>
      <c r="AD234" s="173"/>
      <c r="AE234" s="173"/>
      <c r="AF234" s="174"/>
      <c r="AG234" s="16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65"/>
      <c r="AR234" s="173"/>
      <c r="AS234" s="173"/>
      <c r="AT234" s="173"/>
      <c r="AU234" s="173"/>
      <c r="AV234" s="173"/>
      <c r="AW234" s="173"/>
      <c r="AX234" s="173"/>
      <c r="AY234" s="173"/>
      <c r="AZ234" s="173"/>
      <c r="BA234" s="165"/>
      <c r="BB234" s="174"/>
    </row>
    <row r="235" spans="1:54" s="36" customFormat="1" ht="13.8" x14ac:dyDescent="0.3">
      <c r="A235" s="128"/>
      <c r="B235" s="133"/>
      <c r="C235" s="86"/>
      <c r="D235" s="79"/>
      <c r="E235" s="86"/>
      <c r="F235" s="86"/>
      <c r="G235" s="86"/>
      <c r="H235" s="134"/>
      <c r="I235" s="86"/>
      <c r="J235" s="134"/>
      <c r="K235" s="86"/>
      <c r="L235" s="86"/>
      <c r="M235" s="173"/>
      <c r="N235" s="173"/>
      <c r="O235" s="173"/>
      <c r="P235" s="173"/>
      <c r="Q235" s="173"/>
      <c r="R235" s="173"/>
      <c r="S235" s="173"/>
      <c r="T235" s="173"/>
      <c r="U235" s="173"/>
      <c r="V235" s="165"/>
      <c r="W235" s="173"/>
      <c r="X235" s="173"/>
      <c r="Y235" s="173"/>
      <c r="Z235" s="173"/>
      <c r="AA235" s="173"/>
      <c r="AB235" s="173"/>
      <c r="AC235" s="173"/>
      <c r="AD235" s="173"/>
      <c r="AE235" s="173"/>
      <c r="AF235" s="174"/>
      <c r="AG235" s="16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65"/>
      <c r="AR235" s="173"/>
      <c r="AS235" s="173"/>
      <c r="AT235" s="173"/>
      <c r="AU235" s="173"/>
      <c r="AV235" s="173"/>
      <c r="AW235" s="173"/>
      <c r="AX235" s="173"/>
      <c r="AY235" s="173"/>
      <c r="AZ235" s="173"/>
      <c r="BA235" s="165"/>
      <c r="BB235" s="174"/>
    </row>
    <row r="236" spans="1:54" s="36" customFormat="1" ht="13.8" x14ac:dyDescent="0.3">
      <c r="A236" s="128"/>
      <c r="B236" s="133"/>
      <c r="C236" s="86"/>
      <c r="D236" s="79"/>
      <c r="E236" s="86"/>
      <c r="F236" s="86"/>
      <c r="G236" s="86"/>
      <c r="H236" s="134"/>
      <c r="I236" s="86"/>
      <c r="J236" s="134"/>
      <c r="K236" s="86"/>
      <c r="L236" s="86"/>
      <c r="M236" s="173"/>
      <c r="N236" s="173"/>
      <c r="O236" s="173"/>
      <c r="P236" s="173"/>
      <c r="Q236" s="173"/>
      <c r="R236" s="173"/>
      <c r="S236" s="173"/>
      <c r="T236" s="173"/>
      <c r="U236" s="173"/>
      <c r="V236" s="165"/>
      <c r="W236" s="173"/>
      <c r="X236" s="173"/>
      <c r="Y236" s="173"/>
      <c r="Z236" s="173"/>
      <c r="AA236" s="173"/>
      <c r="AB236" s="173"/>
      <c r="AC236" s="173"/>
      <c r="AD236" s="173"/>
      <c r="AE236" s="173"/>
      <c r="AF236" s="174"/>
      <c r="AG236" s="16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65"/>
      <c r="AR236" s="173"/>
      <c r="AS236" s="173"/>
      <c r="AT236" s="173"/>
      <c r="AU236" s="173"/>
      <c r="AV236" s="173"/>
      <c r="AW236" s="173"/>
      <c r="AX236" s="173"/>
      <c r="AY236" s="173"/>
      <c r="AZ236" s="173"/>
      <c r="BA236" s="165"/>
      <c r="BB236" s="174"/>
    </row>
    <row r="237" spans="1:54" s="36" customFormat="1" ht="13.8" x14ac:dyDescent="0.3">
      <c r="A237" s="128"/>
      <c r="B237" s="133"/>
      <c r="C237" s="86"/>
      <c r="D237" s="79"/>
      <c r="E237" s="86"/>
      <c r="F237" s="86"/>
      <c r="G237" s="86"/>
      <c r="H237" s="134"/>
      <c r="I237" s="86"/>
      <c r="J237" s="134"/>
      <c r="K237" s="86"/>
      <c r="L237" s="86"/>
      <c r="M237" s="173"/>
      <c r="N237" s="173"/>
      <c r="O237" s="173"/>
      <c r="P237" s="173"/>
      <c r="Q237" s="173"/>
      <c r="R237" s="173"/>
      <c r="S237" s="173"/>
      <c r="T237" s="173"/>
      <c r="U237" s="173"/>
      <c r="V237" s="165"/>
      <c r="W237" s="173"/>
      <c r="X237" s="173"/>
      <c r="Y237" s="173"/>
      <c r="Z237" s="173"/>
      <c r="AA237" s="173"/>
      <c r="AB237" s="173"/>
      <c r="AC237" s="173"/>
      <c r="AD237" s="173"/>
      <c r="AE237" s="173"/>
      <c r="AF237" s="174"/>
      <c r="AG237" s="16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65"/>
      <c r="AR237" s="173"/>
      <c r="AS237" s="173"/>
      <c r="AT237" s="173"/>
      <c r="AU237" s="173"/>
      <c r="AV237" s="173"/>
      <c r="AW237" s="173"/>
      <c r="AX237" s="173"/>
      <c r="AY237" s="173"/>
      <c r="AZ237" s="173"/>
      <c r="BA237" s="165"/>
      <c r="BB237" s="174"/>
    </row>
    <row r="238" spans="1:54" s="36" customFormat="1" ht="13.8" x14ac:dyDescent="0.3">
      <c r="A238" s="128"/>
      <c r="B238" s="133"/>
      <c r="C238" s="86"/>
      <c r="D238" s="79"/>
      <c r="E238" s="86"/>
      <c r="F238" s="86"/>
      <c r="G238" s="86"/>
      <c r="H238" s="134"/>
      <c r="I238" s="86"/>
      <c r="J238" s="134"/>
      <c r="K238" s="86"/>
      <c r="L238" s="86"/>
      <c r="M238" s="173"/>
      <c r="N238" s="173"/>
      <c r="O238" s="173"/>
      <c r="P238" s="173"/>
      <c r="Q238" s="173"/>
      <c r="R238" s="173"/>
      <c r="S238" s="173"/>
      <c r="T238" s="173"/>
      <c r="U238" s="173"/>
      <c r="V238" s="165"/>
      <c r="W238" s="173"/>
      <c r="X238" s="173"/>
      <c r="Y238" s="173"/>
      <c r="Z238" s="173"/>
      <c r="AA238" s="173"/>
      <c r="AB238" s="173"/>
      <c r="AC238" s="173"/>
      <c r="AD238" s="173"/>
      <c r="AE238" s="173"/>
      <c r="AF238" s="174"/>
      <c r="AG238" s="16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65"/>
      <c r="AR238" s="173"/>
      <c r="AS238" s="173"/>
      <c r="AT238" s="173"/>
      <c r="AU238" s="173"/>
      <c r="AV238" s="173"/>
      <c r="AW238" s="173"/>
      <c r="AX238" s="173"/>
      <c r="AY238" s="173"/>
      <c r="AZ238" s="173"/>
      <c r="BA238" s="165"/>
      <c r="BB238" s="174"/>
    </row>
    <row r="239" spans="1:54" s="36" customFormat="1" ht="13.8" x14ac:dyDescent="0.3">
      <c r="A239" s="128"/>
      <c r="B239" s="133"/>
      <c r="C239" s="86"/>
      <c r="D239" s="79"/>
      <c r="E239" s="86"/>
      <c r="F239" s="86"/>
      <c r="G239" s="86"/>
      <c r="H239" s="134"/>
      <c r="I239" s="86"/>
      <c r="J239" s="134"/>
      <c r="K239" s="86"/>
      <c r="L239" s="86"/>
      <c r="M239" s="173"/>
      <c r="N239" s="173"/>
      <c r="O239" s="173"/>
      <c r="P239" s="173"/>
      <c r="Q239" s="173"/>
      <c r="R239" s="173"/>
      <c r="S239" s="173"/>
      <c r="T239" s="173"/>
      <c r="U239" s="173"/>
      <c r="V239" s="165"/>
      <c r="W239" s="173"/>
      <c r="X239" s="173"/>
      <c r="Y239" s="173"/>
      <c r="Z239" s="173"/>
      <c r="AA239" s="173"/>
      <c r="AB239" s="173"/>
      <c r="AC239" s="173"/>
      <c r="AD239" s="173"/>
      <c r="AE239" s="173"/>
      <c r="AF239" s="174"/>
      <c r="AG239" s="16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65"/>
      <c r="AR239" s="173"/>
      <c r="AS239" s="173"/>
      <c r="AT239" s="173"/>
      <c r="AU239" s="173"/>
      <c r="AV239" s="173"/>
      <c r="AW239" s="173"/>
      <c r="AX239" s="173"/>
      <c r="AY239" s="173"/>
      <c r="AZ239" s="173"/>
      <c r="BA239" s="165"/>
      <c r="BB239" s="174"/>
    </row>
    <row r="240" spans="1:54" s="36" customFormat="1" ht="13.8" x14ac:dyDescent="0.3">
      <c r="A240" s="128"/>
      <c r="B240" s="133"/>
      <c r="C240" s="86"/>
      <c r="D240" s="79"/>
      <c r="E240" s="86"/>
      <c r="F240" s="86"/>
      <c r="G240" s="86"/>
      <c r="H240" s="134"/>
      <c r="I240" s="86"/>
      <c r="J240" s="134"/>
      <c r="K240" s="86"/>
      <c r="L240" s="86"/>
      <c r="M240" s="173"/>
      <c r="N240" s="173"/>
      <c r="O240" s="173"/>
      <c r="P240" s="173"/>
      <c r="Q240" s="173"/>
      <c r="R240" s="173"/>
      <c r="S240" s="173"/>
      <c r="T240" s="173"/>
      <c r="U240" s="173"/>
      <c r="V240" s="165"/>
      <c r="W240" s="173"/>
      <c r="X240" s="173"/>
      <c r="Y240" s="173"/>
      <c r="Z240" s="173"/>
      <c r="AA240" s="173"/>
      <c r="AB240" s="173"/>
      <c r="AC240" s="173"/>
      <c r="AD240" s="173"/>
      <c r="AE240" s="173"/>
      <c r="AF240" s="174"/>
      <c r="AG240" s="16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65"/>
      <c r="AR240" s="173"/>
      <c r="AS240" s="173"/>
      <c r="AT240" s="173"/>
      <c r="AU240" s="173"/>
      <c r="AV240" s="173"/>
      <c r="AW240" s="173"/>
      <c r="AX240" s="173"/>
      <c r="AY240" s="173"/>
      <c r="AZ240" s="173"/>
      <c r="BA240" s="165"/>
      <c r="BB240" s="174"/>
    </row>
    <row r="241" spans="1:54" s="36" customFormat="1" ht="13.8" x14ac:dyDescent="0.3">
      <c r="A241" s="128"/>
      <c r="B241" s="133"/>
      <c r="C241" s="86"/>
      <c r="D241" s="79"/>
      <c r="E241" s="86"/>
      <c r="F241" s="86"/>
      <c r="G241" s="86"/>
      <c r="H241" s="134"/>
      <c r="I241" s="86"/>
      <c r="J241" s="134"/>
      <c r="K241" s="86"/>
      <c r="L241" s="86"/>
      <c r="M241" s="173"/>
      <c r="N241" s="173"/>
      <c r="O241" s="173"/>
      <c r="P241" s="173"/>
      <c r="Q241" s="173"/>
      <c r="R241" s="173"/>
      <c r="S241" s="173"/>
      <c r="T241" s="173"/>
      <c r="U241" s="173"/>
      <c r="V241" s="165"/>
      <c r="W241" s="173"/>
      <c r="X241" s="173"/>
      <c r="Y241" s="173"/>
      <c r="Z241" s="173"/>
      <c r="AA241" s="173"/>
      <c r="AB241" s="173"/>
      <c r="AC241" s="173"/>
      <c r="AD241" s="173"/>
      <c r="AE241" s="173"/>
      <c r="AF241" s="174"/>
      <c r="AG241" s="16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65"/>
      <c r="AR241" s="173"/>
      <c r="AS241" s="173"/>
      <c r="AT241" s="173"/>
      <c r="AU241" s="173"/>
      <c r="AV241" s="173"/>
      <c r="AW241" s="173"/>
      <c r="AX241" s="173"/>
      <c r="AY241" s="173"/>
      <c r="AZ241" s="173"/>
      <c r="BA241" s="165"/>
      <c r="BB241" s="174"/>
    </row>
    <row r="242" spans="1:54" s="36" customFormat="1" ht="13.8" x14ac:dyDescent="0.3">
      <c r="A242" s="128"/>
      <c r="B242" s="133"/>
      <c r="C242" s="86"/>
      <c r="D242" s="79"/>
      <c r="E242" s="86"/>
      <c r="F242" s="86"/>
      <c r="G242" s="86"/>
      <c r="H242" s="134"/>
      <c r="I242" s="86"/>
      <c r="J242" s="134"/>
      <c r="K242" s="86"/>
      <c r="L242" s="86"/>
      <c r="M242" s="173"/>
      <c r="N242" s="173"/>
      <c r="O242" s="173"/>
      <c r="P242" s="173"/>
      <c r="Q242" s="173"/>
      <c r="R242" s="173"/>
      <c r="S242" s="173"/>
      <c r="T242" s="173"/>
      <c r="U242" s="173"/>
      <c r="V242" s="165"/>
      <c r="W242" s="173"/>
      <c r="X242" s="173"/>
      <c r="Y242" s="173"/>
      <c r="Z242" s="173"/>
      <c r="AA242" s="173"/>
      <c r="AB242" s="173"/>
      <c r="AC242" s="173"/>
      <c r="AD242" s="173"/>
      <c r="AE242" s="173"/>
      <c r="AF242" s="174"/>
      <c r="AG242" s="16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65"/>
      <c r="AR242" s="173"/>
      <c r="AS242" s="173"/>
      <c r="AT242" s="173"/>
      <c r="AU242" s="173"/>
      <c r="AV242" s="173"/>
      <c r="AW242" s="173"/>
      <c r="AX242" s="173"/>
      <c r="AY242" s="173"/>
      <c r="AZ242" s="173"/>
      <c r="BA242" s="165"/>
      <c r="BB242" s="174"/>
    </row>
    <row r="243" spans="1:54" s="36" customFormat="1" ht="13.8" x14ac:dyDescent="0.3">
      <c r="A243" s="128"/>
      <c r="B243" s="133"/>
      <c r="C243" s="86"/>
      <c r="D243" s="79"/>
      <c r="E243" s="86"/>
      <c r="F243" s="86"/>
      <c r="G243" s="86"/>
      <c r="H243" s="134"/>
      <c r="I243" s="86"/>
      <c r="J243" s="134"/>
      <c r="K243" s="86"/>
      <c r="L243" s="86"/>
      <c r="M243" s="173"/>
      <c r="N243" s="173"/>
      <c r="O243" s="173"/>
      <c r="P243" s="173"/>
      <c r="Q243" s="173"/>
      <c r="R243" s="173"/>
      <c r="S243" s="173"/>
      <c r="T243" s="173"/>
      <c r="U243" s="173"/>
      <c r="V243" s="165"/>
      <c r="W243" s="173"/>
      <c r="X243" s="173"/>
      <c r="Y243" s="173"/>
      <c r="Z243" s="173"/>
      <c r="AA243" s="173"/>
      <c r="AB243" s="173"/>
      <c r="AC243" s="173"/>
      <c r="AD243" s="173"/>
      <c r="AE243" s="173"/>
      <c r="AF243" s="174"/>
      <c r="AG243" s="16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65"/>
      <c r="AR243" s="173"/>
      <c r="AS243" s="173"/>
      <c r="AT243" s="173"/>
      <c r="AU243" s="173"/>
      <c r="AV243" s="173"/>
      <c r="AW243" s="173"/>
      <c r="AX243" s="173"/>
      <c r="AY243" s="173"/>
      <c r="AZ243" s="173"/>
      <c r="BA243" s="165"/>
      <c r="BB243" s="174"/>
    </row>
    <row r="244" spans="1:54" s="36" customFormat="1" ht="13.8" x14ac:dyDescent="0.3">
      <c r="A244" s="128"/>
      <c r="B244" s="133"/>
      <c r="C244" s="86"/>
      <c r="D244" s="79"/>
      <c r="E244" s="86"/>
      <c r="F244" s="86"/>
      <c r="G244" s="86"/>
      <c r="H244" s="134"/>
      <c r="I244" s="86"/>
      <c r="J244" s="134"/>
      <c r="K244" s="86"/>
      <c r="L244" s="86"/>
      <c r="M244" s="173"/>
      <c r="N244" s="173"/>
      <c r="O244" s="173"/>
      <c r="P244" s="173"/>
      <c r="Q244" s="173"/>
      <c r="R244" s="173"/>
      <c r="S244" s="173"/>
      <c r="T244" s="173"/>
      <c r="U244" s="173"/>
      <c r="V244" s="165"/>
      <c r="W244" s="173"/>
      <c r="X244" s="173"/>
      <c r="Y244" s="173"/>
      <c r="Z244" s="173"/>
      <c r="AA244" s="173"/>
      <c r="AB244" s="173"/>
      <c r="AC244" s="173"/>
      <c r="AD244" s="173"/>
      <c r="AE244" s="173"/>
      <c r="AF244" s="174"/>
      <c r="AG244" s="16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65"/>
      <c r="AR244" s="173"/>
      <c r="AS244" s="173"/>
      <c r="AT244" s="173"/>
      <c r="AU244" s="173"/>
      <c r="AV244" s="173"/>
      <c r="AW244" s="173"/>
      <c r="AX244" s="173"/>
      <c r="AY244" s="173"/>
      <c r="AZ244" s="173"/>
      <c r="BA244" s="165"/>
      <c r="BB244" s="174"/>
    </row>
    <row r="245" spans="1:54" s="36" customFormat="1" ht="13.8" x14ac:dyDescent="0.3">
      <c r="A245" s="128"/>
      <c r="B245" s="133"/>
      <c r="C245" s="86"/>
      <c r="D245" s="79"/>
      <c r="E245" s="86"/>
      <c r="F245" s="86"/>
      <c r="G245" s="86"/>
      <c r="H245" s="134"/>
      <c r="I245" s="86"/>
      <c r="J245" s="134"/>
      <c r="K245" s="86"/>
      <c r="L245" s="86"/>
      <c r="M245" s="173"/>
      <c r="N245" s="173"/>
      <c r="O245" s="173"/>
      <c r="P245" s="173"/>
      <c r="Q245" s="173"/>
      <c r="R245" s="173"/>
      <c r="S245" s="173"/>
      <c r="T245" s="173"/>
      <c r="U245" s="173"/>
      <c r="V245" s="165"/>
      <c r="W245" s="173"/>
      <c r="X245" s="173"/>
      <c r="Y245" s="173"/>
      <c r="Z245" s="173"/>
      <c r="AA245" s="173"/>
      <c r="AB245" s="173"/>
      <c r="AC245" s="173"/>
      <c r="AD245" s="173"/>
      <c r="AE245" s="173"/>
      <c r="AF245" s="174"/>
      <c r="AG245" s="16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65"/>
      <c r="AR245" s="173"/>
      <c r="AS245" s="173"/>
      <c r="AT245" s="173"/>
      <c r="AU245" s="173"/>
      <c r="AV245" s="173"/>
      <c r="AW245" s="173"/>
      <c r="AX245" s="173"/>
      <c r="AY245" s="173"/>
      <c r="AZ245" s="173"/>
      <c r="BA245" s="165"/>
      <c r="BB245" s="174"/>
    </row>
    <row r="246" spans="1:54" s="36" customFormat="1" ht="13.8" x14ac:dyDescent="0.3">
      <c r="A246" s="128"/>
      <c r="B246" s="133"/>
      <c r="C246" s="86"/>
      <c r="D246" s="79"/>
      <c r="E246" s="86"/>
      <c r="F246" s="86"/>
      <c r="G246" s="86"/>
      <c r="H246" s="134"/>
      <c r="I246" s="86"/>
      <c r="J246" s="134"/>
      <c r="K246" s="86"/>
      <c r="L246" s="86"/>
      <c r="M246" s="173"/>
      <c r="N246" s="173"/>
      <c r="O246" s="173"/>
      <c r="P246" s="173"/>
      <c r="Q246" s="173"/>
      <c r="R246" s="173"/>
      <c r="S246" s="173"/>
      <c r="T246" s="173"/>
      <c r="U246" s="173"/>
      <c r="V246" s="165"/>
      <c r="W246" s="173"/>
      <c r="X246" s="173"/>
      <c r="Y246" s="173"/>
      <c r="Z246" s="173"/>
      <c r="AA246" s="173"/>
      <c r="AB246" s="173"/>
      <c r="AC246" s="173"/>
      <c r="AD246" s="173"/>
      <c r="AE246" s="173"/>
      <c r="AF246" s="174"/>
      <c r="AG246" s="16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65"/>
      <c r="AR246" s="173"/>
      <c r="AS246" s="173"/>
      <c r="AT246" s="173"/>
      <c r="AU246" s="173"/>
      <c r="AV246" s="173"/>
      <c r="AW246" s="173"/>
      <c r="AX246" s="173"/>
      <c r="AY246" s="173"/>
      <c r="AZ246" s="173"/>
      <c r="BA246" s="165"/>
      <c r="BB246" s="174"/>
    </row>
    <row r="247" spans="1:54" s="36" customFormat="1" ht="13.8" x14ac:dyDescent="0.3">
      <c r="A247" s="128"/>
      <c r="B247" s="133"/>
      <c r="C247" s="86"/>
      <c r="D247" s="79"/>
      <c r="E247" s="86"/>
      <c r="F247" s="86"/>
      <c r="G247" s="86"/>
      <c r="H247" s="134"/>
      <c r="I247" s="86"/>
      <c r="J247" s="134"/>
      <c r="K247" s="86"/>
      <c r="L247" s="86"/>
      <c r="M247" s="173"/>
      <c r="N247" s="173"/>
      <c r="O247" s="173"/>
      <c r="P247" s="173"/>
      <c r="Q247" s="173"/>
      <c r="R247" s="173"/>
      <c r="S247" s="173"/>
      <c r="T247" s="173"/>
      <c r="U247" s="173"/>
      <c r="V247" s="165"/>
      <c r="W247" s="173"/>
      <c r="X247" s="173"/>
      <c r="Y247" s="173"/>
      <c r="Z247" s="173"/>
      <c r="AA247" s="173"/>
      <c r="AB247" s="173"/>
      <c r="AC247" s="173"/>
      <c r="AD247" s="173"/>
      <c r="AE247" s="173"/>
      <c r="AF247" s="174"/>
      <c r="AG247" s="165"/>
      <c r="AH247" s="175"/>
      <c r="AI247" s="175"/>
      <c r="AJ247" s="175"/>
      <c r="AK247" s="175"/>
      <c r="AL247" s="175"/>
      <c r="AM247" s="175"/>
      <c r="AN247" s="175"/>
      <c r="AO247" s="175"/>
      <c r="AP247" s="175"/>
      <c r="AQ247" s="165"/>
      <c r="AR247" s="173"/>
      <c r="AS247" s="173"/>
      <c r="AT247" s="173"/>
      <c r="AU247" s="173"/>
      <c r="AV247" s="173"/>
      <c r="AW247" s="173"/>
      <c r="AX247" s="173"/>
      <c r="AY247" s="173"/>
      <c r="AZ247" s="173"/>
      <c r="BA247" s="165"/>
      <c r="BB247" s="174"/>
    </row>
    <row r="248" spans="1:54" s="36" customFormat="1" ht="13.8" x14ac:dyDescent="0.3">
      <c r="A248" s="128"/>
      <c r="B248" s="133"/>
      <c r="C248" s="86"/>
      <c r="D248" s="79"/>
      <c r="E248" s="86"/>
      <c r="F248" s="86"/>
      <c r="G248" s="86"/>
      <c r="H248" s="134"/>
      <c r="I248" s="86"/>
      <c r="J248" s="134"/>
      <c r="K248" s="86"/>
      <c r="L248" s="86"/>
      <c r="M248" s="173"/>
      <c r="N248" s="173"/>
      <c r="O248" s="173"/>
      <c r="P248" s="173"/>
      <c r="Q248" s="173"/>
      <c r="R248" s="173"/>
      <c r="S248" s="173"/>
      <c r="T248" s="173"/>
      <c r="U248" s="173"/>
      <c r="V248" s="165"/>
      <c r="W248" s="173"/>
      <c r="X248" s="173"/>
      <c r="Y248" s="173"/>
      <c r="Z248" s="173"/>
      <c r="AA248" s="173"/>
      <c r="AB248" s="173"/>
      <c r="AC248" s="173"/>
      <c r="AD248" s="173"/>
      <c r="AE248" s="173"/>
      <c r="AF248" s="174"/>
      <c r="AG248" s="16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65"/>
      <c r="AR248" s="173"/>
      <c r="AS248" s="173"/>
      <c r="AT248" s="173"/>
      <c r="AU248" s="173"/>
      <c r="AV248" s="173"/>
      <c r="AW248" s="173"/>
      <c r="AX248" s="173"/>
      <c r="AY248" s="173"/>
      <c r="AZ248" s="173"/>
      <c r="BA248" s="165"/>
      <c r="BB248" s="174"/>
    </row>
    <row r="249" spans="1:54" s="36" customFormat="1" ht="13.8" x14ac:dyDescent="0.3">
      <c r="A249" s="128"/>
      <c r="B249" s="133"/>
      <c r="C249" s="86"/>
      <c r="D249" s="79"/>
      <c r="E249" s="86"/>
      <c r="F249" s="86"/>
      <c r="G249" s="86"/>
      <c r="H249" s="134"/>
      <c r="I249" s="86"/>
      <c r="J249" s="134"/>
      <c r="K249" s="86"/>
      <c r="L249" s="86"/>
      <c r="M249" s="173"/>
      <c r="N249" s="173"/>
      <c r="O249" s="173"/>
      <c r="P249" s="173"/>
      <c r="Q249" s="173"/>
      <c r="R249" s="173"/>
      <c r="S249" s="173"/>
      <c r="T249" s="173"/>
      <c r="U249" s="173"/>
      <c r="V249" s="165"/>
      <c r="W249" s="173"/>
      <c r="X249" s="173"/>
      <c r="Y249" s="173"/>
      <c r="Z249" s="173"/>
      <c r="AA249" s="173"/>
      <c r="AB249" s="173"/>
      <c r="AC249" s="173"/>
      <c r="AD249" s="173"/>
      <c r="AE249" s="173"/>
      <c r="AF249" s="174"/>
      <c r="AG249" s="16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65"/>
      <c r="AR249" s="173"/>
      <c r="AS249" s="173"/>
      <c r="AT249" s="173"/>
      <c r="AU249" s="173"/>
      <c r="AV249" s="173"/>
      <c r="AW249" s="173"/>
      <c r="AX249" s="173"/>
      <c r="AY249" s="173"/>
      <c r="AZ249" s="173"/>
      <c r="BA249" s="165"/>
      <c r="BB249" s="174"/>
    </row>
    <row r="250" spans="1:54" s="36" customFormat="1" ht="13.8" x14ac:dyDescent="0.3">
      <c r="A250" s="128"/>
      <c r="B250" s="133"/>
      <c r="C250" s="86"/>
      <c r="D250" s="79"/>
      <c r="E250" s="86"/>
      <c r="F250" s="86"/>
      <c r="G250" s="86"/>
      <c r="H250" s="134"/>
      <c r="I250" s="86"/>
      <c r="J250" s="134"/>
      <c r="K250" s="86"/>
      <c r="L250" s="86"/>
      <c r="M250" s="173"/>
      <c r="N250" s="173"/>
      <c r="O250" s="173"/>
      <c r="P250" s="173"/>
      <c r="Q250" s="173"/>
      <c r="R250" s="173"/>
      <c r="S250" s="173"/>
      <c r="T250" s="173"/>
      <c r="U250" s="173"/>
      <c r="V250" s="165"/>
      <c r="W250" s="173"/>
      <c r="X250" s="173"/>
      <c r="Y250" s="173"/>
      <c r="Z250" s="173"/>
      <c r="AA250" s="173"/>
      <c r="AB250" s="173"/>
      <c r="AC250" s="173"/>
      <c r="AD250" s="173"/>
      <c r="AE250" s="173"/>
      <c r="AF250" s="174"/>
      <c r="AG250" s="16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65"/>
      <c r="AR250" s="173"/>
      <c r="AS250" s="173"/>
      <c r="AT250" s="173"/>
      <c r="AU250" s="173"/>
      <c r="AV250" s="173"/>
      <c r="AW250" s="173"/>
      <c r="AX250" s="173"/>
      <c r="AY250" s="173"/>
      <c r="AZ250" s="173"/>
      <c r="BA250" s="165"/>
      <c r="BB250" s="174"/>
    </row>
    <row r="251" spans="1:54" s="36" customFormat="1" ht="13.8" x14ac:dyDescent="0.3">
      <c r="A251" s="128"/>
      <c r="B251" s="133"/>
      <c r="C251" s="86"/>
      <c r="D251" s="79"/>
      <c r="E251" s="86"/>
      <c r="F251" s="86"/>
      <c r="G251" s="86"/>
      <c r="H251" s="134"/>
      <c r="I251" s="86"/>
      <c r="J251" s="134"/>
      <c r="K251" s="86"/>
      <c r="L251" s="86"/>
      <c r="M251" s="173"/>
      <c r="N251" s="173"/>
      <c r="O251" s="173"/>
      <c r="P251" s="173"/>
      <c r="Q251" s="173"/>
      <c r="R251" s="173"/>
      <c r="S251" s="173"/>
      <c r="T251" s="173"/>
      <c r="U251" s="173"/>
      <c r="V251" s="165"/>
      <c r="W251" s="173"/>
      <c r="X251" s="173"/>
      <c r="Y251" s="173"/>
      <c r="Z251" s="173"/>
      <c r="AA251" s="173"/>
      <c r="AB251" s="173"/>
      <c r="AC251" s="173"/>
      <c r="AD251" s="173"/>
      <c r="AE251" s="173"/>
      <c r="AF251" s="174"/>
      <c r="AG251" s="16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65"/>
      <c r="AR251" s="173"/>
      <c r="AS251" s="173"/>
      <c r="AT251" s="173"/>
      <c r="AU251" s="173"/>
      <c r="AV251" s="173"/>
      <c r="AW251" s="173"/>
      <c r="AX251" s="173"/>
      <c r="AY251" s="173"/>
      <c r="AZ251" s="173"/>
      <c r="BA251" s="165"/>
      <c r="BB251" s="174"/>
    </row>
    <row r="252" spans="1:54" s="36" customFormat="1" ht="13.8" x14ac:dyDescent="0.3">
      <c r="A252" s="128"/>
      <c r="B252" s="133"/>
      <c r="C252" s="86"/>
      <c r="D252" s="79"/>
      <c r="E252" s="86"/>
      <c r="F252" s="86"/>
      <c r="G252" s="86"/>
      <c r="H252" s="134"/>
      <c r="I252" s="86"/>
      <c r="J252" s="134"/>
      <c r="K252" s="86"/>
      <c r="L252" s="86"/>
      <c r="M252" s="173"/>
      <c r="N252" s="173"/>
      <c r="O252" s="173"/>
      <c r="P252" s="173"/>
      <c r="Q252" s="173"/>
      <c r="R252" s="173"/>
      <c r="S252" s="173"/>
      <c r="T252" s="173"/>
      <c r="U252" s="173"/>
      <c r="V252" s="165"/>
      <c r="W252" s="173"/>
      <c r="X252" s="173"/>
      <c r="Y252" s="173"/>
      <c r="Z252" s="173"/>
      <c r="AA252" s="173"/>
      <c r="AB252" s="173"/>
      <c r="AC252" s="173"/>
      <c r="AD252" s="173"/>
      <c r="AE252" s="173"/>
      <c r="AF252" s="174"/>
      <c r="AG252" s="16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65"/>
      <c r="AR252" s="173"/>
      <c r="AS252" s="173"/>
      <c r="AT252" s="173"/>
      <c r="AU252" s="173"/>
      <c r="AV252" s="173"/>
      <c r="AW252" s="173"/>
      <c r="AX252" s="173"/>
      <c r="AY252" s="173"/>
      <c r="AZ252" s="173"/>
      <c r="BA252" s="165"/>
      <c r="BB252" s="174"/>
    </row>
    <row r="253" spans="1:54" s="36" customFormat="1" ht="13.8" x14ac:dyDescent="0.3">
      <c r="A253" s="128"/>
      <c r="B253" s="133"/>
      <c r="C253" s="86"/>
      <c r="D253" s="79"/>
      <c r="E253" s="86"/>
      <c r="F253" s="86"/>
      <c r="G253" s="86"/>
      <c r="H253" s="134"/>
      <c r="I253" s="86"/>
      <c r="J253" s="134"/>
      <c r="K253" s="86"/>
      <c r="L253" s="86"/>
      <c r="M253" s="173"/>
      <c r="N253" s="173"/>
      <c r="O253" s="173"/>
      <c r="P253" s="173"/>
      <c r="Q253" s="173"/>
      <c r="R253" s="173"/>
      <c r="S253" s="173"/>
      <c r="T253" s="173"/>
      <c r="U253" s="173"/>
      <c r="V253" s="165"/>
      <c r="W253" s="173"/>
      <c r="X253" s="173"/>
      <c r="Y253" s="173"/>
      <c r="Z253" s="173"/>
      <c r="AA253" s="173"/>
      <c r="AB253" s="173"/>
      <c r="AC253" s="173"/>
      <c r="AD253" s="173"/>
      <c r="AE253" s="173"/>
      <c r="AF253" s="174"/>
      <c r="AG253" s="16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65"/>
      <c r="AR253" s="173"/>
      <c r="AS253" s="173"/>
      <c r="AT253" s="173"/>
      <c r="AU253" s="173"/>
      <c r="AV253" s="173"/>
      <c r="AW253" s="173"/>
      <c r="AX253" s="173"/>
      <c r="AY253" s="173"/>
      <c r="AZ253" s="173"/>
      <c r="BA253" s="165"/>
      <c r="BB253" s="174"/>
    </row>
    <row r="254" spans="1:54" s="36" customFormat="1" ht="13.8" x14ac:dyDescent="0.3">
      <c r="A254" s="128"/>
      <c r="B254" s="133"/>
      <c r="C254" s="86"/>
      <c r="D254" s="79"/>
      <c r="E254" s="86"/>
      <c r="F254" s="86"/>
      <c r="G254" s="86"/>
      <c r="H254" s="134"/>
      <c r="I254" s="86"/>
      <c r="J254" s="134"/>
      <c r="K254" s="86"/>
      <c r="L254" s="86"/>
      <c r="M254" s="173"/>
      <c r="N254" s="173"/>
      <c r="O254" s="173"/>
      <c r="P254" s="173"/>
      <c r="Q254" s="173"/>
      <c r="R254" s="173"/>
      <c r="S254" s="173"/>
      <c r="T254" s="173"/>
      <c r="U254" s="173"/>
      <c r="V254" s="165"/>
      <c r="W254" s="173"/>
      <c r="X254" s="173"/>
      <c r="Y254" s="173"/>
      <c r="Z254" s="173"/>
      <c r="AA254" s="173"/>
      <c r="AB254" s="173"/>
      <c r="AC254" s="173"/>
      <c r="AD254" s="173"/>
      <c r="AE254" s="173"/>
      <c r="AF254" s="174"/>
      <c r="AG254" s="16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65"/>
      <c r="AR254" s="173"/>
      <c r="AS254" s="173"/>
      <c r="AT254" s="173"/>
      <c r="AU254" s="173"/>
      <c r="AV254" s="173"/>
      <c r="AW254" s="173"/>
      <c r="AX254" s="173"/>
      <c r="AY254" s="173"/>
      <c r="AZ254" s="173"/>
      <c r="BA254" s="165"/>
      <c r="BB254" s="174"/>
    </row>
    <row r="255" spans="1:54" s="36" customFormat="1" ht="13.8" x14ac:dyDescent="0.3">
      <c r="A255" s="128"/>
      <c r="B255" s="133"/>
      <c r="C255" s="86"/>
      <c r="D255" s="79"/>
      <c r="E255" s="86"/>
      <c r="F255" s="86"/>
      <c r="G255" s="86"/>
      <c r="H255" s="134"/>
      <c r="I255" s="86"/>
      <c r="J255" s="134"/>
      <c r="K255" s="86"/>
      <c r="L255" s="86"/>
      <c r="M255" s="173"/>
      <c r="N255" s="173"/>
      <c r="O255" s="173"/>
      <c r="P255" s="173"/>
      <c r="Q255" s="173"/>
      <c r="R255" s="173"/>
      <c r="S255" s="173"/>
      <c r="T255" s="173"/>
      <c r="U255" s="173"/>
      <c r="V255" s="165"/>
      <c r="W255" s="173"/>
      <c r="X255" s="173"/>
      <c r="Y255" s="173"/>
      <c r="Z255" s="173"/>
      <c r="AA255" s="173"/>
      <c r="AB255" s="173"/>
      <c r="AC255" s="173"/>
      <c r="AD255" s="173"/>
      <c r="AE255" s="173"/>
      <c r="AF255" s="174"/>
      <c r="AG255" s="16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65"/>
      <c r="AR255" s="173"/>
      <c r="AS255" s="173"/>
      <c r="AT255" s="173"/>
      <c r="AU255" s="173"/>
      <c r="AV255" s="173"/>
      <c r="AW255" s="173"/>
      <c r="AX255" s="173"/>
      <c r="AY255" s="173"/>
      <c r="AZ255" s="173"/>
      <c r="BA255" s="165"/>
      <c r="BB255" s="174"/>
    </row>
    <row r="256" spans="1:54" s="36" customFormat="1" ht="13.8" x14ac:dyDescent="0.3">
      <c r="A256" s="128"/>
      <c r="B256" s="133"/>
      <c r="C256" s="86"/>
      <c r="D256" s="79"/>
      <c r="E256" s="86"/>
      <c r="F256" s="86"/>
      <c r="G256" s="86"/>
      <c r="H256" s="134"/>
      <c r="I256" s="86"/>
      <c r="J256" s="134"/>
      <c r="K256" s="86"/>
      <c r="L256" s="86"/>
      <c r="M256" s="173"/>
      <c r="N256" s="173"/>
      <c r="O256" s="173"/>
      <c r="P256" s="173"/>
      <c r="Q256" s="173"/>
      <c r="R256" s="173"/>
      <c r="S256" s="173"/>
      <c r="T256" s="173"/>
      <c r="U256" s="173"/>
      <c r="V256" s="165"/>
      <c r="W256" s="173"/>
      <c r="X256" s="173"/>
      <c r="Y256" s="173"/>
      <c r="Z256" s="173"/>
      <c r="AA256" s="173"/>
      <c r="AB256" s="173"/>
      <c r="AC256" s="173"/>
      <c r="AD256" s="173"/>
      <c r="AE256" s="173"/>
      <c r="AF256" s="174"/>
      <c r="AG256" s="16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65"/>
      <c r="AR256" s="173"/>
      <c r="AS256" s="173"/>
      <c r="AT256" s="173"/>
      <c r="AU256" s="173"/>
      <c r="AV256" s="173"/>
      <c r="AW256" s="173"/>
      <c r="AX256" s="173"/>
      <c r="AY256" s="173"/>
      <c r="AZ256" s="173"/>
      <c r="BA256" s="165"/>
      <c r="BB256" s="174"/>
    </row>
    <row r="257" spans="1:54" s="36" customFormat="1" ht="13.8" x14ac:dyDescent="0.3">
      <c r="A257" s="128"/>
      <c r="B257" s="133"/>
      <c r="C257" s="86"/>
      <c r="D257" s="79"/>
      <c r="E257" s="86"/>
      <c r="F257" s="86"/>
      <c r="G257" s="86"/>
      <c r="H257" s="134"/>
      <c r="I257" s="86"/>
      <c r="J257" s="134"/>
      <c r="K257" s="86"/>
      <c r="L257" s="86"/>
      <c r="M257" s="173"/>
      <c r="N257" s="173"/>
      <c r="O257" s="173"/>
      <c r="P257" s="173"/>
      <c r="Q257" s="173"/>
      <c r="R257" s="173"/>
      <c r="S257" s="173"/>
      <c r="T257" s="173"/>
      <c r="U257" s="173"/>
      <c r="V257" s="165"/>
      <c r="W257" s="173"/>
      <c r="X257" s="173"/>
      <c r="Y257" s="173"/>
      <c r="Z257" s="173"/>
      <c r="AA257" s="173"/>
      <c r="AB257" s="173"/>
      <c r="AC257" s="173"/>
      <c r="AD257" s="173"/>
      <c r="AE257" s="173"/>
      <c r="AF257" s="174"/>
      <c r="AG257" s="16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65"/>
      <c r="AR257" s="173"/>
      <c r="AS257" s="173"/>
      <c r="AT257" s="173"/>
      <c r="AU257" s="173"/>
      <c r="AV257" s="173"/>
      <c r="AW257" s="173"/>
      <c r="AX257" s="173"/>
      <c r="AY257" s="173"/>
      <c r="AZ257" s="173"/>
      <c r="BA257" s="165"/>
      <c r="BB257" s="174"/>
    </row>
    <row r="258" spans="1:54" s="36" customFormat="1" ht="13.8" x14ac:dyDescent="0.3">
      <c r="A258" s="128"/>
      <c r="B258" s="133"/>
      <c r="C258" s="86"/>
      <c r="D258" s="79"/>
      <c r="E258" s="86"/>
      <c r="F258" s="86"/>
      <c r="G258" s="86"/>
      <c r="H258" s="134"/>
      <c r="I258" s="86"/>
      <c r="J258" s="134"/>
      <c r="K258" s="86"/>
      <c r="L258" s="86"/>
      <c r="M258" s="173"/>
      <c r="N258" s="173"/>
      <c r="O258" s="173"/>
      <c r="P258" s="173"/>
      <c r="Q258" s="173"/>
      <c r="R258" s="173"/>
      <c r="S258" s="173"/>
      <c r="T258" s="173"/>
      <c r="U258" s="173"/>
      <c r="V258" s="165"/>
      <c r="W258" s="173"/>
      <c r="X258" s="173"/>
      <c r="Y258" s="173"/>
      <c r="Z258" s="173"/>
      <c r="AA258" s="173"/>
      <c r="AB258" s="173"/>
      <c r="AC258" s="173"/>
      <c r="AD258" s="173"/>
      <c r="AE258" s="173"/>
      <c r="AF258" s="174"/>
      <c r="AG258" s="16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65"/>
      <c r="AR258" s="173"/>
      <c r="AS258" s="173"/>
      <c r="AT258" s="173"/>
      <c r="AU258" s="173"/>
      <c r="AV258" s="173"/>
      <c r="AW258" s="173"/>
      <c r="AX258" s="173"/>
      <c r="AY258" s="173"/>
      <c r="AZ258" s="173"/>
      <c r="BA258" s="165"/>
      <c r="BB258" s="174"/>
    </row>
    <row r="259" spans="1:54" s="36" customFormat="1" ht="13.8" x14ac:dyDescent="0.3">
      <c r="A259" s="128"/>
      <c r="B259" s="133"/>
      <c r="C259" s="86"/>
      <c r="D259" s="79"/>
      <c r="E259" s="86"/>
      <c r="F259" s="86"/>
      <c r="G259" s="86"/>
      <c r="H259" s="134"/>
      <c r="I259" s="86"/>
      <c r="J259" s="134"/>
      <c r="K259" s="86"/>
      <c r="L259" s="86"/>
      <c r="M259" s="173"/>
      <c r="N259" s="173"/>
      <c r="O259" s="173"/>
      <c r="P259" s="173"/>
      <c r="Q259" s="173"/>
      <c r="R259" s="173"/>
      <c r="S259" s="173"/>
      <c r="T259" s="173"/>
      <c r="U259" s="173"/>
      <c r="V259" s="165"/>
      <c r="W259" s="173"/>
      <c r="X259" s="173"/>
      <c r="Y259" s="173"/>
      <c r="Z259" s="173"/>
      <c r="AA259" s="173"/>
      <c r="AB259" s="173"/>
      <c r="AC259" s="173"/>
      <c r="AD259" s="173"/>
      <c r="AE259" s="173"/>
      <c r="AF259" s="174"/>
      <c r="AG259" s="16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65"/>
      <c r="AR259" s="173"/>
      <c r="AS259" s="173"/>
      <c r="AT259" s="173"/>
      <c r="AU259" s="173"/>
      <c r="AV259" s="173"/>
      <c r="AW259" s="173"/>
      <c r="AX259" s="173"/>
      <c r="AY259" s="173"/>
      <c r="AZ259" s="173"/>
      <c r="BA259" s="165"/>
      <c r="BB259" s="174"/>
    </row>
    <row r="260" spans="1:54" s="36" customFormat="1" ht="13.8" x14ac:dyDescent="0.3">
      <c r="A260" s="128"/>
      <c r="B260" s="133"/>
      <c r="C260" s="86"/>
      <c r="D260" s="79"/>
      <c r="E260" s="86"/>
      <c r="F260" s="86"/>
      <c r="G260" s="86"/>
      <c r="H260" s="134"/>
      <c r="I260" s="86"/>
      <c r="J260" s="134"/>
      <c r="K260" s="86"/>
      <c r="L260" s="86"/>
      <c r="M260" s="173"/>
      <c r="N260" s="173"/>
      <c r="O260" s="173"/>
      <c r="P260" s="173"/>
      <c r="Q260" s="173"/>
      <c r="R260" s="173"/>
      <c r="S260" s="173"/>
      <c r="T260" s="173"/>
      <c r="U260" s="173"/>
      <c r="V260" s="165"/>
      <c r="W260" s="173"/>
      <c r="X260" s="173"/>
      <c r="Y260" s="173"/>
      <c r="Z260" s="173"/>
      <c r="AA260" s="173"/>
      <c r="AB260" s="173"/>
      <c r="AC260" s="173"/>
      <c r="AD260" s="173"/>
      <c r="AE260" s="173"/>
      <c r="AF260" s="174"/>
      <c r="AG260" s="16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65"/>
      <c r="AR260" s="173"/>
      <c r="AS260" s="173"/>
      <c r="AT260" s="173"/>
      <c r="AU260" s="173"/>
      <c r="AV260" s="173"/>
      <c r="AW260" s="173"/>
      <c r="AX260" s="173"/>
      <c r="AY260" s="173"/>
      <c r="AZ260" s="173"/>
      <c r="BA260" s="165"/>
      <c r="BB260" s="174"/>
    </row>
    <row r="261" spans="1:54" s="36" customFormat="1" ht="13.8" x14ac:dyDescent="0.3">
      <c r="A261" s="128"/>
      <c r="B261" s="133"/>
      <c r="C261" s="86"/>
      <c r="D261" s="79"/>
      <c r="E261" s="86"/>
      <c r="F261" s="86"/>
      <c r="G261" s="86"/>
      <c r="H261" s="134"/>
      <c r="I261" s="86"/>
      <c r="J261" s="134"/>
      <c r="K261" s="86"/>
      <c r="L261" s="86"/>
      <c r="M261" s="173"/>
      <c r="N261" s="173"/>
      <c r="O261" s="173"/>
      <c r="P261" s="173"/>
      <c r="Q261" s="173"/>
      <c r="R261" s="173"/>
      <c r="S261" s="173"/>
      <c r="T261" s="173"/>
      <c r="U261" s="173"/>
      <c r="V261" s="165"/>
      <c r="W261" s="173"/>
      <c r="X261" s="173"/>
      <c r="Y261" s="173"/>
      <c r="Z261" s="173"/>
      <c r="AA261" s="173"/>
      <c r="AB261" s="173"/>
      <c r="AC261" s="173"/>
      <c r="AD261" s="173"/>
      <c r="AE261" s="173"/>
      <c r="AF261" s="174"/>
      <c r="AG261" s="16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65"/>
      <c r="AR261" s="173"/>
      <c r="AS261" s="173"/>
      <c r="AT261" s="173"/>
      <c r="AU261" s="173"/>
      <c r="AV261" s="173"/>
      <c r="AW261" s="173"/>
      <c r="AX261" s="173"/>
      <c r="AY261" s="173"/>
      <c r="AZ261" s="173"/>
      <c r="BA261" s="165"/>
      <c r="BB261" s="174"/>
    </row>
    <row r="262" spans="1:54" s="36" customFormat="1" ht="13.8" x14ac:dyDescent="0.3">
      <c r="A262" s="128"/>
      <c r="B262" s="133"/>
      <c r="C262" s="86"/>
      <c r="D262" s="79"/>
      <c r="E262" s="86"/>
      <c r="F262" s="86"/>
      <c r="G262" s="86"/>
      <c r="H262" s="134"/>
      <c r="I262" s="86"/>
      <c r="J262" s="134"/>
      <c r="K262" s="86"/>
      <c r="L262" s="86"/>
      <c r="M262" s="173"/>
      <c r="N262" s="173"/>
      <c r="O262" s="173"/>
      <c r="P262" s="173"/>
      <c r="Q262" s="173"/>
      <c r="R262" s="173"/>
      <c r="S262" s="173"/>
      <c r="T262" s="173"/>
      <c r="U262" s="173"/>
      <c r="V262" s="165"/>
      <c r="W262" s="173"/>
      <c r="X262" s="173"/>
      <c r="Y262" s="173"/>
      <c r="Z262" s="173"/>
      <c r="AA262" s="173"/>
      <c r="AB262" s="173"/>
      <c r="AC262" s="173"/>
      <c r="AD262" s="173"/>
      <c r="AE262" s="173"/>
      <c r="AF262" s="174"/>
      <c r="AG262" s="16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65"/>
      <c r="AR262" s="173"/>
      <c r="AS262" s="173"/>
      <c r="AT262" s="173"/>
      <c r="AU262" s="173"/>
      <c r="AV262" s="173"/>
      <c r="AW262" s="173"/>
      <c r="AX262" s="173"/>
      <c r="AY262" s="173"/>
      <c r="AZ262" s="173"/>
      <c r="BA262" s="165"/>
      <c r="BB262" s="174"/>
    </row>
    <row r="263" spans="1:54" s="36" customFormat="1" ht="13.8" x14ac:dyDescent="0.3">
      <c r="A263" s="128"/>
      <c r="B263" s="133"/>
      <c r="C263" s="86"/>
      <c r="D263" s="79"/>
      <c r="E263" s="86"/>
      <c r="F263" s="86"/>
      <c r="G263" s="86"/>
      <c r="H263" s="134"/>
      <c r="I263" s="86"/>
      <c r="J263" s="134"/>
      <c r="K263" s="86"/>
      <c r="L263" s="86"/>
      <c r="M263" s="173"/>
      <c r="N263" s="173"/>
      <c r="O263" s="173"/>
      <c r="P263" s="173"/>
      <c r="Q263" s="173"/>
      <c r="R263" s="173"/>
      <c r="S263" s="173"/>
      <c r="T263" s="173"/>
      <c r="U263" s="173"/>
      <c r="V263" s="165"/>
      <c r="W263" s="173"/>
      <c r="X263" s="173"/>
      <c r="Y263" s="173"/>
      <c r="Z263" s="173"/>
      <c r="AA263" s="173"/>
      <c r="AB263" s="173"/>
      <c r="AC263" s="173"/>
      <c r="AD263" s="173"/>
      <c r="AE263" s="173"/>
      <c r="AF263" s="174"/>
      <c r="AG263" s="16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65"/>
      <c r="AR263" s="173"/>
      <c r="AS263" s="173"/>
      <c r="AT263" s="173"/>
      <c r="AU263" s="173"/>
      <c r="AV263" s="173"/>
      <c r="AW263" s="173"/>
      <c r="AX263" s="173"/>
      <c r="AY263" s="173"/>
      <c r="AZ263" s="173"/>
      <c r="BA263" s="165"/>
      <c r="BB263" s="174"/>
    </row>
    <row r="264" spans="1:54" s="36" customFormat="1" ht="13.8" x14ac:dyDescent="0.3">
      <c r="A264" s="128"/>
      <c r="B264" s="133"/>
      <c r="C264" s="86"/>
      <c r="D264" s="79"/>
      <c r="E264" s="86"/>
      <c r="F264" s="86"/>
      <c r="G264" s="86"/>
      <c r="H264" s="134"/>
      <c r="I264" s="86"/>
      <c r="J264" s="134"/>
      <c r="K264" s="86"/>
      <c r="L264" s="86"/>
      <c r="M264" s="173"/>
      <c r="N264" s="173"/>
      <c r="O264" s="173"/>
      <c r="P264" s="173"/>
      <c r="Q264" s="173"/>
      <c r="R264" s="173"/>
      <c r="S264" s="173"/>
      <c r="T264" s="173"/>
      <c r="U264" s="173"/>
      <c r="V264" s="165"/>
      <c r="W264" s="173"/>
      <c r="X264" s="173"/>
      <c r="Y264" s="173"/>
      <c r="Z264" s="173"/>
      <c r="AA264" s="173"/>
      <c r="AB264" s="173"/>
      <c r="AC264" s="173"/>
      <c r="AD264" s="173"/>
      <c r="AE264" s="173"/>
      <c r="AF264" s="174"/>
      <c r="AG264" s="16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65"/>
      <c r="AR264" s="173"/>
      <c r="AS264" s="173"/>
      <c r="AT264" s="173"/>
      <c r="AU264" s="173"/>
      <c r="AV264" s="173"/>
      <c r="AW264" s="173"/>
      <c r="AX264" s="173"/>
      <c r="AY264" s="173"/>
      <c r="AZ264" s="173"/>
      <c r="BA264" s="165"/>
      <c r="BB264" s="174"/>
    </row>
    <row r="265" spans="1:54" s="36" customFormat="1" ht="13.8" x14ac:dyDescent="0.3">
      <c r="A265" s="128"/>
      <c r="B265" s="133"/>
      <c r="C265" s="86"/>
      <c r="D265" s="79"/>
      <c r="E265" s="86"/>
      <c r="F265" s="86"/>
      <c r="G265" s="86"/>
      <c r="H265" s="134"/>
      <c r="I265" s="86"/>
      <c r="J265" s="134"/>
      <c r="K265" s="86"/>
      <c r="L265" s="86"/>
      <c r="M265" s="173"/>
      <c r="N265" s="173"/>
      <c r="O265" s="173"/>
      <c r="P265" s="173"/>
      <c r="Q265" s="173"/>
      <c r="R265" s="173"/>
      <c r="S265" s="173"/>
      <c r="T265" s="173"/>
      <c r="U265" s="173"/>
      <c r="V265" s="165"/>
      <c r="W265" s="173"/>
      <c r="X265" s="173"/>
      <c r="Y265" s="173"/>
      <c r="Z265" s="173"/>
      <c r="AA265" s="173"/>
      <c r="AB265" s="173"/>
      <c r="AC265" s="173"/>
      <c r="AD265" s="173"/>
      <c r="AE265" s="173"/>
      <c r="AF265" s="174"/>
      <c r="AG265" s="16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65"/>
      <c r="AR265" s="173"/>
      <c r="AS265" s="173"/>
      <c r="AT265" s="173"/>
      <c r="AU265" s="173"/>
      <c r="AV265" s="173"/>
      <c r="AW265" s="173"/>
      <c r="AX265" s="173"/>
      <c r="AY265" s="173"/>
      <c r="AZ265" s="173"/>
      <c r="BA265" s="165"/>
      <c r="BB265" s="174"/>
    </row>
    <row r="266" spans="1:54" s="36" customFormat="1" ht="13.8" x14ac:dyDescent="0.3">
      <c r="A266" s="128"/>
      <c r="B266" s="133"/>
      <c r="C266" s="86"/>
      <c r="D266" s="79"/>
      <c r="E266" s="86"/>
      <c r="F266" s="86"/>
      <c r="G266" s="86"/>
      <c r="H266" s="134"/>
      <c r="I266" s="86"/>
      <c r="J266" s="134"/>
      <c r="K266" s="86"/>
      <c r="L266" s="86"/>
      <c r="M266" s="173"/>
      <c r="N266" s="173"/>
      <c r="O266" s="173"/>
      <c r="P266" s="173"/>
      <c r="Q266" s="173"/>
      <c r="R266" s="173"/>
      <c r="S266" s="173"/>
      <c r="T266" s="173"/>
      <c r="U266" s="173"/>
      <c r="V266" s="165"/>
      <c r="W266" s="173"/>
      <c r="X266" s="173"/>
      <c r="Y266" s="173"/>
      <c r="Z266" s="173"/>
      <c r="AA266" s="173"/>
      <c r="AB266" s="173"/>
      <c r="AC266" s="173"/>
      <c r="AD266" s="173"/>
      <c r="AE266" s="173"/>
      <c r="AF266" s="174"/>
      <c r="AG266" s="16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65"/>
      <c r="AR266" s="173"/>
      <c r="AS266" s="173"/>
      <c r="AT266" s="173"/>
      <c r="AU266" s="173"/>
      <c r="AV266" s="173"/>
      <c r="AW266" s="173"/>
      <c r="AX266" s="173"/>
      <c r="AY266" s="173"/>
      <c r="AZ266" s="173"/>
      <c r="BA266" s="165"/>
      <c r="BB266" s="174"/>
    </row>
    <row r="267" spans="1:54" s="36" customFormat="1" ht="13.8" x14ac:dyDescent="0.3">
      <c r="A267" s="128"/>
      <c r="B267" s="133"/>
      <c r="C267" s="86"/>
      <c r="D267" s="79"/>
      <c r="E267" s="86"/>
      <c r="F267" s="86"/>
      <c r="G267" s="86"/>
      <c r="H267" s="134"/>
      <c r="I267" s="86"/>
      <c r="J267" s="134"/>
      <c r="K267" s="86"/>
      <c r="L267" s="86"/>
      <c r="M267" s="173"/>
      <c r="N267" s="173"/>
      <c r="O267" s="173"/>
      <c r="P267" s="173"/>
      <c r="Q267" s="173"/>
      <c r="R267" s="173"/>
      <c r="S267" s="173"/>
      <c r="T267" s="173"/>
      <c r="U267" s="173"/>
      <c r="V267" s="165"/>
      <c r="W267" s="173"/>
      <c r="X267" s="173"/>
      <c r="Y267" s="173"/>
      <c r="Z267" s="173"/>
      <c r="AA267" s="173"/>
      <c r="AB267" s="173"/>
      <c r="AC267" s="173"/>
      <c r="AD267" s="173"/>
      <c r="AE267" s="173"/>
      <c r="AF267" s="174"/>
      <c r="AG267" s="16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65"/>
      <c r="AR267" s="173"/>
      <c r="AS267" s="173"/>
      <c r="AT267" s="173"/>
      <c r="AU267" s="173"/>
      <c r="AV267" s="173"/>
      <c r="AW267" s="173"/>
      <c r="AX267" s="173"/>
      <c r="AY267" s="173"/>
      <c r="AZ267" s="173"/>
      <c r="BA267" s="165"/>
      <c r="BB267" s="174"/>
    </row>
    <row r="268" spans="1:54" s="36" customFormat="1" ht="13.8" x14ac:dyDescent="0.3">
      <c r="A268" s="128"/>
      <c r="B268" s="133"/>
      <c r="C268" s="86"/>
      <c r="D268" s="79"/>
      <c r="E268" s="86"/>
      <c r="F268" s="86"/>
      <c r="G268" s="86"/>
      <c r="H268" s="134"/>
      <c r="I268" s="86"/>
      <c r="J268" s="134"/>
      <c r="K268" s="86"/>
      <c r="L268" s="86"/>
      <c r="M268" s="173"/>
      <c r="N268" s="173"/>
      <c r="O268" s="173"/>
      <c r="P268" s="173"/>
      <c r="Q268" s="173"/>
      <c r="R268" s="173"/>
      <c r="S268" s="173"/>
      <c r="T268" s="173"/>
      <c r="U268" s="173"/>
      <c r="V268" s="165"/>
      <c r="W268" s="173"/>
      <c r="X268" s="173"/>
      <c r="Y268" s="173"/>
      <c r="Z268" s="173"/>
      <c r="AA268" s="173"/>
      <c r="AB268" s="173"/>
      <c r="AC268" s="173"/>
      <c r="AD268" s="173"/>
      <c r="AE268" s="173"/>
      <c r="AF268" s="174"/>
      <c r="AG268" s="16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65"/>
      <c r="AR268" s="173"/>
      <c r="AS268" s="173"/>
      <c r="AT268" s="173"/>
      <c r="AU268" s="173"/>
      <c r="AV268" s="173"/>
      <c r="AW268" s="173"/>
      <c r="AX268" s="173"/>
      <c r="AY268" s="173"/>
      <c r="AZ268" s="173"/>
      <c r="BA268" s="165"/>
      <c r="BB268" s="174"/>
    </row>
    <row r="269" spans="1:54" s="36" customFormat="1" ht="13.8" x14ac:dyDescent="0.3">
      <c r="A269" s="128"/>
      <c r="B269" s="133"/>
      <c r="C269" s="86"/>
      <c r="D269" s="79"/>
      <c r="E269" s="86"/>
      <c r="F269" s="86"/>
      <c r="G269" s="86"/>
      <c r="H269" s="134"/>
      <c r="I269" s="86"/>
      <c r="J269" s="134"/>
      <c r="K269" s="86"/>
      <c r="L269" s="86"/>
      <c r="M269" s="173"/>
      <c r="N269" s="173"/>
      <c r="O269" s="173"/>
      <c r="P269" s="173"/>
      <c r="Q269" s="173"/>
      <c r="R269" s="173"/>
      <c r="S269" s="173"/>
      <c r="T269" s="173"/>
      <c r="U269" s="173"/>
      <c r="V269" s="165"/>
      <c r="W269" s="173"/>
      <c r="X269" s="173"/>
      <c r="Y269" s="173"/>
      <c r="Z269" s="173"/>
      <c r="AA269" s="173"/>
      <c r="AB269" s="173"/>
      <c r="AC269" s="173"/>
      <c r="AD269" s="173"/>
      <c r="AE269" s="173"/>
      <c r="AF269" s="174"/>
      <c r="AG269" s="16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65"/>
      <c r="AR269" s="173"/>
      <c r="AS269" s="173"/>
      <c r="AT269" s="173"/>
      <c r="AU269" s="173"/>
      <c r="AV269" s="173"/>
      <c r="AW269" s="173"/>
      <c r="AX269" s="173"/>
      <c r="AY269" s="173"/>
      <c r="AZ269" s="173"/>
      <c r="BA269" s="165"/>
      <c r="BB269" s="174"/>
    </row>
    <row r="270" spans="1:54" s="36" customFormat="1" ht="13.8" x14ac:dyDescent="0.3">
      <c r="A270" s="128"/>
      <c r="B270" s="133"/>
      <c r="C270" s="86"/>
      <c r="D270" s="79"/>
      <c r="E270" s="86"/>
      <c r="F270" s="86"/>
      <c r="G270" s="86"/>
      <c r="H270" s="134"/>
      <c r="I270" s="86"/>
      <c r="J270" s="134"/>
      <c r="K270" s="86"/>
      <c r="L270" s="86"/>
      <c r="M270" s="173"/>
      <c r="N270" s="173"/>
      <c r="O270" s="173"/>
      <c r="P270" s="173"/>
      <c r="Q270" s="173"/>
      <c r="R270" s="173"/>
      <c r="S270" s="173"/>
      <c r="T270" s="173"/>
      <c r="U270" s="173"/>
      <c r="V270" s="165"/>
      <c r="W270" s="173"/>
      <c r="X270" s="173"/>
      <c r="Y270" s="173"/>
      <c r="Z270" s="173"/>
      <c r="AA270" s="173"/>
      <c r="AB270" s="173"/>
      <c r="AC270" s="173"/>
      <c r="AD270" s="173"/>
      <c r="AE270" s="173"/>
      <c r="AF270" s="174"/>
      <c r="AG270" s="16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65"/>
      <c r="AR270" s="173"/>
      <c r="AS270" s="173"/>
      <c r="AT270" s="173"/>
      <c r="AU270" s="173"/>
      <c r="AV270" s="173"/>
      <c r="AW270" s="173"/>
      <c r="AX270" s="173"/>
      <c r="AY270" s="173"/>
      <c r="AZ270" s="173"/>
      <c r="BA270" s="165"/>
      <c r="BB270" s="174"/>
    </row>
    <row r="271" spans="1:54" s="36" customFormat="1" ht="13.8" x14ac:dyDescent="0.3">
      <c r="A271" s="128"/>
      <c r="B271" s="133"/>
      <c r="C271" s="86"/>
      <c r="D271" s="79"/>
      <c r="E271" s="86"/>
      <c r="F271" s="86"/>
      <c r="G271" s="86"/>
      <c r="H271" s="134"/>
      <c r="I271" s="86"/>
      <c r="J271" s="134"/>
      <c r="K271" s="86"/>
      <c r="L271" s="86"/>
      <c r="M271" s="173"/>
      <c r="N271" s="173"/>
      <c r="O271" s="173"/>
      <c r="P271" s="173"/>
      <c r="Q271" s="173"/>
      <c r="R271" s="173"/>
      <c r="S271" s="173"/>
      <c r="T271" s="173"/>
      <c r="U271" s="173"/>
      <c r="V271" s="165"/>
      <c r="W271" s="173"/>
      <c r="X271" s="173"/>
      <c r="Y271" s="173"/>
      <c r="Z271" s="173"/>
      <c r="AA271" s="173"/>
      <c r="AB271" s="173"/>
      <c r="AC271" s="173"/>
      <c r="AD271" s="173"/>
      <c r="AE271" s="173"/>
      <c r="AF271" s="174"/>
      <c r="AG271" s="16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65"/>
      <c r="AR271" s="173"/>
      <c r="AS271" s="173"/>
      <c r="AT271" s="173"/>
      <c r="AU271" s="173"/>
      <c r="AV271" s="173"/>
      <c r="AW271" s="173"/>
      <c r="AX271" s="173"/>
      <c r="AY271" s="173"/>
      <c r="AZ271" s="173"/>
      <c r="BA271" s="165"/>
      <c r="BB271" s="174"/>
    </row>
    <row r="272" spans="1:54" s="36" customFormat="1" ht="13.8" x14ac:dyDescent="0.3">
      <c r="A272" s="128"/>
      <c r="B272" s="133"/>
      <c r="C272" s="86"/>
      <c r="D272" s="79"/>
      <c r="E272" s="86"/>
      <c r="F272" s="86"/>
      <c r="G272" s="86"/>
      <c r="H272" s="134"/>
      <c r="I272" s="86"/>
      <c r="J272" s="134"/>
      <c r="K272" s="86"/>
      <c r="L272" s="86"/>
      <c r="M272" s="173"/>
      <c r="N272" s="173"/>
      <c r="O272" s="173"/>
      <c r="P272" s="173"/>
      <c r="Q272" s="173"/>
      <c r="R272" s="173"/>
      <c r="S272" s="173"/>
      <c r="T272" s="173"/>
      <c r="U272" s="173"/>
      <c r="V272" s="165"/>
      <c r="W272" s="173"/>
      <c r="X272" s="173"/>
      <c r="Y272" s="173"/>
      <c r="Z272" s="173"/>
      <c r="AA272" s="173"/>
      <c r="AB272" s="173"/>
      <c r="AC272" s="173"/>
      <c r="AD272" s="173"/>
      <c r="AE272" s="173"/>
      <c r="AF272" s="174"/>
      <c r="AG272" s="16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65"/>
      <c r="AR272" s="173"/>
      <c r="AS272" s="173"/>
      <c r="AT272" s="173"/>
      <c r="AU272" s="173"/>
      <c r="AV272" s="173"/>
      <c r="AW272" s="173"/>
      <c r="AX272" s="173"/>
      <c r="AY272" s="173"/>
      <c r="AZ272" s="173"/>
      <c r="BA272" s="165"/>
      <c r="BB272" s="174"/>
    </row>
    <row r="273" spans="1:54" s="36" customFormat="1" ht="13.8" x14ac:dyDescent="0.3">
      <c r="A273" s="128"/>
      <c r="B273" s="133"/>
      <c r="C273" s="86"/>
      <c r="D273" s="79"/>
      <c r="E273" s="86"/>
      <c r="F273" s="86"/>
      <c r="G273" s="86"/>
      <c r="H273" s="134"/>
      <c r="I273" s="86"/>
      <c r="J273" s="134"/>
      <c r="K273" s="86"/>
      <c r="L273" s="86"/>
      <c r="M273" s="173"/>
      <c r="N273" s="173"/>
      <c r="O273" s="173"/>
      <c r="P273" s="173"/>
      <c r="Q273" s="173"/>
      <c r="R273" s="173"/>
      <c r="S273" s="173"/>
      <c r="T273" s="173"/>
      <c r="U273" s="173"/>
      <c r="V273" s="165"/>
      <c r="W273" s="173"/>
      <c r="X273" s="173"/>
      <c r="Y273" s="173"/>
      <c r="Z273" s="173"/>
      <c r="AA273" s="173"/>
      <c r="AB273" s="173"/>
      <c r="AC273" s="173"/>
      <c r="AD273" s="173"/>
      <c r="AE273" s="173"/>
      <c r="AF273" s="174"/>
      <c r="AG273" s="16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65"/>
      <c r="AR273" s="173"/>
      <c r="AS273" s="173"/>
      <c r="AT273" s="173"/>
      <c r="AU273" s="173"/>
      <c r="AV273" s="173"/>
      <c r="AW273" s="173"/>
      <c r="AX273" s="173"/>
      <c r="AY273" s="173"/>
      <c r="AZ273" s="173"/>
      <c r="BA273" s="165"/>
      <c r="BB273" s="174"/>
    </row>
    <row r="274" spans="1:54" s="36" customFormat="1" ht="13.8" x14ac:dyDescent="0.3">
      <c r="A274" s="128"/>
      <c r="B274" s="133"/>
      <c r="C274" s="86"/>
      <c r="D274" s="79"/>
      <c r="E274" s="86"/>
      <c r="F274" s="86"/>
      <c r="G274" s="86"/>
      <c r="H274" s="134"/>
      <c r="I274" s="86"/>
      <c r="J274" s="134"/>
      <c r="K274" s="86"/>
      <c r="L274" s="86"/>
      <c r="M274" s="173"/>
      <c r="N274" s="173"/>
      <c r="O274" s="173"/>
      <c r="P274" s="173"/>
      <c r="Q274" s="173"/>
      <c r="R274" s="173"/>
      <c r="S274" s="173"/>
      <c r="T274" s="173"/>
      <c r="U274" s="173"/>
      <c r="V274" s="165"/>
      <c r="W274" s="173"/>
      <c r="X274" s="173"/>
      <c r="Y274" s="173"/>
      <c r="Z274" s="173"/>
      <c r="AA274" s="173"/>
      <c r="AB274" s="173"/>
      <c r="AC274" s="173"/>
      <c r="AD274" s="173"/>
      <c r="AE274" s="173"/>
      <c r="AF274" s="174"/>
      <c r="AG274" s="16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65"/>
      <c r="AR274" s="173"/>
      <c r="AS274" s="173"/>
      <c r="AT274" s="173"/>
      <c r="AU274" s="173"/>
      <c r="AV274" s="173"/>
      <c r="AW274" s="173"/>
      <c r="AX274" s="173"/>
      <c r="AY274" s="173"/>
      <c r="AZ274" s="173"/>
      <c r="BA274" s="165"/>
      <c r="BB274" s="174"/>
    </row>
    <row r="275" spans="1:54" s="36" customFormat="1" ht="13.8" x14ac:dyDescent="0.3">
      <c r="A275" s="128"/>
      <c r="B275" s="133"/>
      <c r="C275" s="86"/>
      <c r="D275" s="79"/>
      <c r="E275" s="86"/>
      <c r="F275" s="86"/>
      <c r="G275" s="86"/>
      <c r="H275" s="134"/>
      <c r="I275" s="86"/>
      <c r="J275" s="134"/>
      <c r="K275" s="86"/>
      <c r="L275" s="86"/>
      <c r="M275" s="173"/>
      <c r="N275" s="173"/>
      <c r="O275" s="173"/>
      <c r="P275" s="173"/>
      <c r="Q275" s="173"/>
      <c r="R275" s="173"/>
      <c r="S275" s="173"/>
      <c r="T275" s="173"/>
      <c r="U275" s="173"/>
      <c r="V275" s="165"/>
      <c r="W275" s="173"/>
      <c r="X275" s="173"/>
      <c r="Y275" s="173"/>
      <c r="Z275" s="173"/>
      <c r="AA275" s="173"/>
      <c r="AB275" s="173"/>
      <c r="AC275" s="173"/>
      <c r="AD275" s="173"/>
      <c r="AE275" s="173"/>
      <c r="AF275" s="174"/>
      <c r="AG275" s="16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65"/>
      <c r="AR275" s="173"/>
      <c r="AS275" s="173"/>
      <c r="AT275" s="173"/>
      <c r="AU275" s="173"/>
      <c r="AV275" s="173"/>
      <c r="AW275" s="173"/>
      <c r="AX275" s="173"/>
      <c r="AY275" s="173"/>
      <c r="AZ275" s="173"/>
      <c r="BA275" s="165"/>
      <c r="BB275" s="174"/>
    </row>
    <row r="276" spans="1:54" s="36" customFormat="1" ht="13.8" x14ac:dyDescent="0.3">
      <c r="A276" s="128"/>
      <c r="B276" s="133"/>
      <c r="C276" s="86"/>
      <c r="D276" s="79"/>
      <c r="E276" s="86"/>
      <c r="F276" s="86"/>
      <c r="G276" s="86"/>
      <c r="H276" s="134"/>
      <c r="I276" s="86"/>
      <c r="J276" s="134"/>
      <c r="K276" s="86"/>
      <c r="L276" s="86"/>
      <c r="M276" s="173"/>
      <c r="N276" s="173"/>
      <c r="O276" s="173"/>
      <c r="P276" s="173"/>
      <c r="Q276" s="173"/>
      <c r="R276" s="173"/>
      <c r="S276" s="173"/>
      <c r="T276" s="173"/>
      <c r="U276" s="173"/>
      <c r="V276" s="165"/>
      <c r="W276" s="173"/>
      <c r="X276" s="173"/>
      <c r="Y276" s="173"/>
      <c r="Z276" s="173"/>
      <c r="AA276" s="173"/>
      <c r="AB276" s="173"/>
      <c r="AC276" s="173"/>
      <c r="AD276" s="173"/>
      <c r="AE276" s="173"/>
      <c r="AF276" s="174"/>
      <c r="AG276" s="16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65"/>
      <c r="AR276" s="173"/>
      <c r="AS276" s="173"/>
      <c r="AT276" s="173"/>
      <c r="AU276" s="173"/>
      <c r="AV276" s="173"/>
      <c r="AW276" s="173"/>
      <c r="AX276" s="173"/>
      <c r="AY276" s="173"/>
      <c r="AZ276" s="173"/>
      <c r="BA276" s="165"/>
      <c r="BB276" s="174"/>
    </row>
    <row r="277" spans="1:54" s="36" customFormat="1" ht="13.8" x14ac:dyDescent="0.3">
      <c r="A277" s="128"/>
      <c r="B277" s="133"/>
      <c r="C277" s="86"/>
      <c r="D277" s="79"/>
      <c r="E277" s="86"/>
      <c r="F277" s="86"/>
      <c r="G277" s="86"/>
      <c r="H277" s="134"/>
      <c r="I277" s="86"/>
      <c r="J277" s="134"/>
      <c r="K277" s="86"/>
      <c r="L277" s="86"/>
      <c r="M277" s="173"/>
      <c r="N277" s="173"/>
      <c r="O277" s="173"/>
      <c r="P277" s="173"/>
      <c r="Q277" s="173"/>
      <c r="R277" s="173"/>
      <c r="S277" s="173"/>
      <c r="T277" s="173"/>
      <c r="U277" s="173"/>
      <c r="V277" s="165"/>
      <c r="W277" s="173"/>
      <c r="X277" s="173"/>
      <c r="Y277" s="173"/>
      <c r="Z277" s="173"/>
      <c r="AA277" s="173"/>
      <c r="AB277" s="173"/>
      <c r="AC277" s="173"/>
      <c r="AD277" s="173"/>
      <c r="AE277" s="173"/>
      <c r="AF277" s="174"/>
      <c r="AG277" s="16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65"/>
      <c r="AR277" s="173"/>
      <c r="AS277" s="173"/>
      <c r="AT277" s="173"/>
      <c r="AU277" s="173"/>
      <c r="AV277" s="173"/>
      <c r="AW277" s="173"/>
      <c r="AX277" s="173"/>
      <c r="AY277" s="173"/>
      <c r="AZ277" s="173"/>
      <c r="BA277" s="165"/>
      <c r="BB277" s="174"/>
    </row>
    <row r="278" spans="1:54" s="36" customFormat="1" ht="13.8" x14ac:dyDescent="0.3">
      <c r="A278" s="128"/>
      <c r="B278" s="133"/>
      <c r="C278" s="86"/>
      <c r="D278" s="79"/>
      <c r="E278" s="86"/>
      <c r="F278" s="86"/>
      <c r="G278" s="86"/>
      <c r="H278" s="134"/>
      <c r="I278" s="86"/>
      <c r="J278" s="134"/>
      <c r="K278" s="86"/>
      <c r="L278" s="86"/>
      <c r="M278" s="173"/>
      <c r="N278" s="173"/>
      <c r="O278" s="173"/>
      <c r="P278" s="173"/>
      <c r="Q278" s="173"/>
      <c r="R278" s="173"/>
      <c r="S278" s="173"/>
      <c r="T278" s="173"/>
      <c r="U278" s="173"/>
      <c r="V278" s="165"/>
      <c r="W278" s="173"/>
      <c r="X278" s="173"/>
      <c r="Y278" s="173"/>
      <c r="Z278" s="173"/>
      <c r="AA278" s="173"/>
      <c r="AB278" s="173"/>
      <c r="AC278" s="173"/>
      <c r="AD278" s="173"/>
      <c r="AE278" s="173"/>
      <c r="AF278" s="174"/>
      <c r="AG278" s="16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65"/>
      <c r="AR278" s="173"/>
      <c r="AS278" s="173"/>
      <c r="AT278" s="173"/>
      <c r="AU278" s="173"/>
      <c r="AV278" s="173"/>
      <c r="AW278" s="173"/>
      <c r="AX278" s="173"/>
      <c r="AY278" s="173"/>
      <c r="AZ278" s="173"/>
      <c r="BA278" s="165"/>
      <c r="BB278" s="174"/>
    </row>
    <row r="279" spans="1:54" s="36" customFormat="1" ht="13.8" x14ac:dyDescent="0.3">
      <c r="A279" s="128"/>
      <c r="B279" s="133"/>
      <c r="C279" s="86"/>
      <c r="D279" s="79"/>
      <c r="E279" s="86"/>
      <c r="F279" s="86"/>
      <c r="G279" s="86"/>
      <c r="H279" s="134"/>
      <c r="I279" s="86"/>
      <c r="J279" s="134"/>
      <c r="K279" s="86"/>
      <c r="L279" s="86"/>
      <c r="M279" s="173"/>
      <c r="N279" s="173"/>
      <c r="O279" s="173"/>
      <c r="P279" s="173"/>
      <c r="Q279" s="173"/>
      <c r="R279" s="173"/>
      <c r="S279" s="173"/>
      <c r="T279" s="173"/>
      <c r="U279" s="173"/>
      <c r="V279" s="165"/>
      <c r="W279" s="173"/>
      <c r="X279" s="173"/>
      <c r="Y279" s="173"/>
      <c r="Z279" s="173"/>
      <c r="AA279" s="173"/>
      <c r="AB279" s="173"/>
      <c r="AC279" s="173"/>
      <c r="AD279" s="173"/>
      <c r="AE279" s="173"/>
      <c r="AF279" s="174"/>
      <c r="AG279" s="16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65"/>
      <c r="AR279" s="173"/>
      <c r="AS279" s="173"/>
      <c r="AT279" s="173"/>
      <c r="AU279" s="173"/>
      <c r="AV279" s="173"/>
      <c r="AW279" s="173"/>
      <c r="AX279" s="173"/>
      <c r="AY279" s="173"/>
      <c r="AZ279" s="173"/>
      <c r="BA279" s="165"/>
      <c r="BB279" s="174"/>
    </row>
    <row r="280" spans="1:54" s="36" customFormat="1" ht="13.8" x14ac:dyDescent="0.3">
      <c r="A280" s="128"/>
      <c r="B280" s="133"/>
      <c r="C280" s="86"/>
      <c r="D280" s="79"/>
      <c r="E280" s="86"/>
      <c r="F280" s="86"/>
      <c r="G280" s="86"/>
      <c r="H280" s="134"/>
      <c r="I280" s="86"/>
      <c r="J280" s="134"/>
      <c r="K280" s="86"/>
      <c r="L280" s="86"/>
      <c r="M280" s="173"/>
      <c r="N280" s="173"/>
      <c r="O280" s="173"/>
      <c r="P280" s="173"/>
      <c r="Q280" s="173"/>
      <c r="R280" s="173"/>
      <c r="S280" s="173"/>
      <c r="T280" s="173"/>
      <c r="U280" s="173"/>
      <c r="V280" s="165"/>
      <c r="W280" s="173"/>
      <c r="X280" s="173"/>
      <c r="Y280" s="173"/>
      <c r="Z280" s="173"/>
      <c r="AA280" s="173"/>
      <c r="AB280" s="173"/>
      <c r="AC280" s="173"/>
      <c r="AD280" s="173"/>
      <c r="AE280" s="173"/>
      <c r="AF280" s="174"/>
      <c r="AG280" s="16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65"/>
      <c r="AR280" s="173"/>
      <c r="AS280" s="173"/>
      <c r="AT280" s="173"/>
      <c r="AU280" s="173"/>
      <c r="AV280" s="173"/>
      <c r="AW280" s="173"/>
      <c r="AX280" s="173"/>
      <c r="AY280" s="173"/>
      <c r="AZ280" s="173"/>
      <c r="BA280" s="165"/>
      <c r="BB280" s="174"/>
    </row>
    <row r="281" spans="1:54" s="36" customFormat="1" ht="13.8" x14ac:dyDescent="0.3">
      <c r="A281" s="128"/>
      <c r="B281" s="133"/>
      <c r="C281" s="86"/>
      <c r="D281" s="79"/>
      <c r="E281" s="86"/>
      <c r="F281" s="86"/>
      <c r="G281" s="86"/>
      <c r="H281" s="134"/>
      <c r="I281" s="86"/>
      <c r="J281" s="134"/>
      <c r="K281" s="86"/>
      <c r="L281" s="86"/>
      <c r="M281" s="173"/>
      <c r="N281" s="173"/>
      <c r="O281" s="173"/>
      <c r="P281" s="173"/>
      <c r="Q281" s="173"/>
      <c r="R281" s="173"/>
      <c r="S281" s="173"/>
      <c r="T281" s="173"/>
      <c r="U281" s="173"/>
      <c r="V281" s="165"/>
      <c r="W281" s="173"/>
      <c r="X281" s="173"/>
      <c r="Y281" s="173"/>
      <c r="Z281" s="173"/>
      <c r="AA281" s="173"/>
      <c r="AB281" s="173"/>
      <c r="AC281" s="173"/>
      <c r="AD281" s="173"/>
      <c r="AE281" s="173"/>
      <c r="AF281" s="174"/>
      <c r="AG281" s="16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65"/>
      <c r="AR281" s="173"/>
      <c r="AS281" s="173"/>
      <c r="AT281" s="173"/>
      <c r="AU281" s="173"/>
      <c r="AV281" s="173"/>
      <c r="AW281" s="173"/>
      <c r="AX281" s="173"/>
      <c r="AY281" s="173"/>
      <c r="AZ281" s="173"/>
      <c r="BA281" s="165"/>
      <c r="BB281" s="174"/>
    </row>
    <row r="282" spans="1:54" s="36" customFormat="1" ht="13.8" x14ac:dyDescent="0.3">
      <c r="A282" s="128"/>
      <c r="B282" s="133"/>
      <c r="C282" s="86"/>
      <c r="D282" s="79"/>
      <c r="E282" s="86"/>
      <c r="F282" s="86"/>
      <c r="G282" s="86"/>
      <c r="H282" s="134"/>
      <c r="I282" s="86"/>
      <c r="J282" s="134"/>
      <c r="K282" s="86"/>
      <c r="L282" s="86"/>
      <c r="M282" s="173"/>
      <c r="N282" s="173"/>
      <c r="O282" s="173"/>
      <c r="P282" s="173"/>
      <c r="Q282" s="173"/>
      <c r="R282" s="173"/>
      <c r="S282" s="173"/>
      <c r="T282" s="173"/>
      <c r="U282" s="173"/>
      <c r="V282" s="165"/>
      <c r="W282" s="173"/>
      <c r="X282" s="173"/>
      <c r="Y282" s="173"/>
      <c r="Z282" s="173"/>
      <c r="AA282" s="173"/>
      <c r="AB282" s="173"/>
      <c r="AC282" s="173"/>
      <c r="AD282" s="173"/>
      <c r="AE282" s="173"/>
      <c r="AF282" s="174"/>
      <c r="AG282" s="16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65"/>
      <c r="AR282" s="173"/>
      <c r="AS282" s="173"/>
      <c r="AT282" s="173"/>
      <c r="AU282" s="173"/>
      <c r="AV282" s="173"/>
      <c r="AW282" s="173"/>
      <c r="AX282" s="173"/>
      <c r="AY282" s="173"/>
      <c r="AZ282" s="173"/>
      <c r="BA282" s="165"/>
      <c r="BB282" s="174"/>
    </row>
    <row r="283" spans="1:54" s="36" customFormat="1" ht="13.8" x14ac:dyDescent="0.3">
      <c r="A283" s="128"/>
      <c r="B283" s="133"/>
      <c r="C283" s="86"/>
      <c r="D283" s="79"/>
      <c r="E283" s="86"/>
      <c r="F283" s="86"/>
      <c r="G283" s="86"/>
      <c r="H283" s="134"/>
      <c r="I283" s="86"/>
      <c r="J283" s="134"/>
      <c r="K283" s="86"/>
      <c r="L283" s="86"/>
      <c r="M283" s="173"/>
      <c r="N283" s="173"/>
      <c r="O283" s="173"/>
      <c r="P283" s="173"/>
      <c r="Q283" s="173"/>
      <c r="R283" s="173"/>
      <c r="S283" s="173"/>
      <c r="T283" s="173"/>
      <c r="U283" s="173"/>
      <c r="V283" s="165"/>
      <c r="W283" s="173"/>
      <c r="X283" s="173"/>
      <c r="Y283" s="173"/>
      <c r="Z283" s="173"/>
      <c r="AA283" s="173"/>
      <c r="AB283" s="173"/>
      <c r="AC283" s="173"/>
      <c r="AD283" s="173"/>
      <c r="AE283" s="173"/>
      <c r="AF283" s="174"/>
      <c r="AG283" s="16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65"/>
      <c r="AR283" s="173"/>
      <c r="AS283" s="173"/>
      <c r="AT283" s="173"/>
      <c r="AU283" s="173"/>
      <c r="AV283" s="173"/>
      <c r="AW283" s="173"/>
      <c r="AX283" s="173"/>
      <c r="AY283" s="173"/>
      <c r="AZ283" s="173"/>
      <c r="BA283" s="165"/>
      <c r="BB283" s="174"/>
    </row>
    <row r="284" spans="1:54" s="36" customFormat="1" ht="13.8" x14ac:dyDescent="0.3">
      <c r="A284" s="128"/>
      <c r="B284" s="133"/>
      <c r="C284" s="86"/>
      <c r="D284" s="79"/>
      <c r="E284" s="86"/>
      <c r="F284" s="86"/>
      <c r="G284" s="86"/>
      <c r="H284" s="134"/>
      <c r="I284" s="86"/>
      <c r="J284" s="134"/>
      <c r="K284" s="86"/>
      <c r="L284" s="86"/>
      <c r="M284" s="173"/>
      <c r="N284" s="173"/>
      <c r="O284" s="173"/>
      <c r="P284" s="173"/>
      <c r="Q284" s="173"/>
      <c r="R284" s="173"/>
      <c r="S284" s="173"/>
      <c r="T284" s="173"/>
      <c r="U284" s="173"/>
      <c r="V284" s="165"/>
      <c r="W284" s="173"/>
      <c r="X284" s="173"/>
      <c r="Y284" s="173"/>
      <c r="Z284" s="173"/>
      <c r="AA284" s="173"/>
      <c r="AB284" s="173"/>
      <c r="AC284" s="173"/>
      <c r="AD284" s="173"/>
      <c r="AE284" s="173"/>
      <c r="AF284" s="174"/>
      <c r="AG284" s="16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65"/>
      <c r="AR284" s="173"/>
      <c r="AS284" s="173"/>
      <c r="AT284" s="173"/>
      <c r="AU284" s="173"/>
      <c r="AV284" s="173"/>
      <c r="AW284" s="173"/>
      <c r="AX284" s="173"/>
      <c r="AY284" s="173"/>
      <c r="AZ284" s="173"/>
      <c r="BA284" s="165"/>
      <c r="BB284" s="174"/>
    </row>
    <row r="285" spans="1:54" s="36" customFormat="1" ht="13.8" x14ac:dyDescent="0.3">
      <c r="A285" s="128"/>
      <c r="B285" s="133"/>
      <c r="C285" s="86"/>
      <c r="D285" s="79"/>
      <c r="E285" s="86"/>
      <c r="F285" s="86"/>
      <c r="G285" s="86"/>
      <c r="H285" s="134"/>
      <c r="I285" s="86"/>
      <c r="J285" s="134"/>
      <c r="K285" s="86"/>
      <c r="L285" s="86"/>
      <c r="M285" s="173"/>
      <c r="N285" s="173"/>
      <c r="O285" s="173"/>
      <c r="P285" s="173"/>
      <c r="Q285" s="173"/>
      <c r="R285" s="173"/>
      <c r="S285" s="173"/>
      <c r="T285" s="173"/>
      <c r="U285" s="173"/>
      <c r="V285" s="165"/>
      <c r="W285" s="173"/>
      <c r="X285" s="173"/>
      <c r="Y285" s="173"/>
      <c r="Z285" s="173"/>
      <c r="AA285" s="173"/>
      <c r="AB285" s="173"/>
      <c r="AC285" s="173"/>
      <c r="AD285" s="173"/>
      <c r="AE285" s="173"/>
      <c r="AF285" s="174"/>
      <c r="AG285" s="16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65"/>
      <c r="AR285" s="173"/>
      <c r="AS285" s="173"/>
      <c r="AT285" s="173"/>
      <c r="AU285" s="173"/>
      <c r="AV285" s="173"/>
      <c r="AW285" s="173"/>
      <c r="AX285" s="173"/>
      <c r="AY285" s="173"/>
      <c r="AZ285" s="173"/>
      <c r="BA285" s="165"/>
      <c r="BB285" s="174"/>
    </row>
    <row r="286" spans="1:54" s="36" customFormat="1" ht="13.8" x14ac:dyDescent="0.3">
      <c r="A286" s="128"/>
      <c r="B286" s="133"/>
      <c r="C286" s="86"/>
      <c r="D286" s="79"/>
      <c r="E286" s="86"/>
      <c r="F286" s="86"/>
      <c r="G286" s="86"/>
      <c r="H286" s="134"/>
      <c r="I286" s="86"/>
      <c r="J286" s="134"/>
      <c r="K286" s="86"/>
      <c r="L286" s="86"/>
      <c r="M286" s="173"/>
      <c r="N286" s="173"/>
      <c r="O286" s="173"/>
      <c r="P286" s="173"/>
      <c r="Q286" s="173"/>
      <c r="R286" s="173"/>
      <c r="S286" s="173"/>
      <c r="T286" s="173"/>
      <c r="U286" s="173"/>
      <c r="V286" s="165"/>
      <c r="W286" s="173"/>
      <c r="X286" s="173"/>
      <c r="Y286" s="173"/>
      <c r="Z286" s="173"/>
      <c r="AA286" s="173"/>
      <c r="AB286" s="173"/>
      <c r="AC286" s="173"/>
      <c r="AD286" s="173"/>
      <c r="AE286" s="173"/>
      <c r="AF286" s="174"/>
      <c r="AG286" s="16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65"/>
      <c r="AR286" s="173"/>
      <c r="AS286" s="173"/>
      <c r="AT286" s="173"/>
      <c r="AU286" s="173"/>
      <c r="AV286" s="173"/>
      <c r="AW286" s="173"/>
      <c r="AX286" s="173"/>
      <c r="AY286" s="173"/>
      <c r="AZ286" s="173"/>
      <c r="BA286" s="165"/>
      <c r="BB286" s="174"/>
    </row>
    <row r="287" spans="1:54" s="36" customFormat="1" ht="13.8" x14ac:dyDescent="0.3">
      <c r="A287" s="128"/>
      <c r="B287" s="133"/>
      <c r="C287" s="86"/>
      <c r="D287" s="79"/>
      <c r="E287" s="86"/>
      <c r="F287" s="86"/>
      <c r="G287" s="86"/>
      <c r="H287" s="134"/>
      <c r="I287" s="86"/>
      <c r="J287" s="134"/>
      <c r="K287" s="86"/>
      <c r="L287" s="86"/>
      <c r="M287" s="173"/>
      <c r="N287" s="173"/>
      <c r="O287" s="173"/>
      <c r="P287" s="173"/>
      <c r="Q287" s="173"/>
      <c r="R287" s="173"/>
      <c r="S287" s="173"/>
      <c r="T287" s="173"/>
      <c r="U287" s="173"/>
      <c r="V287" s="165"/>
      <c r="W287" s="173"/>
      <c r="X287" s="173"/>
      <c r="Y287" s="173"/>
      <c r="Z287" s="173"/>
      <c r="AA287" s="173"/>
      <c r="AB287" s="173"/>
      <c r="AC287" s="173"/>
      <c r="AD287" s="173"/>
      <c r="AE287" s="173"/>
      <c r="AF287" s="174"/>
      <c r="AG287" s="16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65"/>
      <c r="AR287" s="173"/>
      <c r="AS287" s="173"/>
      <c r="AT287" s="173"/>
      <c r="AU287" s="173"/>
      <c r="AV287" s="173"/>
      <c r="AW287" s="173"/>
      <c r="AX287" s="173"/>
      <c r="AY287" s="173"/>
      <c r="AZ287" s="173"/>
      <c r="BA287" s="165"/>
      <c r="BB287" s="174"/>
    </row>
    <row r="288" spans="1:54" s="36" customFormat="1" ht="13.8" x14ac:dyDescent="0.3">
      <c r="A288" s="128"/>
      <c r="B288" s="133"/>
      <c r="C288" s="86"/>
      <c r="D288" s="79"/>
      <c r="E288" s="86"/>
      <c r="F288" s="86"/>
      <c r="G288" s="86"/>
      <c r="H288" s="134"/>
      <c r="I288" s="86"/>
      <c r="J288" s="134"/>
      <c r="K288" s="86"/>
      <c r="L288" s="86"/>
      <c r="M288" s="173"/>
      <c r="N288" s="173"/>
      <c r="O288" s="173"/>
      <c r="P288" s="173"/>
      <c r="Q288" s="173"/>
      <c r="R288" s="173"/>
      <c r="S288" s="173"/>
      <c r="T288" s="173"/>
      <c r="U288" s="173"/>
      <c r="V288" s="165"/>
      <c r="W288" s="173"/>
      <c r="X288" s="173"/>
      <c r="Y288" s="173"/>
      <c r="Z288" s="173"/>
      <c r="AA288" s="173"/>
      <c r="AB288" s="173"/>
      <c r="AC288" s="173"/>
      <c r="AD288" s="173"/>
      <c r="AE288" s="173"/>
      <c r="AF288" s="174"/>
      <c r="AG288" s="16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65"/>
      <c r="AR288" s="173"/>
      <c r="AS288" s="173"/>
      <c r="AT288" s="173"/>
      <c r="AU288" s="173"/>
      <c r="AV288" s="173"/>
      <c r="AW288" s="173"/>
      <c r="AX288" s="173"/>
      <c r="AY288" s="173"/>
      <c r="AZ288" s="173"/>
      <c r="BA288" s="165"/>
      <c r="BB288" s="174"/>
    </row>
    <row r="289" spans="1:54" s="36" customFormat="1" ht="13.8" x14ac:dyDescent="0.3">
      <c r="A289" s="128"/>
      <c r="B289" s="133"/>
      <c r="C289" s="86"/>
      <c r="D289" s="79"/>
      <c r="E289" s="86"/>
      <c r="F289" s="86"/>
      <c r="G289" s="86"/>
      <c r="H289" s="134"/>
      <c r="I289" s="86"/>
      <c r="J289" s="134"/>
      <c r="K289" s="86"/>
      <c r="L289" s="86"/>
      <c r="M289" s="173"/>
      <c r="N289" s="173"/>
      <c r="O289" s="173"/>
      <c r="P289" s="173"/>
      <c r="Q289" s="173"/>
      <c r="R289" s="173"/>
      <c r="S289" s="173"/>
      <c r="T289" s="173"/>
      <c r="U289" s="173"/>
      <c r="V289" s="165"/>
      <c r="W289" s="173"/>
      <c r="X289" s="173"/>
      <c r="Y289" s="173"/>
      <c r="Z289" s="173"/>
      <c r="AA289" s="173"/>
      <c r="AB289" s="173"/>
      <c r="AC289" s="173"/>
      <c r="AD289" s="173"/>
      <c r="AE289" s="173"/>
      <c r="AF289" s="174"/>
      <c r="AG289" s="16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65"/>
      <c r="AR289" s="173"/>
      <c r="AS289" s="173"/>
      <c r="AT289" s="173"/>
      <c r="AU289" s="173"/>
      <c r="AV289" s="173"/>
      <c r="AW289" s="173"/>
      <c r="AX289" s="173"/>
      <c r="AY289" s="173"/>
      <c r="AZ289" s="173"/>
      <c r="BA289" s="165"/>
      <c r="BB289" s="174"/>
    </row>
    <row r="290" spans="1:54" s="36" customFormat="1" ht="13.8" x14ac:dyDescent="0.3">
      <c r="A290" s="128"/>
      <c r="B290" s="133"/>
      <c r="C290" s="86"/>
      <c r="D290" s="79"/>
      <c r="E290" s="86"/>
      <c r="F290" s="86"/>
      <c r="G290" s="86"/>
      <c r="H290" s="134"/>
      <c r="I290" s="86"/>
      <c r="J290" s="134"/>
      <c r="K290" s="86"/>
      <c r="L290" s="86"/>
      <c r="M290" s="173"/>
      <c r="N290" s="173"/>
      <c r="O290" s="173"/>
      <c r="P290" s="173"/>
      <c r="Q290" s="173"/>
      <c r="R290" s="173"/>
      <c r="S290" s="173"/>
      <c r="T290" s="173"/>
      <c r="U290" s="173"/>
      <c r="V290" s="165"/>
      <c r="W290" s="173"/>
      <c r="X290" s="173"/>
      <c r="Y290" s="173"/>
      <c r="Z290" s="173"/>
      <c r="AA290" s="173"/>
      <c r="AB290" s="173"/>
      <c r="AC290" s="173"/>
      <c r="AD290" s="173"/>
      <c r="AE290" s="173"/>
      <c r="AF290" s="174"/>
      <c r="AG290" s="16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65"/>
      <c r="AR290" s="173"/>
      <c r="AS290" s="173"/>
      <c r="AT290" s="173"/>
      <c r="AU290" s="173"/>
      <c r="AV290" s="173"/>
      <c r="AW290" s="173"/>
      <c r="AX290" s="173"/>
      <c r="AY290" s="173"/>
      <c r="AZ290" s="173"/>
      <c r="BA290" s="165"/>
      <c r="BB290" s="174"/>
    </row>
    <row r="291" spans="1:54" s="36" customFormat="1" ht="13.8" x14ac:dyDescent="0.3">
      <c r="A291" s="128"/>
      <c r="B291" s="133"/>
      <c r="C291" s="86"/>
      <c r="D291" s="79"/>
      <c r="E291" s="86"/>
      <c r="F291" s="86"/>
      <c r="G291" s="86"/>
      <c r="H291" s="134"/>
      <c r="I291" s="86"/>
      <c r="J291" s="134"/>
      <c r="K291" s="86"/>
      <c r="L291" s="86"/>
      <c r="M291" s="173"/>
      <c r="N291" s="173"/>
      <c r="O291" s="173"/>
      <c r="P291" s="173"/>
      <c r="Q291" s="173"/>
      <c r="R291" s="173"/>
      <c r="S291" s="173"/>
      <c r="T291" s="173"/>
      <c r="U291" s="173"/>
      <c r="V291" s="165"/>
      <c r="W291" s="173"/>
      <c r="X291" s="173"/>
      <c r="Y291" s="173"/>
      <c r="Z291" s="173"/>
      <c r="AA291" s="173"/>
      <c r="AB291" s="173"/>
      <c r="AC291" s="173"/>
      <c r="AD291" s="173"/>
      <c r="AE291" s="173"/>
      <c r="AF291" s="174"/>
      <c r="AG291" s="16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65"/>
      <c r="AR291" s="173"/>
      <c r="AS291" s="173"/>
      <c r="AT291" s="173"/>
      <c r="AU291" s="173"/>
      <c r="AV291" s="173"/>
      <c r="AW291" s="173"/>
      <c r="AX291" s="173"/>
      <c r="AY291" s="173"/>
      <c r="AZ291" s="173"/>
      <c r="BA291" s="165"/>
      <c r="BB291" s="174"/>
    </row>
    <row r="292" spans="1:54" s="36" customFormat="1" ht="13.8" x14ac:dyDescent="0.3">
      <c r="A292" s="128"/>
      <c r="B292" s="133"/>
      <c r="C292" s="86"/>
      <c r="D292" s="79"/>
      <c r="E292" s="86"/>
      <c r="F292" s="86"/>
      <c r="G292" s="86"/>
      <c r="H292" s="134"/>
      <c r="I292" s="86"/>
      <c r="J292" s="134"/>
      <c r="K292" s="86"/>
      <c r="L292" s="86"/>
      <c r="M292" s="173"/>
      <c r="N292" s="173"/>
      <c r="O292" s="173"/>
      <c r="P292" s="173"/>
      <c r="Q292" s="173"/>
      <c r="R292" s="173"/>
      <c r="S292" s="173"/>
      <c r="T292" s="173"/>
      <c r="U292" s="173"/>
      <c r="V292" s="165"/>
      <c r="W292" s="173"/>
      <c r="X292" s="173"/>
      <c r="Y292" s="173"/>
      <c r="Z292" s="173"/>
      <c r="AA292" s="173"/>
      <c r="AB292" s="173"/>
      <c r="AC292" s="173"/>
      <c r="AD292" s="173"/>
      <c r="AE292" s="173"/>
      <c r="AF292" s="174"/>
      <c r="AG292" s="16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65"/>
      <c r="AR292" s="173"/>
      <c r="AS292" s="173"/>
      <c r="AT292" s="173"/>
      <c r="AU292" s="173"/>
      <c r="AV292" s="173"/>
      <c r="AW292" s="173"/>
      <c r="AX292" s="173"/>
      <c r="AY292" s="173"/>
      <c r="AZ292" s="173"/>
      <c r="BA292" s="165"/>
      <c r="BB292" s="174"/>
    </row>
    <row r="293" spans="1:54" s="36" customFormat="1" ht="13.8" x14ac:dyDescent="0.3">
      <c r="A293" s="128"/>
      <c r="B293" s="133"/>
      <c r="C293" s="86"/>
      <c r="D293" s="79"/>
      <c r="E293" s="86"/>
      <c r="F293" s="86"/>
      <c r="G293" s="86"/>
      <c r="H293" s="134"/>
      <c r="I293" s="86"/>
      <c r="J293" s="134"/>
      <c r="K293" s="86"/>
      <c r="L293" s="86"/>
      <c r="M293" s="173"/>
      <c r="N293" s="173"/>
      <c r="O293" s="173"/>
      <c r="P293" s="173"/>
      <c r="Q293" s="173"/>
      <c r="R293" s="173"/>
      <c r="S293" s="173"/>
      <c r="T293" s="173"/>
      <c r="U293" s="173"/>
      <c r="V293" s="165"/>
      <c r="W293" s="173"/>
      <c r="X293" s="173"/>
      <c r="Y293" s="173"/>
      <c r="Z293" s="173"/>
      <c r="AA293" s="173"/>
      <c r="AB293" s="173"/>
      <c r="AC293" s="173"/>
      <c r="AD293" s="173"/>
      <c r="AE293" s="173"/>
      <c r="AF293" s="174"/>
      <c r="AG293" s="16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65"/>
      <c r="AR293" s="173"/>
      <c r="AS293" s="173"/>
      <c r="AT293" s="173"/>
      <c r="AU293" s="173"/>
      <c r="AV293" s="173"/>
      <c r="AW293" s="173"/>
      <c r="AX293" s="173"/>
      <c r="AY293" s="173"/>
      <c r="AZ293" s="173"/>
      <c r="BA293" s="165"/>
      <c r="BB293" s="174"/>
    </row>
    <row r="294" spans="1:54" s="36" customFormat="1" ht="13.8" x14ac:dyDescent="0.3">
      <c r="A294" s="128"/>
      <c r="B294" s="133"/>
      <c r="C294" s="86"/>
      <c r="D294" s="79"/>
      <c r="E294" s="86"/>
      <c r="F294" s="86"/>
      <c r="G294" s="86"/>
      <c r="H294" s="134"/>
      <c r="I294" s="86"/>
      <c r="J294" s="134"/>
      <c r="K294" s="86"/>
      <c r="L294" s="86"/>
      <c r="M294" s="173"/>
      <c r="N294" s="173"/>
      <c r="O294" s="173"/>
      <c r="P294" s="173"/>
      <c r="Q294" s="173"/>
      <c r="R294" s="173"/>
      <c r="S294" s="173"/>
      <c r="T294" s="173"/>
      <c r="U294" s="173"/>
      <c r="V294" s="165"/>
      <c r="W294" s="173"/>
      <c r="X294" s="173"/>
      <c r="Y294" s="173"/>
      <c r="Z294" s="173"/>
      <c r="AA294" s="173"/>
      <c r="AB294" s="173"/>
      <c r="AC294" s="173"/>
      <c r="AD294" s="173"/>
      <c r="AE294" s="173"/>
      <c r="AF294" s="174"/>
      <c r="AG294" s="16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65"/>
      <c r="AR294" s="173"/>
      <c r="AS294" s="173"/>
      <c r="AT294" s="173"/>
      <c r="AU294" s="173"/>
      <c r="AV294" s="173"/>
      <c r="AW294" s="173"/>
      <c r="AX294" s="173"/>
      <c r="AY294" s="173"/>
      <c r="AZ294" s="173"/>
      <c r="BA294" s="165"/>
      <c r="BB294" s="174"/>
    </row>
    <row r="295" spans="1:54" s="36" customFormat="1" ht="13.8" x14ac:dyDescent="0.3">
      <c r="A295" s="128"/>
      <c r="B295" s="133"/>
      <c r="C295" s="86"/>
      <c r="D295" s="79"/>
      <c r="E295" s="86"/>
      <c r="F295" s="86"/>
      <c r="G295" s="86"/>
      <c r="H295" s="134"/>
      <c r="I295" s="86"/>
      <c r="J295" s="134"/>
      <c r="K295" s="86"/>
      <c r="L295" s="86"/>
      <c r="M295" s="173"/>
      <c r="N295" s="173"/>
      <c r="O295" s="173"/>
      <c r="P295" s="173"/>
      <c r="Q295" s="173"/>
      <c r="R295" s="173"/>
      <c r="S295" s="173"/>
      <c r="T295" s="173"/>
      <c r="U295" s="173"/>
      <c r="V295" s="165"/>
      <c r="W295" s="173"/>
      <c r="X295" s="173"/>
      <c r="Y295" s="173"/>
      <c r="Z295" s="173"/>
      <c r="AA295" s="173"/>
      <c r="AB295" s="173"/>
      <c r="AC295" s="173"/>
      <c r="AD295" s="173"/>
      <c r="AE295" s="173"/>
      <c r="AF295" s="174"/>
      <c r="AG295" s="16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65"/>
      <c r="AR295" s="173"/>
      <c r="AS295" s="173"/>
      <c r="AT295" s="173"/>
      <c r="AU295" s="173"/>
      <c r="AV295" s="173"/>
      <c r="AW295" s="173"/>
      <c r="AX295" s="173"/>
      <c r="AY295" s="173"/>
      <c r="AZ295" s="173"/>
      <c r="BA295" s="165"/>
      <c r="BB295" s="174"/>
    </row>
    <row r="296" spans="1:54" s="36" customFormat="1" ht="13.8" x14ac:dyDescent="0.3">
      <c r="A296" s="128"/>
      <c r="B296" s="133"/>
      <c r="C296" s="86"/>
      <c r="D296" s="79"/>
      <c r="E296" s="86"/>
      <c r="F296" s="86"/>
      <c r="G296" s="86"/>
      <c r="H296" s="134"/>
      <c r="I296" s="86"/>
      <c r="J296" s="134"/>
      <c r="K296" s="86"/>
      <c r="L296" s="86"/>
      <c r="M296" s="173"/>
      <c r="N296" s="173"/>
      <c r="O296" s="173"/>
      <c r="P296" s="173"/>
      <c r="Q296" s="173"/>
      <c r="R296" s="173"/>
      <c r="S296" s="173"/>
      <c r="T296" s="173"/>
      <c r="U296" s="173"/>
      <c r="V296" s="165"/>
      <c r="W296" s="173"/>
      <c r="X296" s="173"/>
      <c r="Y296" s="173"/>
      <c r="Z296" s="173"/>
      <c r="AA296" s="173"/>
      <c r="AB296" s="173"/>
      <c r="AC296" s="173"/>
      <c r="AD296" s="173"/>
      <c r="AE296" s="173"/>
      <c r="AF296" s="174"/>
      <c r="AG296" s="16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65"/>
      <c r="AR296" s="173"/>
      <c r="AS296" s="173"/>
      <c r="AT296" s="173"/>
      <c r="AU296" s="173"/>
      <c r="AV296" s="173"/>
      <c r="AW296" s="173"/>
      <c r="AX296" s="173"/>
      <c r="AY296" s="173"/>
      <c r="AZ296" s="173"/>
      <c r="BA296" s="165"/>
      <c r="BB296" s="174"/>
    </row>
    <row r="297" spans="1:54" s="36" customFormat="1" ht="13.8" x14ac:dyDescent="0.3">
      <c r="A297" s="128"/>
      <c r="B297" s="133"/>
      <c r="C297" s="86"/>
      <c r="D297" s="79"/>
      <c r="E297" s="86"/>
      <c r="F297" s="86"/>
      <c r="G297" s="86"/>
      <c r="H297" s="134"/>
      <c r="I297" s="86"/>
      <c r="J297" s="134"/>
      <c r="K297" s="86"/>
      <c r="L297" s="86"/>
      <c r="M297" s="173"/>
      <c r="N297" s="173"/>
      <c r="O297" s="173"/>
      <c r="P297" s="173"/>
      <c r="Q297" s="173"/>
      <c r="R297" s="173"/>
      <c r="S297" s="173"/>
      <c r="T297" s="173"/>
      <c r="U297" s="173"/>
      <c r="V297" s="165"/>
      <c r="W297" s="173"/>
      <c r="X297" s="173"/>
      <c r="Y297" s="173"/>
      <c r="Z297" s="173"/>
      <c r="AA297" s="173"/>
      <c r="AB297" s="173"/>
      <c r="AC297" s="173"/>
      <c r="AD297" s="173"/>
      <c r="AE297" s="173"/>
      <c r="AF297" s="174"/>
      <c r="AG297" s="16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65"/>
      <c r="AR297" s="173"/>
      <c r="AS297" s="173"/>
      <c r="AT297" s="173"/>
      <c r="AU297" s="173"/>
      <c r="AV297" s="173"/>
      <c r="AW297" s="173"/>
      <c r="AX297" s="173"/>
      <c r="AY297" s="173"/>
      <c r="AZ297" s="173"/>
      <c r="BA297" s="165"/>
      <c r="BB297" s="174"/>
    </row>
    <row r="298" spans="1:54" s="36" customFormat="1" ht="13.8" x14ac:dyDescent="0.3">
      <c r="A298" s="128"/>
      <c r="B298" s="133"/>
      <c r="C298" s="86"/>
      <c r="D298" s="79"/>
      <c r="E298" s="86"/>
      <c r="F298" s="86"/>
      <c r="G298" s="86"/>
      <c r="H298" s="134"/>
      <c r="I298" s="86"/>
      <c r="J298" s="134"/>
      <c r="K298" s="86"/>
      <c r="L298" s="86"/>
      <c r="M298" s="173"/>
      <c r="N298" s="173"/>
      <c r="O298" s="173"/>
      <c r="P298" s="173"/>
      <c r="Q298" s="173"/>
      <c r="R298" s="173"/>
      <c r="S298" s="173"/>
      <c r="T298" s="173"/>
      <c r="U298" s="173"/>
      <c r="V298" s="165"/>
      <c r="W298" s="173"/>
      <c r="X298" s="173"/>
      <c r="Y298" s="173"/>
      <c r="Z298" s="173"/>
      <c r="AA298" s="173"/>
      <c r="AB298" s="173"/>
      <c r="AC298" s="173"/>
      <c r="AD298" s="173"/>
      <c r="AE298" s="173"/>
      <c r="AF298" s="174"/>
      <c r="AG298" s="16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65"/>
      <c r="AR298" s="173"/>
      <c r="AS298" s="173"/>
      <c r="AT298" s="173"/>
      <c r="AU298" s="173"/>
      <c r="AV298" s="173"/>
      <c r="AW298" s="173"/>
      <c r="AX298" s="173"/>
      <c r="AY298" s="173"/>
      <c r="AZ298" s="173"/>
      <c r="BA298" s="165"/>
      <c r="BB298" s="174"/>
    </row>
    <row r="299" spans="1:54" s="36" customFormat="1" ht="13.8" x14ac:dyDescent="0.3">
      <c r="A299" s="128"/>
      <c r="B299" s="133"/>
      <c r="C299" s="86"/>
      <c r="D299" s="79"/>
      <c r="E299" s="86"/>
      <c r="F299" s="86"/>
      <c r="G299" s="86"/>
      <c r="H299" s="134"/>
      <c r="I299" s="86"/>
      <c r="J299" s="134"/>
      <c r="K299" s="86"/>
      <c r="L299" s="86"/>
      <c r="M299" s="173"/>
      <c r="N299" s="173"/>
      <c r="O299" s="173"/>
      <c r="P299" s="173"/>
      <c r="Q299" s="173"/>
      <c r="R299" s="173"/>
      <c r="S299" s="173"/>
      <c r="T299" s="173"/>
      <c r="U299" s="173"/>
      <c r="V299" s="165"/>
      <c r="W299" s="173"/>
      <c r="X299" s="173"/>
      <c r="Y299" s="173"/>
      <c r="Z299" s="173"/>
      <c r="AA299" s="173"/>
      <c r="AB299" s="173"/>
      <c r="AC299" s="173"/>
      <c r="AD299" s="173"/>
      <c r="AE299" s="173"/>
      <c r="AF299" s="174"/>
      <c r="AG299" s="16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65"/>
      <c r="AR299" s="173"/>
      <c r="AS299" s="173"/>
      <c r="AT299" s="173"/>
      <c r="AU299" s="173"/>
      <c r="AV299" s="173"/>
      <c r="AW299" s="173"/>
      <c r="AX299" s="173"/>
      <c r="AY299" s="173"/>
      <c r="AZ299" s="173"/>
      <c r="BA299" s="165"/>
      <c r="BB299" s="174"/>
    </row>
    <row r="300" spans="1:54" s="36" customFormat="1" ht="13.8" x14ac:dyDescent="0.3">
      <c r="A300" s="128"/>
      <c r="B300" s="133"/>
      <c r="C300" s="86"/>
      <c r="D300" s="79"/>
      <c r="E300" s="86"/>
      <c r="F300" s="86"/>
      <c r="G300" s="86"/>
      <c r="H300" s="134"/>
      <c r="I300" s="86"/>
      <c r="J300" s="134"/>
      <c r="K300" s="86"/>
      <c r="L300" s="86"/>
      <c r="M300" s="173"/>
      <c r="N300" s="173"/>
      <c r="O300" s="173"/>
      <c r="P300" s="173"/>
      <c r="Q300" s="173"/>
      <c r="R300" s="173"/>
      <c r="S300" s="173"/>
      <c r="T300" s="173"/>
      <c r="U300" s="173"/>
      <c r="V300" s="165"/>
      <c r="W300" s="173"/>
      <c r="X300" s="173"/>
      <c r="Y300" s="173"/>
      <c r="Z300" s="173"/>
      <c r="AA300" s="173"/>
      <c r="AB300" s="173"/>
      <c r="AC300" s="173"/>
      <c r="AD300" s="173"/>
      <c r="AE300" s="173"/>
      <c r="AF300" s="174"/>
      <c r="AG300" s="16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65"/>
      <c r="AR300" s="173"/>
      <c r="AS300" s="173"/>
      <c r="AT300" s="173"/>
      <c r="AU300" s="173"/>
      <c r="AV300" s="173"/>
      <c r="AW300" s="173"/>
      <c r="AX300" s="173"/>
      <c r="AY300" s="173"/>
      <c r="AZ300" s="173"/>
      <c r="BA300" s="165"/>
      <c r="BB300" s="174"/>
    </row>
    <row r="301" spans="1:54" s="36" customFormat="1" ht="13.8" x14ac:dyDescent="0.3">
      <c r="A301" s="128"/>
      <c r="B301" s="133"/>
      <c r="C301" s="86"/>
      <c r="D301" s="79"/>
      <c r="E301" s="86"/>
      <c r="F301" s="86"/>
      <c r="G301" s="86"/>
      <c r="H301" s="134"/>
      <c r="I301" s="86"/>
      <c r="J301" s="134"/>
      <c r="K301" s="86"/>
      <c r="L301" s="86"/>
      <c r="M301" s="173"/>
      <c r="N301" s="173"/>
      <c r="O301" s="173"/>
      <c r="P301" s="173"/>
      <c r="Q301" s="173"/>
      <c r="R301" s="173"/>
      <c r="S301" s="173"/>
      <c r="T301" s="173"/>
      <c r="U301" s="173"/>
      <c r="V301" s="165"/>
      <c r="W301" s="173"/>
      <c r="X301" s="173"/>
      <c r="Y301" s="173"/>
      <c r="Z301" s="173"/>
      <c r="AA301" s="173"/>
      <c r="AB301" s="173"/>
      <c r="AC301" s="173"/>
      <c r="AD301" s="173"/>
      <c r="AE301" s="173"/>
      <c r="AF301" s="174"/>
      <c r="AG301" s="16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65"/>
      <c r="AR301" s="173"/>
      <c r="AS301" s="173"/>
      <c r="AT301" s="173"/>
      <c r="AU301" s="173"/>
      <c r="AV301" s="173"/>
      <c r="AW301" s="173"/>
      <c r="AX301" s="173"/>
      <c r="AY301" s="173"/>
      <c r="AZ301" s="173"/>
      <c r="BA301" s="165"/>
      <c r="BB301" s="174"/>
    </row>
    <row r="302" spans="1:54" s="36" customFormat="1" ht="13.8" x14ac:dyDescent="0.3">
      <c r="A302" s="128"/>
      <c r="B302" s="133"/>
      <c r="C302" s="86"/>
      <c r="D302" s="79"/>
      <c r="E302" s="86"/>
      <c r="F302" s="86"/>
      <c r="G302" s="86"/>
      <c r="H302" s="134"/>
      <c r="I302" s="86"/>
      <c r="J302" s="134"/>
      <c r="K302" s="86"/>
      <c r="L302" s="86"/>
      <c r="M302" s="173"/>
      <c r="N302" s="173"/>
      <c r="O302" s="173"/>
      <c r="P302" s="173"/>
      <c r="Q302" s="173"/>
      <c r="R302" s="173"/>
      <c r="S302" s="173"/>
      <c r="T302" s="173"/>
      <c r="U302" s="173"/>
      <c r="V302" s="165"/>
      <c r="W302" s="173"/>
      <c r="X302" s="173"/>
      <c r="Y302" s="173"/>
      <c r="Z302" s="173"/>
      <c r="AA302" s="173"/>
      <c r="AB302" s="173"/>
      <c r="AC302" s="173"/>
      <c r="AD302" s="173"/>
      <c r="AE302" s="173"/>
      <c r="AF302" s="174"/>
      <c r="AG302" s="16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65"/>
      <c r="AR302" s="173"/>
      <c r="AS302" s="173"/>
      <c r="AT302" s="173"/>
      <c r="AU302" s="173"/>
      <c r="AV302" s="173"/>
      <c r="AW302" s="173"/>
      <c r="AX302" s="173"/>
      <c r="AY302" s="173"/>
      <c r="AZ302" s="173"/>
      <c r="BA302" s="165"/>
      <c r="BB302" s="174"/>
    </row>
    <row r="303" spans="1:54" s="36" customFormat="1" ht="13.8" x14ac:dyDescent="0.3">
      <c r="A303" s="128"/>
      <c r="B303" s="133"/>
      <c r="C303" s="86"/>
      <c r="D303" s="79"/>
      <c r="E303" s="86"/>
      <c r="F303" s="86"/>
      <c r="G303" s="86"/>
      <c r="H303" s="134"/>
      <c r="I303" s="86"/>
      <c r="J303" s="134"/>
      <c r="K303" s="86"/>
      <c r="L303" s="86"/>
      <c r="M303" s="173"/>
      <c r="N303" s="173"/>
      <c r="O303" s="173"/>
      <c r="P303" s="173"/>
      <c r="Q303" s="173"/>
      <c r="R303" s="173"/>
      <c r="S303" s="173"/>
      <c r="T303" s="173"/>
      <c r="U303" s="173"/>
      <c r="V303" s="165"/>
      <c r="W303" s="173"/>
      <c r="X303" s="173"/>
      <c r="Y303" s="173"/>
      <c r="Z303" s="173"/>
      <c r="AA303" s="173"/>
      <c r="AB303" s="173"/>
      <c r="AC303" s="173"/>
      <c r="AD303" s="173"/>
      <c r="AE303" s="173"/>
      <c r="AF303" s="174"/>
      <c r="AG303" s="16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65"/>
      <c r="AR303" s="173"/>
      <c r="AS303" s="173"/>
      <c r="AT303" s="173"/>
      <c r="AU303" s="173"/>
      <c r="AV303" s="173"/>
      <c r="AW303" s="173"/>
      <c r="AX303" s="173"/>
      <c r="AY303" s="173"/>
      <c r="AZ303" s="173"/>
      <c r="BA303" s="165"/>
      <c r="BB303" s="174"/>
    </row>
    <row r="304" spans="1:54" s="36" customFormat="1" ht="13.8" x14ac:dyDescent="0.3">
      <c r="A304" s="128"/>
      <c r="B304" s="133"/>
      <c r="C304" s="86"/>
      <c r="D304" s="79"/>
      <c r="E304" s="86"/>
      <c r="F304" s="86"/>
      <c r="G304" s="86"/>
      <c r="H304" s="134"/>
      <c r="I304" s="86"/>
      <c r="J304" s="134"/>
      <c r="K304" s="86"/>
      <c r="L304" s="86"/>
      <c r="M304" s="173"/>
      <c r="N304" s="173"/>
      <c r="O304" s="173"/>
      <c r="P304" s="173"/>
      <c r="Q304" s="173"/>
      <c r="R304" s="173"/>
      <c r="S304" s="173"/>
      <c r="T304" s="173"/>
      <c r="U304" s="173"/>
      <c r="V304" s="165"/>
      <c r="W304" s="173"/>
      <c r="X304" s="173"/>
      <c r="Y304" s="173"/>
      <c r="Z304" s="173"/>
      <c r="AA304" s="173"/>
      <c r="AB304" s="173"/>
      <c r="AC304" s="173"/>
      <c r="AD304" s="173"/>
      <c r="AE304" s="173"/>
      <c r="AF304" s="174"/>
      <c r="AG304" s="16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65"/>
      <c r="AR304" s="173"/>
      <c r="AS304" s="173"/>
      <c r="AT304" s="173"/>
      <c r="AU304" s="173"/>
      <c r="AV304" s="173"/>
      <c r="AW304" s="173"/>
      <c r="AX304" s="173"/>
      <c r="AY304" s="173"/>
      <c r="AZ304" s="173"/>
      <c r="BA304" s="165"/>
      <c r="BB304" s="174"/>
    </row>
    <row r="305" spans="1:55" s="36" customFormat="1" ht="13.8" x14ac:dyDescent="0.3">
      <c r="A305" s="128"/>
      <c r="B305" s="133"/>
      <c r="C305" s="86"/>
      <c r="D305" s="79"/>
      <c r="E305" s="86"/>
      <c r="F305" s="86"/>
      <c r="G305" s="86"/>
      <c r="H305" s="134"/>
      <c r="I305" s="86"/>
      <c r="J305" s="134"/>
      <c r="K305" s="86"/>
      <c r="L305" s="86"/>
      <c r="M305" s="173"/>
      <c r="N305" s="173"/>
      <c r="O305" s="173"/>
      <c r="P305" s="173"/>
      <c r="Q305" s="173"/>
      <c r="R305" s="173"/>
      <c r="S305" s="173"/>
      <c r="T305" s="173"/>
      <c r="U305" s="173"/>
      <c r="V305" s="165"/>
      <c r="W305" s="173"/>
      <c r="X305" s="173"/>
      <c r="Y305" s="173"/>
      <c r="Z305" s="173"/>
      <c r="AA305" s="173"/>
      <c r="AB305" s="173"/>
      <c r="AC305" s="173"/>
      <c r="AD305" s="173"/>
      <c r="AE305" s="173"/>
      <c r="AF305" s="174"/>
      <c r="AG305" s="16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65"/>
      <c r="AR305" s="173"/>
      <c r="AS305" s="173"/>
      <c r="AT305" s="173"/>
      <c r="AU305" s="173"/>
      <c r="AV305" s="173"/>
      <c r="AW305" s="173"/>
      <c r="AX305" s="173"/>
      <c r="AY305" s="173"/>
      <c r="AZ305" s="173"/>
      <c r="BA305" s="165"/>
      <c r="BB305" s="174"/>
    </row>
    <row r="306" spans="1:55" s="36" customFormat="1" ht="13.8" x14ac:dyDescent="0.3">
      <c r="A306" s="128"/>
      <c r="B306" s="133"/>
      <c r="C306" s="86"/>
      <c r="D306" s="79"/>
      <c r="E306" s="86"/>
      <c r="F306" s="86"/>
      <c r="G306" s="86"/>
      <c r="H306" s="134"/>
      <c r="I306" s="86"/>
      <c r="J306" s="134"/>
      <c r="K306" s="86"/>
      <c r="L306" s="86"/>
      <c r="M306" s="173"/>
      <c r="N306" s="173"/>
      <c r="O306" s="173"/>
      <c r="P306" s="173"/>
      <c r="Q306" s="173"/>
      <c r="R306" s="173"/>
      <c r="S306" s="173"/>
      <c r="T306" s="173"/>
      <c r="U306" s="173"/>
      <c r="V306" s="165"/>
      <c r="W306" s="173"/>
      <c r="X306" s="173"/>
      <c r="Y306" s="173"/>
      <c r="Z306" s="173"/>
      <c r="AA306" s="173"/>
      <c r="AB306" s="173"/>
      <c r="AC306" s="173"/>
      <c r="AD306" s="173"/>
      <c r="AE306" s="173"/>
      <c r="AF306" s="174"/>
      <c r="AG306" s="16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65"/>
      <c r="AR306" s="173"/>
      <c r="AS306" s="173"/>
      <c r="AT306" s="173"/>
      <c r="AU306" s="173"/>
      <c r="AV306" s="173"/>
      <c r="AW306" s="173"/>
      <c r="AX306" s="173"/>
      <c r="AY306" s="173"/>
      <c r="AZ306" s="173"/>
      <c r="BA306" s="165"/>
      <c r="BB306" s="174"/>
    </row>
    <row r="307" spans="1:55" x14ac:dyDescent="0.3">
      <c r="B307" s="133"/>
      <c r="C307" s="86"/>
      <c r="E307" s="86"/>
      <c r="F307" s="86"/>
      <c r="G307" s="86"/>
      <c r="H307" s="134"/>
      <c r="I307" s="86"/>
      <c r="J307" s="134"/>
      <c r="K307" s="86"/>
      <c r="L307" s="86"/>
      <c r="M307" s="173"/>
      <c r="N307" s="173"/>
      <c r="O307" s="173"/>
      <c r="P307" s="173"/>
      <c r="Q307" s="173"/>
      <c r="R307" s="173"/>
      <c r="S307" s="173"/>
      <c r="T307" s="173"/>
      <c r="U307" s="173"/>
      <c r="V307" s="165"/>
      <c r="W307" s="173"/>
      <c r="X307" s="173"/>
      <c r="Y307" s="173"/>
      <c r="Z307" s="173"/>
      <c r="AA307" s="173"/>
      <c r="AB307" s="173"/>
      <c r="AC307" s="173"/>
      <c r="AD307" s="173"/>
      <c r="AE307" s="173"/>
      <c r="AF307" s="174"/>
      <c r="AG307" s="16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65"/>
      <c r="AR307" s="173"/>
      <c r="AS307" s="173"/>
      <c r="AT307" s="173"/>
      <c r="AU307" s="173"/>
      <c r="AV307" s="173"/>
      <c r="AW307" s="173"/>
      <c r="AX307" s="173"/>
      <c r="AY307" s="173"/>
      <c r="AZ307" s="173"/>
      <c r="BB307" s="174"/>
      <c r="BC307" s="36"/>
    </row>
    <row r="308" spans="1:55" x14ac:dyDescent="0.3">
      <c r="B308" s="133"/>
      <c r="C308" s="86"/>
      <c r="E308" s="86"/>
      <c r="F308" s="86"/>
      <c r="G308" s="86"/>
      <c r="H308" s="134"/>
      <c r="I308" s="86"/>
      <c r="J308" s="134"/>
      <c r="K308" s="86"/>
      <c r="L308" s="86"/>
      <c r="M308" s="173"/>
      <c r="N308" s="173"/>
      <c r="O308" s="173"/>
      <c r="P308" s="173"/>
      <c r="Q308" s="173"/>
      <c r="R308" s="173"/>
      <c r="S308" s="173"/>
      <c r="T308" s="173"/>
      <c r="U308" s="173"/>
      <c r="V308" s="165"/>
      <c r="W308" s="173"/>
      <c r="X308" s="173"/>
      <c r="Y308" s="173"/>
      <c r="Z308" s="173"/>
      <c r="AA308" s="173"/>
      <c r="AB308" s="173"/>
      <c r="AC308" s="173"/>
      <c r="AD308" s="173"/>
      <c r="AE308" s="173"/>
      <c r="AF308" s="174"/>
      <c r="AG308" s="16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65"/>
      <c r="AR308" s="173"/>
      <c r="AS308" s="173"/>
      <c r="AT308" s="173"/>
      <c r="AU308" s="173"/>
      <c r="AV308" s="173"/>
      <c r="AW308" s="173"/>
      <c r="AX308" s="173"/>
      <c r="AY308" s="173"/>
      <c r="AZ308" s="173"/>
      <c r="BB308" s="174"/>
      <c r="BC308" s="36"/>
    </row>
    <row r="309" spans="1:55" x14ac:dyDescent="0.3">
      <c r="B309" s="133"/>
      <c r="C309" s="86"/>
      <c r="E309" s="86"/>
      <c r="F309" s="86"/>
      <c r="G309" s="86"/>
      <c r="H309" s="134"/>
      <c r="I309" s="86"/>
      <c r="J309" s="134"/>
      <c r="K309" s="86"/>
      <c r="L309" s="86"/>
      <c r="M309" s="173"/>
      <c r="N309" s="173"/>
      <c r="O309" s="173"/>
      <c r="P309" s="173"/>
      <c r="Q309" s="173"/>
      <c r="R309" s="173"/>
      <c r="S309" s="173"/>
      <c r="T309" s="173"/>
      <c r="U309" s="173"/>
      <c r="V309" s="165"/>
      <c r="W309" s="173"/>
      <c r="X309" s="173"/>
      <c r="Y309" s="173"/>
      <c r="Z309" s="173"/>
      <c r="AA309" s="173"/>
      <c r="AB309" s="173"/>
      <c r="AC309" s="173"/>
      <c r="AD309" s="173"/>
      <c r="AE309" s="173"/>
      <c r="AF309" s="174"/>
      <c r="AG309" s="16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65"/>
      <c r="AR309" s="173"/>
      <c r="AS309" s="173"/>
      <c r="AT309" s="173"/>
      <c r="AU309" s="173"/>
      <c r="AV309" s="173"/>
      <c r="AW309" s="173"/>
      <c r="AX309" s="173"/>
      <c r="AY309" s="173"/>
      <c r="AZ309" s="173"/>
      <c r="BB309" s="174"/>
      <c r="BC309" s="36"/>
    </row>
    <row r="310" spans="1:55" x14ac:dyDescent="0.3">
      <c r="B310" s="133"/>
      <c r="C310" s="86"/>
      <c r="E310" s="86"/>
      <c r="F310" s="86"/>
      <c r="G310" s="86"/>
      <c r="H310" s="134"/>
      <c r="I310" s="86"/>
      <c r="J310" s="134"/>
      <c r="K310" s="86"/>
      <c r="L310" s="86"/>
      <c r="M310" s="173"/>
      <c r="N310" s="173"/>
      <c r="O310" s="173"/>
      <c r="P310" s="173"/>
      <c r="Q310" s="173"/>
      <c r="R310" s="173"/>
      <c r="S310" s="173"/>
      <c r="T310" s="173"/>
      <c r="U310" s="173"/>
      <c r="V310" s="165"/>
      <c r="W310" s="173"/>
      <c r="X310" s="173"/>
      <c r="Y310" s="173"/>
      <c r="Z310" s="173"/>
      <c r="AA310" s="173"/>
      <c r="AB310" s="173"/>
      <c r="AC310" s="173"/>
      <c r="AD310" s="173"/>
      <c r="AE310" s="173"/>
      <c r="AF310" s="174"/>
      <c r="AG310" s="16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65"/>
      <c r="AR310" s="173"/>
      <c r="AS310" s="173"/>
      <c r="AT310" s="173"/>
      <c r="AU310" s="173"/>
      <c r="AV310" s="173"/>
      <c r="AW310" s="173"/>
      <c r="AX310" s="173"/>
      <c r="AY310" s="173"/>
      <c r="AZ310" s="173"/>
      <c r="BB310" s="174"/>
      <c r="BC310" s="36"/>
    </row>
    <row r="311" spans="1:55" x14ac:dyDescent="0.3">
      <c r="B311" s="133"/>
      <c r="C311" s="86"/>
      <c r="E311" s="86"/>
      <c r="F311" s="86"/>
      <c r="G311" s="86"/>
      <c r="H311" s="134"/>
      <c r="I311" s="86"/>
      <c r="J311" s="134"/>
      <c r="K311" s="86"/>
      <c r="L311" s="86"/>
      <c r="M311" s="173"/>
      <c r="N311" s="173"/>
      <c r="O311" s="173"/>
      <c r="P311" s="173"/>
      <c r="Q311" s="173"/>
      <c r="R311" s="173"/>
      <c r="S311" s="173"/>
      <c r="T311" s="173"/>
      <c r="U311" s="173"/>
      <c r="V311" s="165"/>
      <c r="W311" s="173"/>
      <c r="X311" s="173"/>
      <c r="Y311" s="173"/>
      <c r="Z311" s="173"/>
      <c r="AA311" s="173"/>
      <c r="AB311" s="173"/>
      <c r="AC311" s="173"/>
      <c r="AD311" s="173"/>
      <c r="AE311" s="173"/>
      <c r="AF311" s="174"/>
      <c r="AG311" s="16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65"/>
      <c r="AR311" s="173"/>
      <c r="AS311" s="173"/>
      <c r="AT311" s="173"/>
      <c r="AU311" s="173"/>
      <c r="AV311" s="173"/>
      <c r="AW311" s="173"/>
      <c r="AX311" s="173"/>
      <c r="AY311" s="173"/>
      <c r="AZ311" s="173"/>
      <c r="BB311" s="174"/>
      <c r="BC311" s="36"/>
    </row>
    <row r="312" spans="1:55" x14ac:dyDescent="0.3">
      <c r="B312" s="133"/>
      <c r="C312" s="86"/>
      <c r="E312" s="86"/>
      <c r="F312" s="86"/>
      <c r="G312" s="86"/>
      <c r="H312" s="134"/>
      <c r="I312" s="86"/>
      <c r="J312" s="134"/>
      <c r="K312" s="86"/>
      <c r="L312" s="86"/>
      <c r="M312" s="173"/>
      <c r="N312" s="173"/>
      <c r="O312" s="173"/>
      <c r="P312" s="173"/>
      <c r="Q312" s="173"/>
      <c r="R312" s="173"/>
      <c r="S312" s="173"/>
      <c r="T312" s="173"/>
      <c r="U312" s="173"/>
      <c r="V312" s="165"/>
      <c r="W312" s="173"/>
      <c r="X312" s="173"/>
      <c r="Y312" s="173"/>
      <c r="Z312" s="173"/>
      <c r="AA312" s="173"/>
      <c r="AB312" s="173"/>
      <c r="AC312" s="173"/>
      <c r="AD312" s="173"/>
      <c r="AE312" s="173"/>
      <c r="AF312" s="174"/>
      <c r="AG312" s="16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65"/>
      <c r="AR312" s="173"/>
      <c r="AS312" s="173"/>
      <c r="AT312" s="173"/>
      <c r="AU312" s="173"/>
      <c r="AV312" s="173"/>
      <c r="AW312" s="173"/>
      <c r="AX312" s="173"/>
      <c r="AY312" s="173"/>
      <c r="AZ312" s="173"/>
      <c r="BB312" s="174"/>
      <c r="BC312" s="36"/>
    </row>
    <row r="313" spans="1:55" x14ac:dyDescent="0.3">
      <c r="B313" s="133"/>
      <c r="C313" s="86"/>
      <c r="E313" s="86"/>
      <c r="F313" s="86"/>
      <c r="G313" s="86"/>
      <c r="H313" s="134"/>
      <c r="I313" s="86"/>
      <c r="J313" s="134"/>
      <c r="K313" s="86"/>
      <c r="L313" s="86"/>
      <c r="M313" s="173"/>
      <c r="N313" s="173"/>
      <c r="O313" s="173"/>
      <c r="P313" s="173"/>
      <c r="Q313" s="173"/>
      <c r="R313" s="173"/>
      <c r="S313" s="173"/>
      <c r="T313" s="173"/>
      <c r="U313" s="173"/>
      <c r="V313" s="165"/>
      <c r="W313" s="173"/>
      <c r="X313" s="173"/>
      <c r="Y313" s="173"/>
      <c r="Z313" s="173"/>
      <c r="AA313" s="173"/>
      <c r="AB313" s="173"/>
      <c r="AC313" s="173"/>
      <c r="AD313" s="173"/>
      <c r="AE313" s="173"/>
      <c r="AF313" s="174"/>
      <c r="AG313" s="16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65"/>
      <c r="AR313" s="173"/>
      <c r="AS313" s="173"/>
      <c r="AT313" s="173"/>
      <c r="AU313" s="173"/>
      <c r="AV313" s="173"/>
      <c r="AW313" s="173"/>
      <c r="AX313" s="173"/>
      <c r="AY313" s="173"/>
      <c r="AZ313" s="173"/>
      <c r="BB313" s="174"/>
      <c r="BC313" s="36"/>
    </row>
    <row r="314" spans="1:55" x14ac:dyDescent="0.3">
      <c r="B314" s="133"/>
      <c r="C314" s="86"/>
      <c r="E314" s="86"/>
      <c r="F314" s="86"/>
      <c r="G314" s="86"/>
      <c r="H314" s="134"/>
      <c r="I314" s="86"/>
      <c r="J314" s="134"/>
      <c r="K314" s="86"/>
      <c r="L314" s="86"/>
      <c r="M314" s="173"/>
      <c r="N314" s="173"/>
      <c r="O314" s="173"/>
      <c r="P314" s="173"/>
      <c r="Q314" s="173"/>
      <c r="R314" s="173"/>
      <c r="S314" s="173"/>
      <c r="T314" s="173"/>
      <c r="U314" s="173"/>
      <c r="V314" s="165"/>
      <c r="W314" s="173"/>
      <c r="X314" s="173"/>
      <c r="Y314" s="173"/>
      <c r="Z314" s="173"/>
      <c r="AA314" s="173"/>
      <c r="AB314" s="173"/>
      <c r="AC314" s="173"/>
      <c r="AD314" s="173"/>
      <c r="AE314" s="173"/>
      <c r="AF314" s="174"/>
      <c r="AG314" s="16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65"/>
      <c r="AR314" s="173"/>
      <c r="AS314" s="173"/>
      <c r="AT314" s="173"/>
      <c r="AU314" s="173"/>
      <c r="AV314" s="173"/>
      <c r="AW314" s="173"/>
      <c r="AX314" s="173"/>
      <c r="AY314" s="173"/>
      <c r="AZ314" s="173"/>
      <c r="BB314" s="174"/>
      <c r="BC314" s="36"/>
    </row>
    <row r="315" spans="1:55" x14ac:dyDescent="0.3">
      <c r="B315" s="133"/>
      <c r="C315" s="86"/>
      <c r="E315" s="86"/>
      <c r="F315" s="86"/>
      <c r="G315" s="86"/>
      <c r="H315" s="134"/>
      <c r="I315" s="86"/>
      <c r="J315" s="134"/>
      <c r="K315" s="86"/>
      <c r="L315" s="86"/>
      <c r="M315" s="173"/>
      <c r="N315" s="173"/>
      <c r="O315" s="173"/>
      <c r="P315" s="173"/>
      <c r="Q315" s="173"/>
      <c r="R315" s="173"/>
      <c r="S315" s="173"/>
      <c r="T315" s="173"/>
      <c r="U315" s="173"/>
      <c r="V315" s="165"/>
      <c r="W315" s="173"/>
      <c r="X315" s="173"/>
      <c r="Y315" s="173"/>
      <c r="Z315" s="173"/>
      <c r="AA315" s="173"/>
      <c r="AB315" s="173"/>
      <c r="AC315" s="173"/>
      <c r="AD315" s="173"/>
      <c r="AE315" s="173"/>
      <c r="AF315" s="174"/>
      <c r="AG315" s="16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65"/>
      <c r="AR315" s="173"/>
      <c r="AS315" s="173"/>
      <c r="AT315" s="173"/>
      <c r="AU315" s="173"/>
      <c r="AV315" s="173"/>
      <c r="AW315" s="173"/>
      <c r="AX315" s="173"/>
      <c r="AY315" s="173"/>
      <c r="AZ315" s="173"/>
      <c r="BB315" s="174"/>
      <c r="BC315" s="36"/>
    </row>
    <row r="316" spans="1:55" x14ac:dyDescent="0.3">
      <c r="B316" s="133"/>
      <c r="C316" s="86"/>
      <c r="E316" s="86"/>
      <c r="F316" s="86"/>
      <c r="G316" s="86"/>
      <c r="H316" s="134"/>
      <c r="I316" s="86"/>
      <c r="J316" s="134"/>
      <c r="K316" s="86"/>
      <c r="L316" s="86"/>
      <c r="M316" s="173"/>
      <c r="N316" s="173"/>
      <c r="O316" s="173"/>
      <c r="P316" s="173"/>
      <c r="Q316" s="173"/>
      <c r="R316" s="173"/>
      <c r="S316" s="173"/>
      <c r="T316" s="173"/>
      <c r="U316" s="173"/>
      <c r="V316" s="165"/>
      <c r="W316" s="173"/>
      <c r="X316" s="173"/>
      <c r="Y316" s="173"/>
      <c r="Z316" s="173"/>
      <c r="AA316" s="173"/>
      <c r="AB316" s="173"/>
      <c r="AC316" s="173"/>
      <c r="AD316" s="173"/>
      <c r="AE316" s="173"/>
      <c r="AF316" s="174"/>
      <c r="AG316" s="16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65"/>
      <c r="AR316" s="173"/>
      <c r="AS316" s="173"/>
      <c r="AT316" s="173"/>
      <c r="AU316" s="173"/>
      <c r="AV316" s="173"/>
      <c r="AW316" s="173"/>
      <c r="AX316" s="173"/>
      <c r="AY316" s="173"/>
      <c r="AZ316" s="173"/>
      <c r="BB316" s="174"/>
      <c r="BC316" s="36"/>
    </row>
    <row r="317" spans="1:55" x14ac:dyDescent="0.3">
      <c r="B317" s="133"/>
      <c r="C317" s="86"/>
      <c r="E317" s="86"/>
      <c r="F317" s="86"/>
      <c r="G317" s="86"/>
      <c r="H317" s="134"/>
      <c r="I317" s="86"/>
      <c r="J317" s="134"/>
      <c r="K317" s="86"/>
      <c r="L317" s="86"/>
      <c r="M317" s="173"/>
      <c r="N317" s="173"/>
      <c r="O317" s="173"/>
      <c r="P317" s="173"/>
      <c r="Q317" s="173"/>
      <c r="R317" s="173"/>
      <c r="S317" s="173"/>
      <c r="T317" s="173"/>
      <c r="U317" s="173"/>
      <c r="V317" s="165"/>
      <c r="W317" s="173"/>
      <c r="X317" s="173"/>
      <c r="Y317" s="173"/>
      <c r="Z317" s="173"/>
      <c r="AA317" s="173"/>
      <c r="AB317" s="173"/>
      <c r="AC317" s="173"/>
      <c r="AD317" s="173"/>
      <c r="AE317" s="173"/>
      <c r="AF317" s="174"/>
      <c r="AG317" s="16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65"/>
      <c r="AR317" s="173"/>
      <c r="AS317" s="173"/>
      <c r="AT317" s="173"/>
      <c r="AU317" s="173"/>
      <c r="AV317" s="173"/>
      <c r="AW317" s="173"/>
      <c r="AX317" s="173"/>
      <c r="AY317" s="173"/>
      <c r="AZ317" s="173"/>
      <c r="BB317" s="174"/>
      <c r="BC317" s="36"/>
    </row>
    <row r="318" spans="1:55" x14ac:dyDescent="0.3">
      <c r="B318" s="133"/>
      <c r="C318" s="86"/>
      <c r="E318" s="86"/>
      <c r="F318" s="86"/>
      <c r="G318" s="86"/>
      <c r="H318" s="134"/>
      <c r="I318" s="86"/>
      <c r="J318" s="134"/>
      <c r="K318" s="86"/>
      <c r="L318" s="86"/>
      <c r="M318" s="173"/>
      <c r="N318" s="173"/>
      <c r="O318" s="173"/>
      <c r="P318" s="173"/>
      <c r="Q318" s="173"/>
      <c r="R318" s="173"/>
      <c r="S318" s="173"/>
      <c r="T318" s="173"/>
      <c r="U318" s="173"/>
      <c r="V318" s="165"/>
      <c r="W318" s="173"/>
      <c r="X318" s="173"/>
      <c r="Y318" s="173"/>
      <c r="Z318" s="173"/>
      <c r="AA318" s="173"/>
      <c r="AB318" s="173"/>
      <c r="AC318" s="173"/>
      <c r="AD318" s="173"/>
      <c r="AE318" s="173"/>
      <c r="AF318" s="174"/>
      <c r="AG318" s="16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65"/>
      <c r="AR318" s="173"/>
      <c r="AS318" s="173"/>
      <c r="AT318" s="173"/>
      <c r="AU318" s="173"/>
      <c r="AV318" s="173"/>
      <c r="AW318" s="173"/>
      <c r="AX318" s="173"/>
      <c r="AY318" s="173"/>
      <c r="AZ318" s="173"/>
      <c r="BB318" s="174"/>
      <c r="BC318" s="36"/>
    </row>
    <row r="319" spans="1:55" x14ac:dyDescent="0.3">
      <c r="B319" s="133"/>
      <c r="C319" s="86"/>
      <c r="E319" s="86"/>
      <c r="F319" s="86"/>
      <c r="G319" s="86"/>
      <c r="H319" s="134"/>
      <c r="I319" s="86"/>
      <c r="J319" s="134"/>
      <c r="K319" s="86"/>
      <c r="L319" s="86"/>
      <c r="M319" s="173"/>
      <c r="N319" s="173"/>
      <c r="O319" s="173"/>
      <c r="P319" s="173"/>
      <c r="Q319" s="173"/>
      <c r="R319" s="173"/>
      <c r="S319" s="173"/>
      <c r="T319" s="173"/>
      <c r="U319" s="173"/>
      <c r="V319" s="165"/>
      <c r="W319" s="173"/>
      <c r="X319" s="173"/>
      <c r="Y319" s="173"/>
      <c r="Z319" s="173"/>
      <c r="AA319" s="173"/>
      <c r="AB319" s="173"/>
      <c r="AC319" s="173"/>
      <c r="AD319" s="173"/>
      <c r="AE319" s="173"/>
      <c r="AF319" s="174"/>
      <c r="AG319" s="16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65"/>
      <c r="AR319" s="173"/>
      <c r="AS319" s="173"/>
      <c r="AT319" s="173"/>
      <c r="AU319" s="173"/>
      <c r="AV319" s="173"/>
      <c r="AW319" s="173"/>
      <c r="AX319" s="173"/>
      <c r="AY319" s="173"/>
      <c r="AZ319" s="173"/>
      <c r="BB319" s="174"/>
      <c r="BC319" s="36"/>
    </row>
    <row r="320" spans="1:55" x14ac:dyDescent="0.3">
      <c r="B320" s="133"/>
      <c r="C320" s="86"/>
      <c r="E320" s="86"/>
      <c r="F320" s="86"/>
      <c r="G320" s="86"/>
      <c r="H320" s="134"/>
      <c r="I320" s="86"/>
      <c r="J320" s="134"/>
      <c r="K320" s="86"/>
      <c r="L320" s="86"/>
      <c r="M320" s="173"/>
      <c r="N320" s="173"/>
      <c r="O320" s="173"/>
      <c r="P320" s="173"/>
      <c r="Q320" s="173"/>
      <c r="R320" s="173"/>
      <c r="S320" s="173"/>
      <c r="T320" s="173"/>
      <c r="U320" s="173"/>
      <c r="V320" s="165"/>
      <c r="W320" s="173"/>
      <c r="X320" s="173"/>
      <c r="Y320" s="173"/>
      <c r="Z320" s="173"/>
      <c r="AA320" s="173"/>
      <c r="AB320" s="173"/>
      <c r="AC320" s="173"/>
      <c r="AD320" s="173"/>
      <c r="AE320" s="173"/>
      <c r="AF320" s="174"/>
      <c r="AG320" s="16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65"/>
      <c r="AR320" s="173"/>
      <c r="AS320" s="173"/>
      <c r="AT320" s="173"/>
      <c r="AU320" s="173"/>
      <c r="AV320" s="173"/>
      <c r="AW320" s="173"/>
      <c r="AX320" s="173"/>
      <c r="AY320" s="173"/>
      <c r="AZ320" s="173"/>
      <c r="BB320" s="174"/>
      <c r="BC320" s="36"/>
    </row>
    <row r="321" spans="2:55" x14ac:dyDescent="0.3">
      <c r="B321" s="133"/>
      <c r="C321" s="86"/>
      <c r="E321" s="86"/>
      <c r="F321" s="86"/>
      <c r="G321" s="86"/>
      <c r="H321" s="134"/>
      <c r="I321" s="86"/>
      <c r="J321" s="134"/>
      <c r="K321" s="86"/>
      <c r="L321" s="86"/>
      <c r="M321" s="173"/>
      <c r="N321" s="173"/>
      <c r="O321" s="173"/>
      <c r="P321" s="173"/>
      <c r="Q321" s="173"/>
      <c r="R321" s="173"/>
      <c r="S321" s="173"/>
      <c r="T321" s="173"/>
      <c r="U321" s="173"/>
      <c r="V321" s="165"/>
      <c r="W321" s="173"/>
      <c r="X321" s="173"/>
      <c r="Y321" s="173"/>
      <c r="Z321" s="173"/>
      <c r="AA321" s="173"/>
      <c r="AB321" s="173"/>
      <c r="AC321" s="173"/>
      <c r="AD321" s="173"/>
      <c r="AE321" s="173"/>
      <c r="AF321" s="174"/>
      <c r="AG321" s="16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65"/>
      <c r="AR321" s="173"/>
      <c r="AS321" s="173"/>
      <c r="AT321" s="173"/>
      <c r="AU321" s="173"/>
      <c r="AV321" s="173"/>
      <c r="AW321" s="173"/>
      <c r="AX321" s="173"/>
      <c r="AY321" s="173"/>
      <c r="AZ321" s="173"/>
      <c r="BB321" s="174"/>
      <c r="BC321" s="36"/>
    </row>
    <row r="322" spans="2:55" x14ac:dyDescent="0.3">
      <c r="B322" s="133"/>
      <c r="C322" s="86"/>
      <c r="E322" s="86"/>
      <c r="F322" s="86"/>
      <c r="G322" s="86"/>
      <c r="H322" s="134"/>
      <c r="I322" s="86"/>
      <c r="J322" s="134"/>
      <c r="K322" s="86"/>
      <c r="L322" s="86"/>
      <c r="M322" s="173"/>
      <c r="N322" s="173"/>
      <c r="O322" s="173"/>
      <c r="P322" s="173"/>
      <c r="Q322" s="173"/>
      <c r="R322" s="173"/>
      <c r="S322" s="173"/>
      <c r="T322" s="173"/>
      <c r="U322" s="173"/>
      <c r="V322" s="165"/>
      <c r="W322" s="173"/>
      <c r="X322" s="173"/>
      <c r="Y322" s="173"/>
      <c r="Z322" s="173"/>
      <c r="AA322" s="173"/>
      <c r="AB322" s="173"/>
      <c r="AC322" s="173"/>
      <c r="AD322" s="173"/>
      <c r="AE322" s="173"/>
      <c r="AF322" s="174"/>
      <c r="AG322" s="16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65"/>
      <c r="AR322" s="173"/>
      <c r="AS322" s="173"/>
      <c r="AT322" s="173"/>
      <c r="AU322" s="173"/>
      <c r="AV322" s="173"/>
      <c r="AW322" s="173"/>
      <c r="AX322" s="173"/>
      <c r="AY322" s="173"/>
      <c r="AZ322" s="173"/>
      <c r="BB322" s="174"/>
      <c r="BC322" s="36"/>
    </row>
    <row r="323" spans="2:55" x14ac:dyDescent="0.3">
      <c r="B323" s="133"/>
      <c r="C323" s="86"/>
      <c r="E323" s="86"/>
      <c r="F323" s="86"/>
      <c r="G323" s="86"/>
      <c r="H323" s="134"/>
      <c r="I323" s="86"/>
      <c r="J323" s="134"/>
      <c r="K323" s="86"/>
      <c r="L323" s="86"/>
      <c r="M323" s="173"/>
      <c r="N323" s="173"/>
      <c r="O323" s="173"/>
      <c r="P323" s="173"/>
      <c r="Q323" s="173"/>
      <c r="R323" s="173"/>
      <c r="S323" s="173"/>
      <c r="T323" s="173"/>
      <c r="U323" s="173"/>
      <c r="V323" s="165"/>
      <c r="W323" s="173"/>
      <c r="X323" s="173"/>
      <c r="Y323" s="173"/>
      <c r="Z323" s="173"/>
      <c r="AA323" s="173"/>
      <c r="AB323" s="173"/>
      <c r="AC323" s="173"/>
      <c r="AD323" s="173"/>
      <c r="AE323" s="173"/>
      <c r="AF323" s="174"/>
      <c r="AG323" s="16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65"/>
      <c r="AR323" s="173"/>
      <c r="AS323" s="173"/>
      <c r="AT323" s="173"/>
      <c r="AU323" s="173"/>
      <c r="AV323" s="173"/>
      <c r="AW323" s="173"/>
      <c r="AX323" s="173"/>
      <c r="AY323" s="173"/>
      <c r="AZ323" s="173"/>
      <c r="BB323" s="174"/>
      <c r="BC323" s="36"/>
    </row>
    <row r="324" spans="2:55" x14ac:dyDescent="0.3">
      <c r="B324" s="133"/>
      <c r="C324" s="86"/>
      <c r="E324" s="86"/>
      <c r="F324" s="86"/>
      <c r="G324" s="86"/>
      <c r="H324" s="134"/>
      <c r="I324" s="86"/>
      <c r="J324" s="134"/>
      <c r="K324" s="86"/>
      <c r="L324" s="86"/>
      <c r="M324" s="173"/>
      <c r="N324" s="173"/>
      <c r="O324" s="173"/>
      <c r="P324" s="173"/>
      <c r="Q324" s="173"/>
      <c r="R324" s="173"/>
      <c r="S324" s="173"/>
      <c r="T324" s="173"/>
      <c r="U324" s="173"/>
      <c r="V324" s="165"/>
      <c r="W324" s="173"/>
      <c r="X324" s="173"/>
      <c r="Y324" s="173"/>
      <c r="Z324" s="173"/>
      <c r="AA324" s="173"/>
      <c r="AB324" s="173"/>
      <c r="AC324" s="173"/>
      <c r="AD324" s="173"/>
      <c r="AE324" s="173"/>
      <c r="AF324" s="174"/>
      <c r="AG324" s="16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65"/>
      <c r="AR324" s="173"/>
      <c r="AS324" s="173"/>
      <c r="AT324" s="173"/>
      <c r="AU324" s="173"/>
      <c r="AV324" s="173"/>
      <c r="AW324" s="173"/>
      <c r="AX324" s="173"/>
      <c r="AY324" s="173"/>
      <c r="AZ324" s="173"/>
      <c r="BB324" s="174"/>
      <c r="BC324" s="36"/>
    </row>
    <row r="325" spans="2:55" x14ac:dyDescent="0.3">
      <c r="B325" s="133"/>
      <c r="C325" s="86"/>
      <c r="E325" s="86"/>
      <c r="F325" s="86"/>
      <c r="G325" s="86"/>
      <c r="H325" s="134"/>
      <c r="I325" s="86"/>
      <c r="J325" s="134"/>
      <c r="K325" s="86"/>
      <c r="L325" s="86"/>
      <c r="M325" s="173"/>
      <c r="N325" s="173"/>
      <c r="O325" s="173"/>
      <c r="P325" s="173"/>
      <c r="Q325" s="173"/>
      <c r="R325" s="173"/>
      <c r="S325" s="173"/>
      <c r="T325" s="173"/>
      <c r="U325" s="173"/>
      <c r="V325" s="165"/>
      <c r="W325" s="173"/>
      <c r="X325" s="173"/>
      <c r="Y325" s="173"/>
      <c r="Z325" s="173"/>
      <c r="AA325" s="173"/>
      <c r="AB325" s="173"/>
      <c r="AC325" s="173"/>
      <c r="AD325" s="173"/>
      <c r="AE325" s="173"/>
      <c r="AF325" s="174"/>
      <c r="AG325" s="16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65"/>
      <c r="AR325" s="173"/>
      <c r="AS325" s="173"/>
      <c r="AT325" s="173"/>
      <c r="AU325" s="173"/>
      <c r="AV325" s="173"/>
      <c r="AW325" s="173"/>
      <c r="AX325" s="173"/>
      <c r="AY325" s="173"/>
      <c r="AZ325" s="173"/>
      <c r="BB325" s="174"/>
      <c r="BC325" s="36"/>
    </row>
    <row r="326" spans="2:55" x14ac:dyDescent="0.3">
      <c r="B326" s="133"/>
      <c r="C326" s="86"/>
      <c r="E326" s="86"/>
      <c r="F326" s="86"/>
      <c r="G326" s="86"/>
      <c r="H326" s="134"/>
      <c r="I326" s="86"/>
      <c r="J326" s="134"/>
      <c r="K326" s="86"/>
      <c r="L326" s="86"/>
      <c r="M326" s="173"/>
      <c r="N326" s="173"/>
      <c r="O326" s="173"/>
      <c r="P326" s="173"/>
      <c r="Q326" s="173"/>
      <c r="R326" s="173"/>
      <c r="S326" s="173"/>
      <c r="T326" s="173"/>
      <c r="U326" s="173"/>
      <c r="V326" s="165"/>
      <c r="W326" s="173"/>
      <c r="X326" s="173"/>
      <c r="Y326" s="173"/>
      <c r="Z326" s="173"/>
      <c r="AA326" s="173"/>
      <c r="AB326" s="173"/>
      <c r="AC326" s="173"/>
      <c r="AD326" s="173"/>
      <c r="AE326" s="173"/>
      <c r="AF326" s="174"/>
      <c r="AG326" s="16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65"/>
      <c r="AR326" s="173"/>
      <c r="AS326" s="173"/>
      <c r="AT326" s="173"/>
      <c r="AU326" s="173"/>
      <c r="AV326" s="173"/>
      <c r="AW326" s="173"/>
      <c r="AX326" s="173"/>
      <c r="AY326" s="173"/>
      <c r="AZ326" s="173"/>
      <c r="BB326" s="174"/>
      <c r="BC326" s="36"/>
    </row>
    <row r="327" spans="2:55" x14ac:dyDescent="0.3">
      <c r="B327" s="133"/>
      <c r="C327" s="86"/>
      <c r="E327" s="86"/>
      <c r="F327" s="86"/>
      <c r="G327" s="86"/>
      <c r="H327" s="134"/>
      <c r="I327" s="86"/>
      <c r="J327" s="134"/>
      <c r="K327" s="86"/>
      <c r="L327" s="86"/>
      <c r="M327" s="173"/>
      <c r="N327" s="173"/>
      <c r="O327" s="173"/>
      <c r="P327" s="173"/>
      <c r="Q327" s="173"/>
      <c r="R327" s="173"/>
      <c r="S327" s="173"/>
      <c r="T327" s="173"/>
      <c r="U327" s="173"/>
      <c r="V327" s="165"/>
      <c r="W327" s="173"/>
      <c r="X327" s="173"/>
      <c r="Y327" s="173"/>
      <c r="Z327" s="173"/>
      <c r="AA327" s="173"/>
      <c r="AB327" s="173"/>
      <c r="AC327" s="173"/>
      <c r="AD327" s="173"/>
      <c r="AE327" s="173"/>
      <c r="AF327" s="174"/>
      <c r="AG327" s="16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65"/>
      <c r="AR327" s="173"/>
      <c r="AS327" s="173"/>
      <c r="AT327" s="173"/>
      <c r="AU327" s="173"/>
      <c r="AV327" s="173"/>
      <c r="AW327" s="173"/>
      <c r="AX327" s="173"/>
      <c r="AY327" s="173"/>
      <c r="AZ327" s="173"/>
      <c r="BB327" s="174"/>
      <c r="BC327" s="36"/>
    </row>
    <row r="328" spans="2:55" x14ac:dyDescent="0.3">
      <c r="B328" s="133"/>
      <c r="C328" s="86"/>
      <c r="E328" s="86"/>
      <c r="F328" s="86"/>
      <c r="G328" s="86"/>
      <c r="H328" s="134"/>
      <c r="I328" s="86"/>
      <c r="J328" s="134"/>
      <c r="K328" s="86"/>
      <c r="L328" s="86"/>
      <c r="M328" s="173"/>
      <c r="N328" s="173"/>
      <c r="O328" s="173"/>
      <c r="P328" s="173"/>
      <c r="Q328" s="173"/>
      <c r="R328" s="173"/>
      <c r="S328" s="173"/>
      <c r="T328" s="173"/>
      <c r="U328" s="173"/>
      <c r="V328" s="165"/>
      <c r="W328" s="173"/>
      <c r="X328" s="173"/>
      <c r="Y328" s="173"/>
      <c r="Z328" s="173"/>
      <c r="AA328" s="173"/>
      <c r="AB328" s="173"/>
      <c r="AC328" s="173"/>
      <c r="AD328" s="173"/>
      <c r="AE328" s="173"/>
      <c r="AF328" s="174"/>
      <c r="AG328" s="165"/>
      <c r="AH328" s="175"/>
      <c r="AI328" s="175"/>
      <c r="AJ328" s="175"/>
      <c r="AK328" s="175"/>
      <c r="AL328" s="175"/>
      <c r="AM328" s="175"/>
      <c r="AN328" s="175"/>
      <c r="AO328" s="175"/>
      <c r="AP328" s="175"/>
      <c r="AQ328" s="165"/>
      <c r="AR328" s="173"/>
      <c r="AS328" s="173"/>
      <c r="AT328" s="173"/>
      <c r="AU328" s="173"/>
      <c r="AV328" s="173"/>
      <c r="AW328" s="173"/>
      <c r="AX328" s="173"/>
      <c r="AY328" s="173"/>
      <c r="AZ328" s="173"/>
      <c r="BB328" s="174"/>
      <c r="BC328" s="36"/>
    </row>
    <row r="329" spans="2:55" x14ac:dyDescent="0.3">
      <c r="B329" s="133"/>
      <c r="C329" s="86"/>
      <c r="E329" s="86"/>
      <c r="F329" s="86"/>
      <c r="G329" s="86"/>
      <c r="H329" s="134"/>
      <c r="I329" s="86"/>
      <c r="J329" s="134"/>
      <c r="K329" s="86"/>
      <c r="L329" s="86"/>
      <c r="M329" s="173"/>
      <c r="N329" s="173"/>
      <c r="O329" s="173"/>
      <c r="P329" s="173"/>
      <c r="Q329" s="173"/>
      <c r="R329" s="173"/>
      <c r="S329" s="173"/>
      <c r="T329" s="173"/>
      <c r="U329" s="173"/>
      <c r="V329" s="165"/>
      <c r="W329" s="173"/>
      <c r="X329" s="173"/>
      <c r="Y329" s="173"/>
      <c r="Z329" s="173"/>
      <c r="AA329" s="173"/>
      <c r="AB329" s="173"/>
      <c r="AC329" s="173"/>
      <c r="AD329" s="173"/>
      <c r="AE329" s="173"/>
      <c r="AF329" s="174"/>
      <c r="AG329" s="16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65"/>
      <c r="AR329" s="173"/>
      <c r="AS329" s="173"/>
      <c r="AT329" s="173"/>
      <c r="AU329" s="173"/>
      <c r="AV329" s="173"/>
      <c r="AW329" s="173"/>
      <c r="AX329" s="173"/>
      <c r="AY329" s="173"/>
      <c r="AZ329" s="173"/>
      <c r="BB329" s="174"/>
      <c r="BC329" s="36"/>
    </row>
    <row r="330" spans="2:55" x14ac:dyDescent="0.3">
      <c r="B330" s="133"/>
      <c r="C330" s="86"/>
      <c r="E330" s="86"/>
      <c r="F330" s="86"/>
      <c r="G330" s="86"/>
      <c r="H330" s="134"/>
      <c r="I330" s="86"/>
      <c r="J330" s="134"/>
      <c r="K330" s="86"/>
      <c r="L330" s="86"/>
      <c r="M330" s="173"/>
      <c r="N330" s="173"/>
      <c r="O330" s="173"/>
      <c r="P330" s="173"/>
      <c r="Q330" s="173"/>
      <c r="R330" s="173"/>
      <c r="S330" s="173"/>
      <c r="T330" s="173"/>
      <c r="U330" s="173"/>
      <c r="V330" s="165"/>
      <c r="W330" s="173"/>
      <c r="X330" s="173"/>
      <c r="Y330" s="173"/>
      <c r="Z330" s="173"/>
      <c r="AA330" s="173"/>
      <c r="AB330" s="173"/>
      <c r="AC330" s="173"/>
      <c r="AD330" s="173"/>
      <c r="AE330" s="173"/>
      <c r="AF330" s="174"/>
      <c r="AG330" s="16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65"/>
      <c r="AR330" s="173"/>
      <c r="AS330" s="173"/>
      <c r="AT330" s="173"/>
      <c r="AU330" s="173"/>
      <c r="AV330" s="173"/>
      <c r="AW330" s="173"/>
      <c r="AX330" s="173"/>
      <c r="AY330" s="173"/>
      <c r="AZ330" s="173"/>
      <c r="BB330" s="174"/>
      <c r="BC330" s="36"/>
    </row>
    <row r="331" spans="2:55" x14ac:dyDescent="0.3">
      <c r="B331" s="133"/>
      <c r="C331" s="86"/>
      <c r="E331" s="86"/>
      <c r="F331" s="86"/>
      <c r="G331" s="86"/>
      <c r="H331" s="134"/>
      <c r="I331" s="86"/>
      <c r="J331" s="134"/>
      <c r="K331" s="86"/>
      <c r="L331" s="86"/>
      <c r="M331" s="173"/>
      <c r="N331" s="173"/>
      <c r="O331" s="173"/>
      <c r="P331" s="173"/>
      <c r="Q331" s="173"/>
      <c r="R331" s="173"/>
      <c r="S331" s="173"/>
      <c r="T331" s="173"/>
      <c r="U331" s="173"/>
      <c r="V331" s="165"/>
      <c r="W331" s="173"/>
      <c r="X331" s="173"/>
      <c r="Y331" s="173"/>
      <c r="Z331" s="173"/>
      <c r="AA331" s="173"/>
      <c r="AB331" s="173"/>
      <c r="AC331" s="173"/>
      <c r="AD331" s="173"/>
      <c r="AE331" s="173"/>
      <c r="AF331" s="174"/>
      <c r="AG331" s="16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65"/>
      <c r="AR331" s="173"/>
      <c r="AS331" s="173"/>
      <c r="AT331" s="173"/>
      <c r="AU331" s="173"/>
      <c r="AV331" s="173"/>
      <c r="AW331" s="173"/>
      <c r="AX331" s="173"/>
      <c r="AY331" s="173"/>
      <c r="AZ331" s="173"/>
      <c r="BB331" s="174"/>
      <c r="BC331" s="36"/>
    </row>
    <row r="332" spans="2:55" x14ac:dyDescent="0.3">
      <c r="B332" s="133"/>
      <c r="C332" s="86"/>
      <c r="E332" s="86"/>
      <c r="F332" s="86"/>
      <c r="G332" s="86"/>
      <c r="H332" s="134"/>
      <c r="I332" s="86"/>
      <c r="J332" s="134"/>
      <c r="K332" s="86"/>
      <c r="L332" s="86"/>
      <c r="M332" s="173"/>
      <c r="N332" s="173"/>
      <c r="O332" s="173"/>
      <c r="P332" s="173"/>
      <c r="Q332" s="173"/>
      <c r="R332" s="173"/>
      <c r="S332" s="173"/>
      <c r="T332" s="173"/>
      <c r="U332" s="173"/>
      <c r="V332" s="165"/>
      <c r="W332" s="173"/>
      <c r="X332" s="173"/>
      <c r="Y332" s="173"/>
      <c r="Z332" s="173"/>
      <c r="AA332" s="173"/>
      <c r="AB332" s="173"/>
      <c r="AC332" s="173"/>
      <c r="AD332" s="173"/>
      <c r="AE332" s="173"/>
      <c r="AF332" s="174"/>
      <c r="AG332" s="16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65"/>
      <c r="AR332" s="173"/>
      <c r="AS332" s="173"/>
      <c r="AT332" s="173"/>
      <c r="AU332" s="173"/>
      <c r="AV332" s="173"/>
      <c r="AW332" s="173"/>
      <c r="AX332" s="173"/>
      <c r="AY332" s="173"/>
      <c r="AZ332" s="173"/>
      <c r="BB332" s="174"/>
      <c r="BC332" s="36"/>
    </row>
    <row r="333" spans="2:55" x14ac:dyDescent="0.3">
      <c r="B333" s="133"/>
      <c r="C333" s="86"/>
      <c r="E333" s="86"/>
      <c r="F333" s="86"/>
      <c r="G333" s="86"/>
      <c r="H333" s="134"/>
      <c r="I333" s="86"/>
      <c r="J333" s="134"/>
      <c r="K333" s="86"/>
      <c r="L333" s="86"/>
      <c r="M333" s="173"/>
      <c r="N333" s="173"/>
      <c r="O333" s="173"/>
      <c r="P333" s="173"/>
      <c r="Q333" s="173"/>
      <c r="R333" s="173"/>
      <c r="S333" s="173"/>
      <c r="T333" s="173"/>
      <c r="U333" s="173"/>
      <c r="V333" s="165"/>
      <c r="W333" s="173"/>
      <c r="X333" s="173"/>
      <c r="Y333" s="173"/>
      <c r="Z333" s="173"/>
      <c r="AA333" s="173"/>
      <c r="AB333" s="173"/>
      <c r="AC333" s="173"/>
      <c r="AD333" s="173"/>
      <c r="AE333" s="173"/>
      <c r="AF333" s="174"/>
      <c r="AG333" s="16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65"/>
      <c r="AR333" s="173"/>
      <c r="AS333" s="173"/>
      <c r="AT333" s="173"/>
      <c r="AU333" s="173"/>
      <c r="AV333" s="173"/>
      <c r="AW333" s="173"/>
      <c r="AX333" s="173"/>
      <c r="AY333" s="173"/>
      <c r="AZ333" s="173"/>
      <c r="BB333" s="174"/>
      <c r="BC333" s="36"/>
    </row>
    <row r="334" spans="2:55" x14ac:dyDescent="0.3">
      <c r="B334" s="133"/>
      <c r="C334" s="86"/>
      <c r="E334" s="86"/>
      <c r="F334" s="86"/>
      <c r="G334" s="86"/>
      <c r="H334" s="134"/>
      <c r="I334" s="86"/>
      <c r="J334" s="134"/>
      <c r="K334" s="86"/>
      <c r="L334" s="86"/>
      <c r="M334" s="173"/>
      <c r="N334" s="173"/>
      <c r="O334" s="173"/>
      <c r="P334" s="173"/>
      <c r="Q334" s="173"/>
      <c r="R334" s="173"/>
      <c r="S334" s="173"/>
      <c r="T334" s="173"/>
      <c r="U334" s="173"/>
      <c r="V334" s="165"/>
      <c r="W334" s="173"/>
      <c r="X334" s="173"/>
      <c r="Y334" s="173"/>
      <c r="Z334" s="173"/>
      <c r="AA334" s="173"/>
      <c r="AB334" s="173"/>
      <c r="AC334" s="173"/>
      <c r="AD334" s="173"/>
      <c r="AE334" s="173"/>
      <c r="AF334" s="174"/>
      <c r="AG334" s="16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65"/>
      <c r="AR334" s="173"/>
      <c r="AS334" s="173"/>
      <c r="AT334" s="173"/>
      <c r="AU334" s="173"/>
      <c r="AV334" s="173"/>
      <c r="AW334" s="173"/>
      <c r="AX334" s="173"/>
      <c r="AY334" s="173"/>
      <c r="AZ334" s="173"/>
      <c r="BB334" s="174"/>
      <c r="BC334" s="36"/>
    </row>
    <row r="335" spans="2:55" x14ac:dyDescent="0.3">
      <c r="B335" s="133"/>
      <c r="C335" s="86"/>
      <c r="E335" s="86"/>
      <c r="F335" s="86"/>
      <c r="G335" s="86"/>
      <c r="H335" s="134"/>
      <c r="I335" s="86"/>
      <c r="J335" s="134"/>
      <c r="K335" s="86"/>
      <c r="L335" s="86"/>
      <c r="M335" s="173"/>
      <c r="N335" s="173"/>
      <c r="O335" s="173"/>
      <c r="P335" s="173"/>
      <c r="Q335" s="173"/>
      <c r="R335" s="173"/>
      <c r="S335" s="173"/>
      <c r="T335" s="173"/>
      <c r="U335" s="173"/>
      <c r="V335" s="165"/>
      <c r="W335" s="173"/>
      <c r="X335" s="173"/>
      <c r="Y335" s="173"/>
      <c r="Z335" s="173"/>
      <c r="AA335" s="173"/>
      <c r="AB335" s="173"/>
      <c r="AC335" s="173"/>
      <c r="AD335" s="173"/>
      <c r="AE335" s="173"/>
      <c r="AF335" s="174"/>
      <c r="AG335" s="16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65"/>
      <c r="AR335" s="173"/>
      <c r="AS335" s="173"/>
      <c r="AT335" s="173"/>
      <c r="AU335" s="173"/>
      <c r="AV335" s="173"/>
      <c r="AW335" s="173"/>
      <c r="AX335" s="173"/>
      <c r="AY335" s="173"/>
      <c r="AZ335" s="173"/>
      <c r="BB335" s="174"/>
      <c r="BC335" s="36"/>
    </row>
    <row r="336" spans="2:55" x14ac:dyDescent="0.3">
      <c r="B336" s="133"/>
      <c r="C336" s="86"/>
      <c r="E336" s="86"/>
      <c r="F336" s="86"/>
      <c r="G336" s="86"/>
      <c r="H336" s="134"/>
      <c r="I336" s="86"/>
      <c r="J336" s="134"/>
      <c r="K336" s="86"/>
      <c r="L336" s="86"/>
      <c r="M336" s="173"/>
      <c r="N336" s="173"/>
      <c r="O336" s="173"/>
      <c r="P336" s="173"/>
      <c r="Q336" s="173"/>
      <c r="R336" s="173"/>
      <c r="S336" s="173"/>
      <c r="T336" s="173"/>
      <c r="U336" s="173"/>
      <c r="V336" s="165"/>
      <c r="W336" s="173"/>
      <c r="X336" s="173"/>
      <c r="Y336" s="173"/>
      <c r="Z336" s="173"/>
      <c r="AA336" s="173"/>
      <c r="AB336" s="173"/>
      <c r="AC336" s="173"/>
      <c r="AD336" s="173"/>
      <c r="AE336" s="173"/>
      <c r="AF336" s="174"/>
      <c r="AG336" s="16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65"/>
      <c r="AR336" s="173"/>
      <c r="AS336" s="173"/>
      <c r="AT336" s="173"/>
      <c r="AU336" s="173"/>
      <c r="AV336" s="173"/>
      <c r="AW336" s="173"/>
      <c r="AX336" s="173"/>
      <c r="AY336" s="173"/>
      <c r="AZ336" s="173"/>
      <c r="BB336" s="174"/>
      <c r="BC336" s="36"/>
    </row>
    <row r="337" spans="2:55" x14ac:dyDescent="0.3">
      <c r="B337" s="133"/>
      <c r="C337" s="86"/>
      <c r="E337" s="86"/>
      <c r="F337" s="86"/>
      <c r="G337" s="86"/>
      <c r="H337" s="134"/>
      <c r="I337" s="86"/>
      <c r="J337" s="134"/>
      <c r="K337" s="86"/>
      <c r="L337" s="86"/>
      <c r="M337" s="173"/>
      <c r="N337" s="173"/>
      <c r="O337" s="173"/>
      <c r="P337" s="173"/>
      <c r="Q337" s="173"/>
      <c r="R337" s="173"/>
      <c r="S337" s="173"/>
      <c r="T337" s="173"/>
      <c r="U337" s="173"/>
      <c r="V337" s="165"/>
      <c r="W337" s="173"/>
      <c r="X337" s="173"/>
      <c r="Y337" s="173"/>
      <c r="Z337" s="173"/>
      <c r="AA337" s="173"/>
      <c r="AB337" s="173"/>
      <c r="AC337" s="173"/>
      <c r="AD337" s="173"/>
      <c r="AE337" s="173"/>
      <c r="AF337" s="174"/>
      <c r="AG337" s="16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65"/>
      <c r="AR337" s="173"/>
      <c r="AS337" s="173"/>
      <c r="AT337" s="173"/>
      <c r="AU337" s="173"/>
      <c r="AV337" s="173"/>
      <c r="AW337" s="173"/>
      <c r="AX337" s="173"/>
      <c r="AY337" s="173"/>
      <c r="AZ337" s="173"/>
      <c r="BB337" s="174"/>
      <c r="BC337" s="36"/>
    </row>
    <row r="338" spans="2:55" x14ac:dyDescent="0.3">
      <c r="B338" s="133"/>
      <c r="C338" s="86"/>
      <c r="E338" s="86"/>
      <c r="F338" s="86"/>
      <c r="G338" s="86"/>
      <c r="H338" s="134"/>
      <c r="I338" s="86"/>
      <c r="J338" s="134"/>
      <c r="K338" s="86"/>
      <c r="L338" s="86"/>
      <c r="M338" s="173"/>
      <c r="N338" s="173"/>
      <c r="O338" s="173"/>
      <c r="P338" s="173"/>
      <c r="Q338" s="173"/>
      <c r="R338" s="173"/>
      <c r="S338" s="173"/>
      <c r="T338" s="173"/>
      <c r="U338" s="173"/>
      <c r="V338" s="165"/>
      <c r="W338" s="173"/>
      <c r="X338" s="173"/>
      <c r="Y338" s="173"/>
      <c r="Z338" s="173"/>
      <c r="AA338" s="173"/>
      <c r="AB338" s="173"/>
      <c r="AC338" s="173"/>
      <c r="AD338" s="173"/>
      <c r="AE338" s="173"/>
      <c r="AF338" s="174"/>
      <c r="AG338" s="16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65"/>
      <c r="AR338" s="173"/>
      <c r="AS338" s="173"/>
      <c r="AT338" s="173"/>
      <c r="AU338" s="173"/>
      <c r="AV338" s="173"/>
      <c r="AW338" s="173"/>
      <c r="AX338" s="173"/>
      <c r="AY338" s="173"/>
      <c r="AZ338" s="173"/>
      <c r="BB338" s="174"/>
      <c r="BC338" s="36"/>
    </row>
    <row r="339" spans="2:55" x14ac:dyDescent="0.3">
      <c r="B339" s="133"/>
      <c r="C339" s="86"/>
      <c r="E339" s="86"/>
      <c r="F339" s="86"/>
      <c r="G339" s="86"/>
      <c r="H339" s="134"/>
      <c r="I339" s="86"/>
      <c r="J339" s="134"/>
      <c r="K339" s="86"/>
      <c r="L339" s="86"/>
      <c r="M339" s="173"/>
      <c r="N339" s="173"/>
      <c r="O339" s="173"/>
      <c r="P339" s="173"/>
      <c r="Q339" s="173"/>
      <c r="R339" s="173"/>
      <c r="S339" s="173"/>
      <c r="T339" s="173"/>
      <c r="U339" s="173"/>
      <c r="V339" s="165"/>
      <c r="W339" s="173"/>
      <c r="X339" s="173"/>
      <c r="Y339" s="173"/>
      <c r="Z339" s="173"/>
      <c r="AA339" s="173"/>
      <c r="AB339" s="173"/>
      <c r="AC339" s="173"/>
      <c r="AD339" s="173"/>
      <c r="AE339" s="173"/>
      <c r="AF339" s="174"/>
      <c r="AG339" s="16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65"/>
      <c r="AR339" s="173"/>
      <c r="AS339" s="173"/>
      <c r="AT339" s="173"/>
      <c r="AU339" s="173"/>
      <c r="AV339" s="173"/>
      <c r="AW339" s="173"/>
      <c r="AX339" s="173"/>
      <c r="AY339" s="173"/>
      <c r="AZ339" s="173"/>
      <c r="BB339" s="174"/>
      <c r="BC339" s="36"/>
    </row>
    <row r="340" spans="2:55" x14ac:dyDescent="0.3">
      <c r="B340" s="133"/>
      <c r="C340" s="86"/>
      <c r="E340" s="86"/>
      <c r="F340" s="86"/>
      <c r="G340" s="86"/>
      <c r="H340" s="134"/>
      <c r="I340" s="86"/>
      <c r="J340" s="134"/>
      <c r="K340" s="86"/>
      <c r="L340" s="86"/>
      <c r="M340" s="173"/>
      <c r="N340" s="173"/>
      <c r="O340" s="173"/>
      <c r="P340" s="173"/>
      <c r="Q340" s="173"/>
      <c r="R340" s="173"/>
      <c r="S340" s="173"/>
      <c r="T340" s="173"/>
      <c r="U340" s="173"/>
      <c r="V340" s="165"/>
      <c r="W340" s="173"/>
      <c r="X340" s="173"/>
      <c r="Y340" s="173"/>
      <c r="Z340" s="173"/>
      <c r="AA340" s="173"/>
      <c r="AB340" s="173"/>
      <c r="AC340" s="173"/>
      <c r="AD340" s="173"/>
      <c r="AE340" s="173"/>
      <c r="AF340" s="174"/>
      <c r="AG340" s="16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65"/>
      <c r="AR340" s="173"/>
      <c r="AS340" s="173"/>
      <c r="AT340" s="173"/>
      <c r="AU340" s="173"/>
      <c r="AV340" s="173"/>
      <c r="AW340" s="173"/>
      <c r="AX340" s="173"/>
      <c r="AY340" s="173"/>
      <c r="AZ340" s="173"/>
      <c r="BB340" s="174"/>
      <c r="BC340" s="36"/>
    </row>
    <row r="341" spans="2:55" x14ac:dyDescent="0.3">
      <c r="B341" s="133"/>
      <c r="C341" s="86"/>
      <c r="E341" s="86"/>
      <c r="F341" s="86"/>
      <c r="G341" s="86"/>
      <c r="H341" s="134"/>
      <c r="I341" s="86"/>
      <c r="J341" s="134"/>
      <c r="K341" s="86"/>
      <c r="L341" s="86"/>
      <c r="M341" s="173"/>
      <c r="N341" s="173"/>
      <c r="O341" s="173"/>
      <c r="P341" s="173"/>
      <c r="Q341" s="173"/>
      <c r="R341" s="173"/>
      <c r="S341" s="173"/>
      <c r="T341" s="173"/>
      <c r="U341" s="173"/>
      <c r="V341" s="165"/>
      <c r="W341" s="173"/>
      <c r="X341" s="173"/>
      <c r="Y341" s="173"/>
      <c r="Z341" s="173"/>
      <c r="AA341" s="173"/>
      <c r="AB341" s="173"/>
      <c r="AC341" s="173"/>
      <c r="AD341" s="173"/>
      <c r="AE341" s="173"/>
      <c r="AF341" s="174"/>
      <c r="AG341" s="16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65"/>
      <c r="AR341" s="173"/>
      <c r="AS341" s="173"/>
      <c r="AT341" s="173"/>
      <c r="AU341" s="173"/>
      <c r="AV341" s="173"/>
      <c r="AW341" s="173"/>
      <c r="AX341" s="173"/>
      <c r="AY341" s="173"/>
      <c r="AZ341" s="173"/>
      <c r="BB341" s="174"/>
      <c r="BC341" s="36"/>
    </row>
    <row r="342" spans="2:55" x14ac:dyDescent="0.3">
      <c r="B342" s="133"/>
      <c r="C342" s="86"/>
      <c r="E342" s="86"/>
      <c r="F342" s="86"/>
      <c r="G342" s="86"/>
      <c r="H342" s="134"/>
      <c r="I342" s="86"/>
      <c r="J342" s="134"/>
      <c r="K342" s="86"/>
      <c r="L342" s="86"/>
      <c r="M342" s="173"/>
      <c r="N342" s="173"/>
      <c r="O342" s="173"/>
      <c r="P342" s="173"/>
      <c r="Q342" s="173"/>
      <c r="R342" s="173"/>
      <c r="S342" s="173"/>
      <c r="T342" s="173"/>
      <c r="U342" s="173"/>
      <c r="V342" s="165"/>
      <c r="W342" s="173"/>
      <c r="X342" s="173"/>
      <c r="Y342" s="173"/>
      <c r="Z342" s="173"/>
      <c r="AA342" s="173"/>
      <c r="AB342" s="173"/>
      <c r="AC342" s="173"/>
      <c r="AD342" s="173"/>
      <c r="AE342" s="173"/>
      <c r="AF342" s="174"/>
      <c r="AG342" s="16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65"/>
      <c r="AR342" s="173"/>
      <c r="AS342" s="173"/>
      <c r="AT342" s="173"/>
      <c r="AU342" s="173"/>
      <c r="AV342" s="173"/>
      <c r="AW342" s="173"/>
      <c r="AX342" s="173"/>
      <c r="AY342" s="173"/>
      <c r="AZ342" s="173"/>
      <c r="BB342" s="174"/>
      <c r="BC342" s="36"/>
    </row>
    <row r="343" spans="2:55" x14ac:dyDescent="0.3">
      <c r="B343" s="133"/>
      <c r="C343" s="86"/>
      <c r="E343" s="86"/>
      <c r="F343" s="86"/>
      <c r="G343" s="86"/>
      <c r="H343" s="134"/>
      <c r="I343" s="86"/>
      <c r="J343" s="134"/>
      <c r="K343" s="86"/>
      <c r="L343" s="86"/>
      <c r="M343" s="173"/>
      <c r="N343" s="173"/>
      <c r="O343" s="173"/>
      <c r="P343" s="173"/>
      <c r="Q343" s="173"/>
      <c r="R343" s="173"/>
      <c r="S343" s="173"/>
      <c r="T343" s="173"/>
      <c r="U343" s="173"/>
      <c r="V343" s="165"/>
      <c r="W343" s="173"/>
      <c r="X343" s="173"/>
      <c r="Y343" s="173"/>
      <c r="Z343" s="173"/>
      <c r="AA343" s="173"/>
      <c r="AB343" s="173"/>
      <c r="AC343" s="173"/>
      <c r="AD343" s="173"/>
      <c r="AE343" s="173"/>
      <c r="AF343" s="174"/>
      <c r="AG343" s="16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65"/>
      <c r="AR343" s="173"/>
      <c r="AS343" s="173"/>
      <c r="AT343" s="173"/>
      <c r="AU343" s="173"/>
      <c r="AV343" s="173"/>
      <c r="AW343" s="173"/>
      <c r="AX343" s="173"/>
      <c r="AY343" s="173"/>
      <c r="AZ343" s="173"/>
      <c r="BB343" s="174"/>
      <c r="BC343" s="36"/>
    </row>
    <row r="344" spans="2:55" x14ac:dyDescent="0.3">
      <c r="B344" s="133"/>
      <c r="C344" s="86"/>
      <c r="E344" s="86"/>
      <c r="F344" s="86"/>
      <c r="G344" s="86"/>
      <c r="H344" s="134"/>
      <c r="I344" s="86"/>
      <c r="J344" s="134"/>
      <c r="K344" s="86"/>
      <c r="L344" s="86"/>
      <c r="M344" s="173"/>
      <c r="N344" s="173"/>
      <c r="O344" s="173"/>
      <c r="P344" s="173"/>
      <c r="Q344" s="173"/>
      <c r="R344" s="173"/>
      <c r="S344" s="173"/>
      <c r="T344" s="173"/>
      <c r="U344" s="173"/>
      <c r="V344" s="165"/>
      <c r="W344" s="173"/>
      <c r="X344" s="173"/>
      <c r="Y344" s="173"/>
      <c r="Z344" s="173"/>
      <c r="AA344" s="173"/>
      <c r="AB344" s="173"/>
      <c r="AC344" s="173"/>
      <c r="AD344" s="173"/>
      <c r="AE344" s="173"/>
      <c r="AF344" s="174"/>
      <c r="AG344" s="16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65"/>
      <c r="AR344" s="173"/>
      <c r="AS344" s="173"/>
      <c r="AT344" s="173"/>
      <c r="AU344" s="173"/>
      <c r="AV344" s="173"/>
      <c r="AW344" s="173"/>
      <c r="AX344" s="173"/>
      <c r="AY344" s="173"/>
      <c r="AZ344" s="173"/>
      <c r="BB344" s="174"/>
      <c r="BC344" s="36"/>
    </row>
    <row r="345" spans="2:55" x14ac:dyDescent="0.3">
      <c r="B345" s="133"/>
      <c r="C345" s="86"/>
      <c r="E345" s="86"/>
      <c r="F345" s="86"/>
      <c r="G345" s="86"/>
      <c r="H345" s="134"/>
      <c r="I345" s="86"/>
      <c r="J345" s="134"/>
      <c r="K345" s="86"/>
      <c r="L345" s="86"/>
      <c r="M345" s="173"/>
      <c r="N345" s="173"/>
      <c r="O345" s="173"/>
      <c r="P345" s="173"/>
      <c r="Q345" s="173"/>
      <c r="R345" s="173"/>
      <c r="S345" s="173"/>
      <c r="T345" s="173"/>
      <c r="U345" s="173"/>
      <c r="V345" s="165"/>
      <c r="W345" s="173"/>
      <c r="X345" s="173"/>
      <c r="Y345" s="173"/>
      <c r="Z345" s="173"/>
      <c r="AA345" s="173"/>
      <c r="AB345" s="173"/>
      <c r="AC345" s="173"/>
      <c r="AD345" s="173"/>
      <c r="AE345" s="173"/>
      <c r="AF345" s="174"/>
      <c r="AG345" s="16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65"/>
      <c r="AR345" s="173"/>
      <c r="AS345" s="173"/>
      <c r="AT345" s="173"/>
      <c r="AU345" s="173"/>
      <c r="AV345" s="173"/>
      <c r="AW345" s="173"/>
      <c r="AX345" s="173"/>
      <c r="AY345" s="173"/>
      <c r="AZ345" s="173"/>
      <c r="BB345" s="174"/>
      <c r="BC345" s="36"/>
    </row>
    <row r="346" spans="2:55" x14ac:dyDescent="0.3">
      <c r="B346" s="133"/>
      <c r="C346" s="86"/>
      <c r="E346" s="86"/>
      <c r="F346" s="86"/>
      <c r="G346" s="86"/>
      <c r="H346" s="134"/>
      <c r="I346" s="86"/>
      <c r="J346" s="134"/>
      <c r="K346" s="86"/>
      <c r="L346" s="86"/>
      <c r="M346" s="173"/>
      <c r="N346" s="173"/>
      <c r="O346" s="173"/>
      <c r="P346" s="173"/>
      <c r="Q346" s="173"/>
      <c r="R346" s="173"/>
      <c r="S346" s="173"/>
      <c r="T346" s="173"/>
      <c r="U346" s="173"/>
      <c r="V346" s="165"/>
      <c r="W346" s="173"/>
      <c r="X346" s="173"/>
      <c r="Y346" s="173"/>
      <c r="Z346" s="173"/>
      <c r="AA346" s="173"/>
      <c r="AB346" s="173"/>
      <c r="AC346" s="173"/>
      <c r="AD346" s="173"/>
      <c r="AE346" s="173"/>
      <c r="AF346" s="174"/>
      <c r="AG346" s="16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65"/>
      <c r="AR346" s="173"/>
      <c r="AS346" s="173"/>
      <c r="AT346" s="173"/>
      <c r="AU346" s="173"/>
      <c r="AV346" s="173"/>
      <c r="AW346" s="173"/>
      <c r="AX346" s="173"/>
      <c r="AY346" s="173"/>
      <c r="AZ346" s="173"/>
      <c r="BB346" s="174"/>
      <c r="BC346" s="36"/>
    </row>
    <row r="347" spans="2:55" x14ac:dyDescent="0.3">
      <c r="B347" s="133"/>
      <c r="C347" s="86"/>
      <c r="E347" s="86"/>
      <c r="F347" s="86"/>
      <c r="G347" s="86"/>
      <c r="H347" s="134"/>
      <c r="I347" s="86"/>
      <c r="J347" s="134"/>
      <c r="K347" s="86"/>
      <c r="L347" s="86"/>
      <c r="M347" s="173"/>
      <c r="N347" s="173"/>
      <c r="O347" s="173"/>
      <c r="P347" s="173"/>
      <c r="Q347" s="173"/>
      <c r="R347" s="173"/>
      <c r="S347" s="173"/>
      <c r="T347" s="173"/>
      <c r="U347" s="173"/>
      <c r="V347" s="165"/>
      <c r="W347" s="173"/>
      <c r="X347" s="173"/>
      <c r="Y347" s="173"/>
      <c r="Z347" s="173"/>
      <c r="AA347" s="173"/>
      <c r="AB347" s="173"/>
      <c r="AC347" s="173"/>
      <c r="AD347" s="173"/>
      <c r="AE347" s="173"/>
      <c r="AF347" s="174"/>
      <c r="AG347" s="16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65"/>
      <c r="AR347" s="173"/>
      <c r="AS347" s="173"/>
      <c r="AT347" s="173"/>
      <c r="AU347" s="173"/>
      <c r="AV347" s="173"/>
      <c r="AW347" s="173"/>
      <c r="AX347" s="173"/>
      <c r="AY347" s="173"/>
      <c r="AZ347" s="173"/>
      <c r="BB347" s="174"/>
      <c r="BC347" s="36"/>
    </row>
    <row r="348" spans="2:55" x14ac:dyDescent="0.3">
      <c r="B348" s="133"/>
      <c r="C348" s="86"/>
      <c r="E348" s="86"/>
      <c r="F348" s="86"/>
      <c r="G348" s="86"/>
      <c r="H348" s="134"/>
      <c r="I348" s="86"/>
      <c r="J348" s="134"/>
      <c r="K348" s="86"/>
      <c r="L348" s="86"/>
      <c r="M348" s="173"/>
      <c r="N348" s="173"/>
      <c r="O348" s="173"/>
      <c r="P348" s="173"/>
      <c r="Q348" s="173"/>
      <c r="R348" s="173"/>
      <c r="S348" s="173"/>
      <c r="T348" s="173"/>
      <c r="U348" s="173"/>
      <c r="V348" s="165"/>
      <c r="W348" s="173"/>
      <c r="X348" s="173"/>
      <c r="Y348" s="173"/>
      <c r="Z348" s="173"/>
      <c r="AA348" s="173"/>
      <c r="AB348" s="173"/>
      <c r="AC348" s="173"/>
      <c r="AD348" s="173"/>
      <c r="AE348" s="173"/>
      <c r="AF348" s="174"/>
      <c r="AG348" s="16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65"/>
      <c r="AR348" s="173"/>
      <c r="AS348" s="173"/>
      <c r="AT348" s="173"/>
      <c r="AU348" s="173"/>
      <c r="AV348" s="173"/>
      <c r="AW348" s="173"/>
      <c r="AX348" s="173"/>
      <c r="AY348" s="173"/>
      <c r="AZ348" s="173"/>
      <c r="BB348" s="174"/>
      <c r="BC348" s="36"/>
    </row>
    <row r="349" spans="2:55" x14ac:dyDescent="0.3">
      <c r="B349" s="133"/>
      <c r="C349" s="86"/>
      <c r="E349" s="86"/>
      <c r="F349" s="86"/>
      <c r="G349" s="86"/>
      <c r="H349" s="134"/>
      <c r="I349" s="86"/>
      <c r="J349" s="134"/>
      <c r="K349" s="86"/>
      <c r="L349" s="86"/>
      <c r="M349" s="173"/>
      <c r="N349" s="173"/>
      <c r="O349" s="173"/>
      <c r="P349" s="173"/>
      <c r="Q349" s="173"/>
      <c r="R349" s="173"/>
      <c r="S349" s="173"/>
      <c r="T349" s="173"/>
      <c r="U349" s="173"/>
      <c r="V349" s="165"/>
      <c r="W349" s="173"/>
      <c r="X349" s="173"/>
      <c r="Y349" s="173"/>
      <c r="Z349" s="173"/>
      <c r="AA349" s="173"/>
      <c r="AB349" s="173"/>
      <c r="AC349" s="173"/>
      <c r="AD349" s="173"/>
      <c r="AE349" s="173"/>
      <c r="AF349" s="174"/>
      <c r="AG349" s="16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65"/>
      <c r="AR349" s="173"/>
      <c r="AS349" s="173"/>
      <c r="AT349" s="173"/>
      <c r="AU349" s="173"/>
      <c r="AV349" s="173"/>
      <c r="AW349" s="173"/>
      <c r="AX349" s="173"/>
      <c r="AY349" s="173"/>
      <c r="AZ349" s="173"/>
      <c r="BB349" s="174"/>
      <c r="BC349" s="36"/>
    </row>
    <row r="350" spans="2:55" x14ac:dyDescent="0.3">
      <c r="B350" s="133"/>
      <c r="C350" s="86"/>
      <c r="E350" s="86"/>
      <c r="F350" s="86"/>
      <c r="G350" s="86"/>
      <c r="H350" s="134"/>
      <c r="I350" s="86"/>
      <c r="J350" s="134"/>
      <c r="K350" s="86"/>
      <c r="L350" s="86"/>
      <c r="M350" s="173"/>
      <c r="N350" s="173"/>
      <c r="O350" s="173"/>
      <c r="P350" s="173"/>
      <c r="Q350" s="173"/>
      <c r="R350" s="173"/>
      <c r="S350" s="173"/>
      <c r="T350" s="173"/>
      <c r="U350" s="173"/>
      <c r="V350" s="165"/>
      <c r="W350" s="173"/>
      <c r="X350" s="173"/>
      <c r="Y350" s="173"/>
      <c r="Z350" s="173"/>
      <c r="AA350" s="173"/>
      <c r="AB350" s="173"/>
      <c r="AC350" s="173"/>
      <c r="AD350" s="173"/>
      <c r="AE350" s="173"/>
      <c r="AF350" s="174"/>
      <c r="AG350" s="16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65"/>
      <c r="AR350" s="173"/>
      <c r="AS350" s="173"/>
      <c r="AT350" s="173"/>
      <c r="AU350" s="173"/>
      <c r="AV350" s="173"/>
      <c r="AW350" s="173"/>
      <c r="AX350" s="173"/>
      <c r="AY350" s="173"/>
      <c r="AZ350" s="173"/>
      <c r="BB350" s="174"/>
      <c r="BC350" s="36"/>
    </row>
    <row r="351" spans="2:55" x14ac:dyDescent="0.3">
      <c r="B351" s="133"/>
      <c r="C351" s="86"/>
      <c r="E351" s="86"/>
      <c r="F351" s="86"/>
      <c r="G351" s="86"/>
      <c r="H351" s="134"/>
      <c r="I351" s="86"/>
      <c r="J351" s="134"/>
      <c r="K351" s="86"/>
      <c r="L351" s="86"/>
      <c r="M351" s="173"/>
      <c r="N351" s="173"/>
      <c r="O351" s="173"/>
      <c r="P351" s="173"/>
      <c r="Q351" s="173"/>
      <c r="R351" s="173"/>
      <c r="S351" s="173"/>
      <c r="T351" s="173"/>
      <c r="U351" s="173"/>
      <c r="V351" s="165"/>
      <c r="W351" s="173"/>
      <c r="X351" s="173"/>
      <c r="Y351" s="173"/>
      <c r="Z351" s="173"/>
      <c r="AA351" s="173"/>
      <c r="AB351" s="173"/>
      <c r="AC351" s="173"/>
      <c r="AD351" s="173"/>
      <c r="AE351" s="173"/>
      <c r="AF351" s="174"/>
      <c r="AG351" s="16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65"/>
      <c r="AR351" s="173"/>
      <c r="AS351" s="173"/>
      <c r="AT351" s="173"/>
      <c r="AU351" s="173"/>
      <c r="AV351" s="173"/>
      <c r="AW351" s="173"/>
      <c r="AX351" s="173"/>
      <c r="AY351" s="173"/>
      <c r="AZ351" s="173"/>
      <c r="BB351" s="174"/>
      <c r="BC351" s="36"/>
    </row>
    <row r="352" spans="2:55" x14ac:dyDescent="0.3">
      <c r="B352" s="133"/>
      <c r="C352" s="86"/>
      <c r="E352" s="86"/>
      <c r="F352" s="86"/>
      <c r="G352" s="86"/>
      <c r="H352" s="134"/>
      <c r="I352" s="86"/>
      <c r="J352" s="134"/>
      <c r="K352" s="86"/>
      <c r="L352" s="86"/>
      <c r="M352" s="173"/>
      <c r="N352" s="173"/>
      <c r="O352" s="173"/>
      <c r="P352" s="173"/>
      <c r="Q352" s="173"/>
      <c r="R352" s="173"/>
      <c r="S352" s="173"/>
      <c r="T352" s="173"/>
      <c r="U352" s="173"/>
      <c r="V352" s="165"/>
      <c r="W352" s="173"/>
      <c r="X352" s="173"/>
      <c r="Y352" s="173"/>
      <c r="Z352" s="173"/>
      <c r="AA352" s="173"/>
      <c r="AB352" s="173"/>
      <c r="AC352" s="173"/>
      <c r="AD352" s="173"/>
      <c r="AE352" s="173"/>
      <c r="AF352" s="174"/>
      <c r="AG352" s="16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65"/>
      <c r="AR352" s="173"/>
      <c r="AS352" s="173"/>
      <c r="AT352" s="173"/>
      <c r="AU352" s="173"/>
      <c r="AV352" s="173"/>
      <c r="AW352" s="173"/>
      <c r="AX352" s="173"/>
      <c r="AY352" s="173"/>
      <c r="AZ352" s="173"/>
      <c r="BB352" s="174"/>
      <c r="BC352" s="36"/>
    </row>
    <row r="353" spans="2:55" x14ac:dyDescent="0.3">
      <c r="B353" s="133"/>
      <c r="C353" s="86"/>
      <c r="E353" s="86"/>
      <c r="F353" s="86"/>
      <c r="G353" s="86"/>
      <c r="H353" s="134"/>
      <c r="I353" s="86"/>
      <c r="J353" s="134"/>
      <c r="K353" s="86"/>
      <c r="L353" s="86"/>
      <c r="M353" s="173"/>
      <c r="N353" s="173"/>
      <c r="O353" s="173"/>
      <c r="P353" s="173"/>
      <c r="Q353" s="173"/>
      <c r="R353" s="173"/>
      <c r="S353" s="173"/>
      <c r="T353" s="173"/>
      <c r="U353" s="173"/>
      <c r="V353" s="165"/>
      <c r="W353" s="173"/>
      <c r="X353" s="173"/>
      <c r="Y353" s="173"/>
      <c r="Z353" s="173"/>
      <c r="AA353" s="173"/>
      <c r="AB353" s="173"/>
      <c r="AC353" s="173"/>
      <c r="AD353" s="173"/>
      <c r="AE353" s="173"/>
      <c r="AF353" s="174"/>
      <c r="AG353" s="16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65"/>
      <c r="AR353" s="173"/>
      <c r="AS353" s="173"/>
      <c r="AT353" s="173"/>
      <c r="AU353" s="173"/>
      <c r="AV353" s="173"/>
      <c r="AW353" s="173"/>
      <c r="AX353" s="173"/>
      <c r="AY353" s="173"/>
      <c r="AZ353" s="173"/>
      <c r="BB353" s="174"/>
      <c r="BC353" s="36"/>
    </row>
    <row r="354" spans="2:55" x14ac:dyDescent="0.3">
      <c r="B354" s="133"/>
      <c r="C354" s="86"/>
      <c r="E354" s="86"/>
      <c r="F354" s="86"/>
      <c r="G354" s="86"/>
      <c r="H354" s="134"/>
      <c r="I354" s="86"/>
      <c r="J354" s="134"/>
      <c r="K354" s="86"/>
      <c r="L354" s="86"/>
      <c r="M354" s="173"/>
      <c r="N354" s="173"/>
      <c r="O354" s="173"/>
      <c r="P354" s="173"/>
      <c r="Q354" s="173"/>
      <c r="R354" s="173"/>
      <c r="S354" s="173"/>
      <c r="T354" s="173"/>
      <c r="U354" s="173"/>
      <c r="V354" s="165"/>
      <c r="W354" s="173"/>
      <c r="X354" s="173"/>
      <c r="Y354" s="173"/>
      <c r="Z354" s="173"/>
      <c r="AA354" s="173"/>
      <c r="AB354" s="173"/>
      <c r="AC354" s="173"/>
      <c r="AD354" s="173"/>
      <c r="AE354" s="173"/>
      <c r="AF354" s="174"/>
      <c r="AG354" s="16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65"/>
      <c r="AR354" s="173"/>
      <c r="AS354" s="173"/>
      <c r="AT354" s="173"/>
      <c r="AU354" s="173"/>
      <c r="AV354" s="173"/>
      <c r="AW354" s="173"/>
      <c r="AX354" s="173"/>
      <c r="AY354" s="173"/>
      <c r="AZ354" s="173"/>
      <c r="BB354" s="174"/>
      <c r="BC354" s="36"/>
    </row>
    <row r="355" spans="2:55" x14ac:dyDescent="0.3">
      <c r="B355" s="133"/>
      <c r="C355" s="86"/>
      <c r="E355" s="86"/>
      <c r="F355" s="86"/>
      <c r="G355" s="86"/>
      <c r="H355" s="134"/>
      <c r="I355" s="86"/>
      <c r="J355" s="134"/>
      <c r="K355" s="86"/>
      <c r="L355" s="86"/>
      <c r="M355" s="173"/>
      <c r="N355" s="173"/>
      <c r="O355" s="173"/>
      <c r="P355" s="173"/>
      <c r="Q355" s="173"/>
      <c r="R355" s="173"/>
      <c r="S355" s="173"/>
      <c r="T355" s="173"/>
      <c r="U355" s="173"/>
      <c r="V355" s="165"/>
      <c r="W355" s="173"/>
      <c r="X355" s="173"/>
      <c r="Y355" s="173"/>
      <c r="Z355" s="173"/>
      <c r="AA355" s="173"/>
      <c r="AB355" s="173"/>
      <c r="AC355" s="173"/>
      <c r="AD355" s="173"/>
      <c r="AE355" s="173"/>
      <c r="AF355" s="174"/>
      <c r="AG355" s="16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65"/>
      <c r="AR355" s="173"/>
      <c r="AS355" s="173"/>
      <c r="AT355" s="173"/>
      <c r="AU355" s="173"/>
      <c r="AV355" s="173"/>
      <c r="AW355" s="173"/>
      <c r="AX355" s="173"/>
      <c r="AY355" s="173"/>
      <c r="AZ355" s="173"/>
      <c r="BB355" s="174"/>
      <c r="BC355" s="36"/>
    </row>
    <row r="356" spans="2:55" x14ac:dyDescent="0.3">
      <c r="B356" s="133"/>
      <c r="C356" s="86"/>
      <c r="E356" s="86"/>
      <c r="F356" s="86"/>
      <c r="G356" s="86"/>
      <c r="H356" s="134"/>
      <c r="I356" s="86"/>
      <c r="J356" s="134"/>
      <c r="K356" s="86"/>
      <c r="L356" s="86"/>
      <c r="M356" s="173"/>
      <c r="N356" s="173"/>
      <c r="O356" s="173"/>
      <c r="P356" s="173"/>
      <c r="Q356" s="173"/>
      <c r="R356" s="173"/>
      <c r="S356" s="173"/>
      <c r="T356" s="173"/>
      <c r="U356" s="173"/>
      <c r="V356" s="165"/>
      <c r="W356" s="173"/>
      <c r="X356" s="173"/>
      <c r="Y356" s="173"/>
      <c r="Z356" s="173"/>
      <c r="AA356" s="173"/>
      <c r="AB356" s="173"/>
      <c r="AC356" s="173"/>
      <c r="AD356" s="173"/>
      <c r="AE356" s="173"/>
      <c r="AF356" s="174"/>
      <c r="AG356" s="16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65"/>
      <c r="AR356" s="173"/>
      <c r="AS356" s="173"/>
      <c r="AT356" s="173"/>
      <c r="AU356" s="173"/>
      <c r="AV356" s="173"/>
      <c r="AW356" s="173"/>
      <c r="AX356" s="173"/>
      <c r="AY356" s="173"/>
      <c r="AZ356" s="173"/>
      <c r="BB356" s="174"/>
      <c r="BC356" s="36"/>
    </row>
    <row r="357" spans="2:55" x14ac:dyDescent="0.3">
      <c r="B357" s="133"/>
      <c r="C357" s="86"/>
      <c r="E357" s="86"/>
      <c r="F357" s="86"/>
      <c r="G357" s="86"/>
      <c r="H357" s="134"/>
      <c r="I357" s="86"/>
      <c r="J357" s="134"/>
      <c r="K357" s="86"/>
      <c r="L357" s="86"/>
      <c r="M357" s="173"/>
      <c r="N357" s="173"/>
      <c r="O357" s="173"/>
      <c r="P357" s="173"/>
      <c r="Q357" s="173"/>
      <c r="R357" s="173"/>
      <c r="S357" s="173"/>
      <c r="T357" s="173"/>
      <c r="U357" s="173"/>
      <c r="V357" s="165"/>
      <c r="W357" s="173"/>
      <c r="X357" s="173"/>
      <c r="Y357" s="173"/>
      <c r="Z357" s="173"/>
      <c r="AA357" s="173"/>
      <c r="AB357" s="173"/>
      <c r="AC357" s="173"/>
      <c r="AD357" s="173"/>
      <c r="AE357" s="173"/>
      <c r="AF357" s="174"/>
      <c r="AG357" s="16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65"/>
      <c r="AR357" s="173"/>
      <c r="AS357" s="173"/>
      <c r="AT357" s="173"/>
      <c r="AU357" s="173"/>
      <c r="AV357" s="173"/>
      <c r="AW357" s="173"/>
      <c r="AX357" s="173"/>
      <c r="AY357" s="173"/>
      <c r="AZ357" s="173"/>
      <c r="BB357" s="174"/>
      <c r="BC357" s="36"/>
    </row>
    <row r="358" spans="2:55" x14ac:dyDescent="0.3">
      <c r="B358" s="133"/>
      <c r="C358" s="86"/>
      <c r="E358" s="86"/>
      <c r="F358" s="86"/>
      <c r="G358" s="86"/>
      <c r="H358" s="134"/>
      <c r="I358" s="86"/>
      <c r="J358" s="134"/>
      <c r="K358" s="86"/>
      <c r="L358" s="86"/>
      <c r="M358" s="173"/>
      <c r="N358" s="173"/>
      <c r="O358" s="173"/>
      <c r="P358" s="173"/>
      <c r="Q358" s="173"/>
      <c r="R358" s="173"/>
      <c r="S358" s="173"/>
      <c r="T358" s="173"/>
      <c r="U358" s="173"/>
      <c r="V358" s="165"/>
      <c r="W358" s="173"/>
      <c r="X358" s="173"/>
      <c r="Y358" s="173"/>
      <c r="Z358" s="173"/>
      <c r="AA358" s="173"/>
      <c r="AB358" s="173"/>
      <c r="AC358" s="173"/>
      <c r="AD358" s="173"/>
      <c r="AE358" s="173"/>
      <c r="AF358" s="174"/>
      <c r="AG358" s="16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65"/>
      <c r="AR358" s="173"/>
      <c r="AS358" s="173"/>
      <c r="AT358" s="173"/>
      <c r="AU358" s="173"/>
      <c r="AV358" s="173"/>
      <c r="AW358" s="173"/>
      <c r="AX358" s="173"/>
      <c r="AY358" s="173"/>
      <c r="AZ358" s="173"/>
      <c r="BB358" s="174"/>
      <c r="BC358" s="36"/>
    </row>
    <row r="359" spans="2:55" x14ac:dyDescent="0.3">
      <c r="B359" s="133"/>
      <c r="C359" s="86"/>
      <c r="E359" s="86"/>
      <c r="F359" s="86"/>
      <c r="G359" s="86"/>
      <c r="H359" s="134"/>
      <c r="I359" s="86"/>
      <c r="J359" s="134"/>
      <c r="K359" s="86"/>
      <c r="L359" s="86"/>
      <c r="M359" s="173"/>
      <c r="N359" s="173"/>
      <c r="O359" s="173"/>
      <c r="P359" s="173"/>
      <c r="Q359" s="173"/>
      <c r="R359" s="173"/>
      <c r="S359" s="173"/>
      <c r="T359" s="173"/>
      <c r="U359" s="173"/>
      <c r="V359" s="165"/>
      <c r="W359" s="173"/>
      <c r="X359" s="173"/>
      <c r="Y359" s="173"/>
      <c r="Z359" s="173"/>
      <c r="AA359" s="173"/>
      <c r="AB359" s="173"/>
      <c r="AC359" s="173"/>
      <c r="AD359" s="173"/>
      <c r="AE359" s="173"/>
      <c r="AF359" s="174"/>
      <c r="AG359" s="16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65"/>
      <c r="AR359" s="173"/>
      <c r="AS359" s="173"/>
      <c r="AT359" s="173"/>
      <c r="AU359" s="173"/>
      <c r="AV359" s="173"/>
      <c r="AW359" s="173"/>
      <c r="AX359" s="173"/>
      <c r="AY359" s="173"/>
      <c r="AZ359" s="173"/>
      <c r="BB359" s="174"/>
      <c r="BC359" s="36"/>
    </row>
    <row r="360" spans="2:55" x14ac:dyDescent="0.3">
      <c r="B360" s="133"/>
      <c r="C360" s="86"/>
      <c r="E360" s="86"/>
      <c r="F360" s="86"/>
      <c r="G360" s="86"/>
      <c r="H360" s="134"/>
      <c r="I360" s="86"/>
      <c r="J360" s="134"/>
      <c r="K360" s="86"/>
      <c r="L360" s="86"/>
      <c r="M360" s="173"/>
      <c r="N360" s="173"/>
      <c r="O360" s="173"/>
      <c r="P360" s="173"/>
      <c r="Q360" s="173"/>
      <c r="R360" s="173"/>
      <c r="S360" s="173"/>
      <c r="T360" s="173"/>
      <c r="U360" s="173"/>
      <c r="V360" s="165"/>
      <c r="W360" s="173"/>
      <c r="X360" s="173"/>
      <c r="Y360" s="173"/>
      <c r="Z360" s="173"/>
      <c r="AA360" s="173"/>
      <c r="AB360" s="173"/>
      <c r="AC360" s="173"/>
      <c r="AD360" s="173"/>
      <c r="AE360" s="173"/>
      <c r="AF360" s="174"/>
      <c r="AG360" s="16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65"/>
      <c r="AR360" s="173"/>
      <c r="AS360" s="173"/>
      <c r="AT360" s="173"/>
      <c r="AU360" s="173"/>
      <c r="AV360" s="173"/>
      <c r="AW360" s="173"/>
      <c r="AX360" s="173"/>
      <c r="AY360" s="173"/>
      <c r="AZ360" s="173"/>
      <c r="BB360" s="174"/>
      <c r="BC360" s="36"/>
    </row>
    <row r="361" spans="2:55" x14ac:dyDescent="0.3">
      <c r="B361" s="133"/>
      <c r="C361" s="86"/>
      <c r="E361" s="86"/>
      <c r="F361" s="86"/>
      <c r="G361" s="86"/>
      <c r="H361" s="134"/>
      <c r="I361" s="86"/>
      <c r="J361" s="134"/>
      <c r="K361" s="86"/>
      <c r="L361" s="86"/>
      <c r="M361" s="173"/>
      <c r="N361" s="173"/>
      <c r="O361" s="173"/>
      <c r="P361" s="173"/>
      <c r="Q361" s="173"/>
      <c r="R361" s="173"/>
      <c r="S361" s="173"/>
      <c r="T361" s="173"/>
      <c r="U361" s="173"/>
      <c r="V361" s="165"/>
      <c r="W361" s="173"/>
      <c r="X361" s="173"/>
      <c r="Y361" s="173"/>
      <c r="Z361" s="173"/>
      <c r="AA361" s="173"/>
      <c r="AB361" s="173"/>
      <c r="AC361" s="173"/>
      <c r="AD361" s="173"/>
      <c r="AE361" s="173"/>
      <c r="AF361" s="174"/>
      <c r="AG361" s="16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65"/>
      <c r="AR361" s="173"/>
      <c r="AS361" s="173"/>
      <c r="AT361" s="173"/>
      <c r="AU361" s="173"/>
      <c r="AV361" s="173"/>
      <c r="AW361" s="173"/>
      <c r="AX361" s="173"/>
      <c r="AY361" s="173"/>
      <c r="AZ361" s="173"/>
      <c r="BB361" s="174"/>
      <c r="BC361" s="36"/>
    </row>
    <row r="362" spans="2:55" x14ac:dyDescent="0.3">
      <c r="B362" s="133"/>
      <c r="C362" s="86"/>
      <c r="E362" s="86"/>
      <c r="F362" s="86"/>
      <c r="G362" s="86"/>
      <c r="H362" s="134"/>
      <c r="I362" s="86"/>
      <c r="J362" s="134"/>
      <c r="K362" s="86"/>
      <c r="L362" s="86"/>
      <c r="M362" s="173"/>
      <c r="N362" s="173"/>
      <c r="O362" s="173"/>
      <c r="P362" s="173"/>
      <c r="Q362" s="173"/>
      <c r="R362" s="173"/>
      <c r="S362" s="173"/>
      <c r="T362" s="173"/>
      <c r="U362" s="173"/>
      <c r="V362" s="165"/>
      <c r="W362" s="173"/>
      <c r="X362" s="173"/>
      <c r="Y362" s="173"/>
      <c r="Z362" s="173"/>
      <c r="AA362" s="173"/>
      <c r="AB362" s="173"/>
      <c r="AC362" s="173"/>
      <c r="AD362" s="173"/>
      <c r="AE362" s="173"/>
      <c r="AF362" s="174"/>
      <c r="AG362" s="16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65"/>
      <c r="AR362" s="173"/>
      <c r="AS362" s="173"/>
      <c r="AT362" s="173"/>
      <c r="AU362" s="173"/>
      <c r="AV362" s="173"/>
      <c r="AW362" s="173"/>
      <c r="AX362" s="173"/>
      <c r="AY362" s="173"/>
      <c r="AZ362" s="173"/>
      <c r="BB362" s="174"/>
      <c r="BC362" s="36"/>
    </row>
    <row r="363" spans="2:55" x14ac:dyDescent="0.3">
      <c r="B363" s="133"/>
      <c r="C363" s="86"/>
      <c r="E363" s="86"/>
      <c r="F363" s="86"/>
      <c r="G363" s="86"/>
      <c r="H363" s="134"/>
      <c r="I363" s="86"/>
      <c r="J363" s="134"/>
      <c r="K363" s="86"/>
      <c r="L363" s="86"/>
      <c r="M363" s="173"/>
      <c r="N363" s="173"/>
      <c r="O363" s="173"/>
      <c r="P363" s="173"/>
      <c r="Q363" s="173"/>
      <c r="R363" s="173"/>
      <c r="S363" s="173"/>
      <c r="T363" s="173"/>
      <c r="U363" s="173"/>
      <c r="V363" s="165"/>
      <c r="W363" s="173"/>
      <c r="X363" s="173"/>
      <c r="Y363" s="173"/>
      <c r="Z363" s="173"/>
      <c r="AA363" s="173"/>
      <c r="AB363" s="173"/>
      <c r="AC363" s="173"/>
      <c r="AD363" s="173"/>
      <c r="AE363" s="173"/>
      <c r="AF363" s="174"/>
      <c r="AG363" s="16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65"/>
      <c r="AR363" s="173"/>
      <c r="AS363" s="173"/>
      <c r="AT363" s="173"/>
      <c r="AU363" s="173"/>
      <c r="AV363" s="173"/>
      <c r="AW363" s="173"/>
      <c r="AX363" s="173"/>
      <c r="AY363" s="173"/>
      <c r="AZ363" s="173"/>
      <c r="BB363" s="174"/>
      <c r="BC363" s="36"/>
    </row>
    <row r="364" spans="2:55" x14ac:dyDescent="0.3">
      <c r="B364" s="133"/>
      <c r="C364" s="86"/>
      <c r="E364" s="86"/>
      <c r="F364" s="86"/>
      <c r="G364" s="86"/>
      <c r="H364" s="134"/>
      <c r="I364" s="86"/>
      <c r="J364" s="134"/>
      <c r="K364" s="86"/>
      <c r="L364" s="86"/>
      <c r="M364" s="173"/>
      <c r="N364" s="173"/>
      <c r="O364" s="173"/>
      <c r="P364" s="173"/>
      <c r="Q364" s="173"/>
      <c r="R364" s="173"/>
      <c r="S364" s="173"/>
      <c r="T364" s="173"/>
      <c r="U364" s="173"/>
      <c r="V364" s="165"/>
      <c r="W364" s="173"/>
      <c r="X364" s="173"/>
      <c r="Y364" s="173"/>
      <c r="Z364" s="173"/>
      <c r="AA364" s="173"/>
      <c r="AB364" s="173"/>
      <c r="AC364" s="173"/>
      <c r="AD364" s="173"/>
      <c r="AE364" s="173"/>
      <c r="AF364" s="174"/>
      <c r="AG364" s="16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65"/>
      <c r="AR364" s="173"/>
      <c r="AS364" s="173"/>
      <c r="AT364" s="173"/>
      <c r="AU364" s="173"/>
      <c r="AV364" s="173"/>
      <c r="AW364" s="173"/>
      <c r="AX364" s="173"/>
      <c r="AY364" s="173"/>
      <c r="AZ364" s="173"/>
      <c r="BB364" s="174"/>
      <c r="BC364" s="36"/>
    </row>
    <row r="365" spans="2:55" x14ac:dyDescent="0.3">
      <c r="B365" s="133"/>
      <c r="C365" s="86"/>
      <c r="E365" s="86"/>
      <c r="F365" s="86"/>
      <c r="G365" s="86"/>
      <c r="H365" s="134"/>
      <c r="I365" s="86"/>
      <c r="J365" s="134"/>
      <c r="K365" s="86"/>
      <c r="L365" s="86"/>
      <c r="M365" s="173"/>
      <c r="N365" s="173"/>
      <c r="O365" s="173"/>
      <c r="P365" s="173"/>
      <c r="Q365" s="173"/>
      <c r="R365" s="173"/>
      <c r="S365" s="173"/>
      <c r="T365" s="173"/>
      <c r="U365" s="173"/>
      <c r="V365" s="165"/>
      <c r="W365" s="173"/>
      <c r="X365" s="173"/>
      <c r="Y365" s="173"/>
      <c r="Z365" s="173"/>
      <c r="AA365" s="173"/>
      <c r="AB365" s="173"/>
      <c r="AC365" s="173"/>
      <c r="AD365" s="173"/>
      <c r="AE365" s="173"/>
      <c r="AF365" s="174"/>
      <c r="AG365" s="16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65"/>
      <c r="AR365" s="173"/>
      <c r="AS365" s="173"/>
      <c r="AT365" s="173"/>
      <c r="AU365" s="173"/>
      <c r="AV365" s="173"/>
      <c r="AW365" s="173"/>
      <c r="AX365" s="173"/>
      <c r="AY365" s="173"/>
      <c r="AZ365" s="173"/>
      <c r="BB365" s="174"/>
      <c r="BC365" s="36"/>
    </row>
    <row r="366" spans="2:55" x14ac:dyDescent="0.3">
      <c r="B366" s="133"/>
      <c r="C366" s="86"/>
      <c r="E366" s="86"/>
      <c r="F366" s="86"/>
      <c r="G366" s="86"/>
      <c r="H366" s="134"/>
      <c r="I366" s="86"/>
      <c r="J366" s="134"/>
      <c r="K366" s="86"/>
      <c r="L366" s="86"/>
      <c r="M366" s="173"/>
      <c r="N366" s="173"/>
      <c r="O366" s="173"/>
      <c r="P366" s="173"/>
      <c r="Q366" s="173"/>
      <c r="R366" s="173"/>
      <c r="S366" s="173"/>
      <c r="T366" s="173"/>
      <c r="U366" s="173"/>
      <c r="V366" s="165"/>
      <c r="W366" s="173"/>
      <c r="X366" s="173"/>
      <c r="Y366" s="173"/>
      <c r="Z366" s="173"/>
      <c r="AA366" s="173"/>
      <c r="AB366" s="173"/>
      <c r="AC366" s="173"/>
      <c r="AD366" s="173"/>
      <c r="AE366" s="173"/>
      <c r="AF366" s="174"/>
      <c r="AG366" s="16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65"/>
      <c r="AR366" s="173"/>
      <c r="AS366" s="173"/>
      <c r="AT366" s="173"/>
      <c r="AU366" s="173"/>
      <c r="AV366" s="173"/>
      <c r="AW366" s="173"/>
      <c r="AX366" s="173"/>
      <c r="AY366" s="173"/>
      <c r="AZ366" s="173"/>
      <c r="BB366" s="174"/>
      <c r="BC366" s="36"/>
    </row>
    <row r="367" spans="2:55" x14ac:dyDescent="0.3">
      <c r="B367" s="133"/>
      <c r="C367" s="86"/>
      <c r="E367" s="86"/>
      <c r="F367" s="86"/>
      <c r="G367" s="86"/>
      <c r="H367" s="134"/>
      <c r="I367" s="86"/>
      <c r="J367" s="134"/>
      <c r="K367" s="86"/>
      <c r="L367" s="86"/>
      <c r="M367" s="173"/>
      <c r="N367" s="173"/>
      <c r="O367" s="173"/>
      <c r="P367" s="173"/>
      <c r="Q367" s="173"/>
      <c r="R367" s="173"/>
      <c r="S367" s="173"/>
      <c r="T367" s="173"/>
      <c r="U367" s="173"/>
      <c r="V367" s="165"/>
      <c r="W367" s="173"/>
      <c r="X367" s="173"/>
      <c r="Y367" s="173"/>
      <c r="Z367" s="173"/>
      <c r="AA367" s="173"/>
      <c r="AB367" s="173"/>
      <c r="AC367" s="173"/>
      <c r="AD367" s="173"/>
      <c r="AE367" s="173"/>
      <c r="AF367" s="174"/>
      <c r="AG367" s="16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65"/>
      <c r="AR367" s="173"/>
      <c r="AS367" s="173"/>
      <c r="AT367" s="173"/>
      <c r="AU367" s="173"/>
      <c r="AV367" s="173"/>
      <c r="AW367" s="173"/>
      <c r="AX367" s="173"/>
      <c r="AY367" s="173"/>
      <c r="AZ367" s="173"/>
      <c r="BB367" s="174"/>
      <c r="BC367" s="36"/>
    </row>
    <row r="368" spans="2:55" x14ac:dyDescent="0.3">
      <c r="B368" s="133"/>
      <c r="C368" s="86"/>
      <c r="E368" s="86"/>
      <c r="F368" s="86"/>
      <c r="G368" s="86"/>
      <c r="H368" s="134"/>
      <c r="I368" s="86"/>
      <c r="J368" s="134"/>
      <c r="K368" s="86"/>
      <c r="L368" s="86"/>
      <c r="M368" s="173"/>
      <c r="N368" s="173"/>
      <c r="O368" s="173"/>
      <c r="P368" s="173"/>
      <c r="Q368" s="173"/>
      <c r="R368" s="173"/>
      <c r="S368" s="173"/>
      <c r="T368" s="173"/>
      <c r="U368" s="173"/>
      <c r="V368" s="165"/>
      <c r="W368" s="173"/>
      <c r="X368" s="173"/>
      <c r="Y368" s="173"/>
      <c r="Z368" s="173"/>
      <c r="AA368" s="173"/>
      <c r="AB368" s="173"/>
      <c r="AC368" s="173"/>
      <c r="AD368" s="173"/>
      <c r="AE368" s="173"/>
      <c r="AF368" s="174"/>
      <c r="AG368" s="16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65"/>
      <c r="AR368" s="173"/>
      <c r="AS368" s="173"/>
      <c r="AT368" s="173"/>
      <c r="AU368" s="173"/>
      <c r="AV368" s="173"/>
      <c r="AW368" s="173"/>
      <c r="AX368" s="173"/>
      <c r="AY368" s="173"/>
      <c r="AZ368" s="173"/>
      <c r="BB368" s="174"/>
      <c r="BC368" s="36"/>
    </row>
    <row r="369" spans="2:55" x14ac:dyDescent="0.3">
      <c r="B369" s="133"/>
      <c r="C369" s="86"/>
      <c r="E369" s="86"/>
      <c r="F369" s="86"/>
      <c r="G369" s="86"/>
      <c r="H369" s="134"/>
      <c r="I369" s="86"/>
      <c r="J369" s="134"/>
      <c r="K369" s="86"/>
      <c r="L369" s="86"/>
      <c r="M369" s="173"/>
      <c r="N369" s="173"/>
      <c r="O369" s="173"/>
      <c r="P369" s="173"/>
      <c r="Q369" s="173"/>
      <c r="R369" s="173"/>
      <c r="S369" s="173"/>
      <c r="T369" s="173"/>
      <c r="U369" s="173"/>
      <c r="V369" s="165"/>
      <c r="W369" s="173"/>
      <c r="X369" s="173"/>
      <c r="Y369" s="173"/>
      <c r="Z369" s="173"/>
      <c r="AA369" s="173"/>
      <c r="AB369" s="173"/>
      <c r="AC369" s="173"/>
      <c r="AD369" s="173"/>
      <c r="AE369" s="173"/>
      <c r="AF369" s="174"/>
      <c r="AG369" s="16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65"/>
      <c r="AR369" s="173"/>
      <c r="AS369" s="173"/>
      <c r="AT369" s="173"/>
      <c r="AU369" s="173"/>
      <c r="AV369" s="173"/>
      <c r="AW369" s="173"/>
      <c r="AX369" s="173"/>
      <c r="AY369" s="173"/>
      <c r="AZ369" s="173"/>
      <c r="BB369" s="174"/>
      <c r="BC369" s="36"/>
    </row>
    <row r="370" spans="2:55" x14ac:dyDescent="0.3">
      <c r="B370" s="133"/>
      <c r="C370" s="86"/>
      <c r="E370" s="86"/>
      <c r="F370" s="86"/>
      <c r="G370" s="86"/>
      <c r="H370" s="134"/>
      <c r="I370" s="86"/>
      <c r="J370" s="134"/>
      <c r="K370" s="86"/>
      <c r="L370" s="86"/>
      <c r="M370" s="173"/>
      <c r="N370" s="173"/>
      <c r="O370" s="173"/>
      <c r="P370" s="173"/>
      <c r="Q370" s="173"/>
      <c r="R370" s="173"/>
      <c r="S370" s="173"/>
      <c r="T370" s="173"/>
      <c r="U370" s="173"/>
      <c r="V370" s="165"/>
      <c r="W370" s="173"/>
      <c r="X370" s="173"/>
      <c r="Y370" s="173"/>
      <c r="Z370" s="173"/>
      <c r="AA370" s="173"/>
      <c r="AB370" s="173"/>
      <c r="AC370" s="173"/>
      <c r="AD370" s="173"/>
      <c r="AE370" s="173"/>
      <c r="AF370" s="174"/>
      <c r="AG370" s="16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65"/>
      <c r="AR370" s="173"/>
      <c r="AS370" s="173"/>
      <c r="AT370" s="173"/>
      <c r="AU370" s="173"/>
      <c r="AV370" s="173"/>
      <c r="AW370" s="173"/>
      <c r="AX370" s="173"/>
      <c r="AY370" s="173"/>
      <c r="AZ370" s="173"/>
      <c r="BB370" s="174"/>
      <c r="BC370" s="36"/>
    </row>
    <row r="371" spans="2:55" x14ac:dyDescent="0.3">
      <c r="B371" s="133"/>
      <c r="C371" s="86"/>
      <c r="E371" s="86"/>
      <c r="F371" s="86"/>
      <c r="G371" s="86"/>
      <c r="H371" s="134"/>
      <c r="I371" s="86"/>
      <c r="J371" s="134"/>
      <c r="K371" s="86"/>
      <c r="L371" s="86"/>
      <c r="M371" s="173"/>
      <c r="N371" s="173"/>
      <c r="O371" s="173"/>
      <c r="P371" s="173"/>
      <c r="Q371" s="173"/>
      <c r="R371" s="173"/>
      <c r="S371" s="173"/>
      <c r="T371" s="173"/>
      <c r="U371" s="173"/>
      <c r="V371" s="165"/>
      <c r="W371" s="173"/>
      <c r="X371" s="173"/>
      <c r="Y371" s="173"/>
      <c r="Z371" s="173"/>
      <c r="AA371" s="173"/>
      <c r="AB371" s="173"/>
      <c r="AC371" s="173"/>
      <c r="AD371" s="173"/>
      <c r="AE371" s="173"/>
      <c r="AF371" s="174"/>
      <c r="AG371" s="16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65"/>
      <c r="AR371" s="173"/>
      <c r="AS371" s="173"/>
      <c r="AT371" s="173"/>
      <c r="AU371" s="173"/>
      <c r="AV371" s="173"/>
      <c r="AW371" s="173"/>
      <c r="AX371" s="173"/>
      <c r="AY371" s="173"/>
      <c r="AZ371" s="173"/>
      <c r="BB371" s="174"/>
      <c r="BC371" s="36"/>
    </row>
    <row r="372" spans="2:55" x14ac:dyDescent="0.3">
      <c r="B372" s="133"/>
      <c r="C372" s="86"/>
      <c r="E372" s="86"/>
      <c r="F372" s="86"/>
      <c r="G372" s="86"/>
      <c r="H372" s="134"/>
      <c r="I372" s="86"/>
      <c r="J372" s="134"/>
      <c r="K372" s="86"/>
      <c r="L372" s="86"/>
      <c r="M372" s="173"/>
      <c r="N372" s="173"/>
      <c r="O372" s="173"/>
      <c r="P372" s="173"/>
      <c r="Q372" s="173"/>
      <c r="R372" s="173"/>
      <c r="S372" s="173"/>
      <c r="T372" s="173"/>
      <c r="U372" s="173"/>
      <c r="V372" s="165"/>
      <c r="W372" s="173"/>
      <c r="X372" s="173"/>
      <c r="Y372" s="173"/>
      <c r="Z372" s="173"/>
      <c r="AA372" s="173"/>
      <c r="AB372" s="173"/>
      <c r="AC372" s="173"/>
      <c r="AD372" s="173"/>
      <c r="AE372" s="173"/>
      <c r="AF372" s="174"/>
      <c r="AG372" s="16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65"/>
      <c r="AR372" s="173"/>
      <c r="AS372" s="173"/>
      <c r="AT372" s="173"/>
      <c r="AU372" s="173"/>
      <c r="AV372" s="173"/>
      <c r="AW372" s="173"/>
      <c r="AX372" s="173"/>
      <c r="AY372" s="173"/>
      <c r="AZ372" s="173"/>
      <c r="BB372" s="174"/>
      <c r="BC372" s="36"/>
    </row>
    <row r="373" spans="2:55" x14ac:dyDescent="0.3">
      <c r="B373" s="133"/>
      <c r="C373" s="86"/>
      <c r="E373" s="86"/>
      <c r="F373" s="86"/>
      <c r="G373" s="86"/>
      <c r="H373" s="134"/>
      <c r="I373" s="86"/>
      <c r="J373" s="134"/>
      <c r="K373" s="86"/>
      <c r="L373" s="86"/>
      <c r="M373" s="173"/>
      <c r="N373" s="173"/>
      <c r="O373" s="173"/>
      <c r="P373" s="173"/>
      <c r="Q373" s="173"/>
      <c r="R373" s="173"/>
      <c r="S373" s="173"/>
      <c r="T373" s="173"/>
      <c r="U373" s="173"/>
      <c r="V373" s="165"/>
      <c r="W373" s="173"/>
      <c r="X373" s="173"/>
      <c r="Y373" s="173"/>
      <c r="Z373" s="173"/>
      <c r="AA373" s="173"/>
      <c r="AB373" s="173"/>
      <c r="AC373" s="173"/>
      <c r="AD373" s="173"/>
      <c r="AE373" s="173"/>
      <c r="AF373" s="174"/>
      <c r="AG373" s="16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65"/>
      <c r="AR373" s="173"/>
      <c r="AS373" s="173"/>
      <c r="AT373" s="173"/>
      <c r="AU373" s="173"/>
      <c r="AV373" s="173"/>
      <c r="AW373" s="173"/>
      <c r="AX373" s="173"/>
      <c r="AY373" s="173"/>
      <c r="AZ373" s="173"/>
      <c r="BB373" s="174"/>
      <c r="BC373" s="36"/>
    </row>
    <row r="374" spans="2:55" x14ac:dyDescent="0.3">
      <c r="B374" s="133"/>
      <c r="C374" s="86"/>
      <c r="E374" s="86"/>
      <c r="F374" s="86"/>
      <c r="G374" s="86"/>
      <c r="H374" s="134"/>
      <c r="I374" s="86"/>
      <c r="J374" s="134"/>
      <c r="K374" s="86"/>
      <c r="L374" s="86"/>
      <c r="M374" s="173"/>
      <c r="N374" s="173"/>
      <c r="O374" s="173"/>
      <c r="P374" s="173"/>
      <c r="Q374" s="173"/>
      <c r="R374" s="173"/>
      <c r="S374" s="173"/>
      <c r="T374" s="173"/>
      <c r="U374" s="173"/>
      <c r="V374" s="165"/>
      <c r="W374" s="173"/>
      <c r="X374" s="173"/>
      <c r="Y374" s="173"/>
      <c r="Z374" s="173"/>
      <c r="AA374" s="173"/>
      <c r="AB374" s="173"/>
      <c r="AC374" s="173"/>
      <c r="AD374" s="173"/>
      <c r="AE374" s="173"/>
      <c r="AF374" s="174"/>
      <c r="AG374" s="16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65"/>
      <c r="AR374" s="173"/>
      <c r="AS374" s="173"/>
      <c r="AT374" s="173"/>
      <c r="AU374" s="173"/>
      <c r="AV374" s="173"/>
      <c r="AW374" s="173"/>
      <c r="AX374" s="173"/>
      <c r="AY374" s="173"/>
      <c r="AZ374" s="173"/>
      <c r="BB374" s="174"/>
      <c r="BC374" s="36"/>
    </row>
    <row r="375" spans="2:55" x14ac:dyDescent="0.3">
      <c r="B375" s="133"/>
      <c r="C375" s="86"/>
      <c r="E375" s="86"/>
      <c r="F375" s="86"/>
      <c r="G375" s="86"/>
      <c r="H375" s="134"/>
      <c r="I375" s="86"/>
      <c r="J375" s="134"/>
      <c r="K375" s="86"/>
      <c r="L375" s="86"/>
      <c r="M375" s="173"/>
      <c r="N375" s="173"/>
      <c r="O375" s="173"/>
      <c r="P375" s="173"/>
      <c r="Q375" s="173"/>
      <c r="R375" s="173"/>
      <c r="S375" s="173"/>
      <c r="T375" s="173"/>
      <c r="U375" s="173"/>
      <c r="V375" s="165"/>
      <c r="W375" s="173"/>
      <c r="X375" s="173"/>
      <c r="Y375" s="173"/>
      <c r="Z375" s="173"/>
      <c r="AA375" s="173"/>
      <c r="AB375" s="173"/>
      <c r="AC375" s="173"/>
      <c r="AD375" s="173"/>
      <c r="AE375" s="173"/>
      <c r="AF375" s="174"/>
      <c r="AG375" s="16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65"/>
      <c r="AR375" s="173"/>
      <c r="AS375" s="173"/>
      <c r="AT375" s="173"/>
      <c r="AU375" s="173"/>
      <c r="AV375" s="173"/>
      <c r="AW375" s="173"/>
      <c r="AX375" s="173"/>
      <c r="AY375" s="173"/>
      <c r="AZ375" s="173"/>
      <c r="BB375" s="174"/>
      <c r="BC375" s="36"/>
    </row>
    <row r="376" spans="2:55" x14ac:dyDescent="0.3">
      <c r="B376" s="133"/>
      <c r="C376" s="86"/>
      <c r="E376" s="86"/>
      <c r="F376" s="86"/>
      <c r="G376" s="86"/>
      <c r="H376" s="134"/>
      <c r="I376" s="86"/>
      <c r="J376" s="134"/>
      <c r="K376" s="86"/>
      <c r="L376" s="86"/>
      <c r="M376" s="173"/>
      <c r="N376" s="173"/>
      <c r="O376" s="173"/>
      <c r="P376" s="173"/>
      <c r="Q376" s="173"/>
      <c r="R376" s="173"/>
      <c r="S376" s="173"/>
      <c r="T376" s="173"/>
      <c r="U376" s="173"/>
      <c r="V376" s="165"/>
      <c r="W376" s="173"/>
      <c r="X376" s="173"/>
      <c r="Y376" s="173"/>
      <c r="Z376" s="173"/>
      <c r="AA376" s="173"/>
      <c r="AB376" s="173"/>
      <c r="AC376" s="173"/>
      <c r="AD376" s="173"/>
      <c r="AE376" s="173"/>
      <c r="AF376" s="174"/>
      <c r="AG376" s="16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65"/>
      <c r="AR376" s="173"/>
      <c r="AS376" s="173"/>
      <c r="AT376" s="173"/>
      <c r="AU376" s="173"/>
      <c r="AV376" s="173"/>
      <c r="AW376" s="173"/>
      <c r="AX376" s="173"/>
      <c r="AY376" s="173"/>
      <c r="AZ376" s="173"/>
      <c r="BB376" s="174"/>
      <c r="BC376" s="36"/>
    </row>
    <row r="377" spans="2:55" x14ac:dyDescent="0.3">
      <c r="B377" s="133"/>
      <c r="C377" s="86"/>
      <c r="E377" s="86"/>
      <c r="F377" s="86"/>
      <c r="G377" s="86"/>
      <c r="H377" s="134"/>
      <c r="I377" s="86"/>
      <c r="J377" s="134"/>
      <c r="K377" s="86"/>
      <c r="L377" s="86"/>
      <c r="M377" s="173"/>
      <c r="N377" s="173"/>
      <c r="O377" s="173"/>
      <c r="P377" s="173"/>
      <c r="Q377" s="173"/>
      <c r="R377" s="173"/>
      <c r="S377" s="173"/>
      <c r="T377" s="173"/>
      <c r="U377" s="173"/>
      <c r="V377" s="165"/>
      <c r="W377" s="173"/>
      <c r="X377" s="173"/>
      <c r="Y377" s="173"/>
      <c r="Z377" s="173"/>
      <c r="AA377" s="173"/>
      <c r="AB377" s="173"/>
      <c r="AC377" s="173"/>
      <c r="AD377" s="173"/>
      <c r="AE377" s="173"/>
      <c r="AF377" s="174"/>
      <c r="AG377" s="16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65"/>
      <c r="AR377" s="173"/>
      <c r="AS377" s="173"/>
      <c r="AT377" s="173"/>
      <c r="AU377" s="173"/>
      <c r="AV377" s="173"/>
      <c r="AW377" s="173"/>
      <c r="AX377" s="173"/>
      <c r="AY377" s="173"/>
      <c r="AZ377" s="173"/>
      <c r="BB377" s="174"/>
      <c r="BC377" s="36"/>
    </row>
    <row r="378" spans="2:55" x14ac:dyDescent="0.3">
      <c r="B378" s="133"/>
      <c r="C378" s="86"/>
      <c r="E378" s="86"/>
      <c r="F378" s="86"/>
      <c r="G378" s="86"/>
      <c r="H378" s="134"/>
      <c r="I378" s="86"/>
      <c r="J378" s="134"/>
      <c r="K378" s="86"/>
      <c r="L378" s="86"/>
      <c r="M378" s="173"/>
      <c r="N378" s="173"/>
      <c r="O378" s="173"/>
      <c r="P378" s="173"/>
      <c r="Q378" s="173"/>
      <c r="R378" s="173"/>
      <c r="S378" s="173"/>
      <c r="T378" s="173"/>
      <c r="U378" s="173"/>
      <c r="V378" s="165"/>
      <c r="W378" s="173"/>
      <c r="X378" s="173"/>
      <c r="Y378" s="173"/>
      <c r="Z378" s="173"/>
      <c r="AA378" s="173"/>
      <c r="AB378" s="173"/>
      <c r="AC378" s="173"/>
      <c r="AD378" s="173"/>
      <c r="AE378" s="173"/>
      <c r="AF378" s="174"/>
      <c r="AG378" s="16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65"/>
      <c r="AR378" s="173"/>
      <c r="AS378" s="173"/>
      <c r="AT378" s="173"/>
      <c r="AU378" s="173"/>
      <c r="AV378" s="173"/>
      <c r="AW378" s="173"/>
      <c r="AX378" s="173"/>
      <c r="AY378" s="173"/>
      <c r="AZ378" s="173"/>
      <c r="BB378" s="174"/>
      <c r="BC378" s="36"/>
    </row>
    <row r="379" spans="2:55" x14ac:dyDescent="0.3">
      <c r="B379" s="133"/>
      <c r="C379" s="86"/>
      <c r="E379" s="86"/>
      <c r="F379" s="86"/>
      <c r="G379" s="86"/>
      <c r="H379" s="134"/>
      <c r="I379" s="86"/>
      <c r="J379" s="134"/>
      <c r="K379" s="86"/>
      <c r="L379" s="86"/>
      <c r="M379" s="173"/>
      <c r="N379" s="173"/>
      <c r="O379" s="173"/>
      <c r="P379" s="173"/>
      <c r="Q379" s="173"/>
      <c r="R379" s="173"/>
      <c r="S379" s="173"/>
      <c r="T379" s="173"/>
      <c r="U379" s="173"/>
      <c r="V379" s="165"/>
      <c r="W379" s="173"/>
      <c r="X379" s="173"/>
      <c r="Y379" s="173"/>
      <c r="Z379" s="173"/>
      <c r="AA379" s="173"/>
      <c r="AB379" s="173"/>
      <c r="AC379" s="173"/>
      <c r="AD379" s="173"/>
      <c r="AE379" s="173"/>
      <c r="AF379" s="174"/>
      <c r="AG379" s="16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65"/>
      <c r="AR379" s="173"/>
      <c r="AS379" s="173"/>
      <c r="AT379" s="173"/>
      <c r="AU379" s="173"/>
      <c r="AV379" s="173"/>
      <c r="AW379" s="173"/>
      <c r="AX379" s="173"/>
      <c r="AY379" s="173"/>
      <c r="AZ379" s="173"/>
      <c r="BB379" s="174"/>
      <c r="BC379" s="36"/>
    </row>
    <row r="380" spans="2:55" x14ac:dyDescent="0.3">
      <c r="B380" s="133"/>
      <c r="C380" s="86"/>
      <c r="E380" s="86"/>
      <c r="F380" s="86"/>
      <c r="G380" s="86"/>
      <c r="H380" s="134"/>
      <c r="I380" s="86"/>
      <c r="J380" s="134"/>
      <c r="K380" s="86"/>
      <c r="L380" s="86"/>
      <c r="M380" s="173"/>
      <c r="N380" s="173"/>
      <c r="O380" s="173"/>
      <c r="P380" s="173"/>
      <c r="Q380" s="173"/>
      <c r="R380" s="173"/>
      <c r="S380" s="173"/>
      <c r="T380" s="173"/>
      <c r="U380" s="173"/>
      <c r="V380" s="165"/>
      <c r="W380" s="173"/>
      <c r="X380" s="173"/>
      <c r="Y380" s="173"/>
      <c r="Z380" s="173"/>
      <c r="AA380" s="173"/>
      <c r="AB380" s="173"/>
      <c r="AC380" s="173"/>
      <c r="AD380" s="173"/>
      <c r="AE380" s="173"/>
      <c r="AF380" s="174"/>
      <c r="AG380" s="16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65"/>
      <c r="AR380" s="173"/>
      <c r="AS380" s="173"/>
      <c r="AT380" s="173"/>
      <c r="AU380" s="173"/>
      <c r="AV380" s="173"/>
      <c r="AW380" s="173"/>
      <c r="AX380" s="173"/>
      <c r="AY380" s="173"/>
      <c r="AZ380" s="173"/>
      <c r="BB380" s="174"/>
      <c r="BC380" s="36"/>
    </row>
    <row r="381" spans="2:55" x14ac:dyDescent="0.3">
      <c r="B381" s="133"/>
      <c r="C381" s="86"/>
      <c r="E381" s="86"/>
      <c r="F381" s="86"/>
      <c r="G381" s="86"/>
      <c r="H381" s="134"/>
      <c r="I381" s="86"/>
      <c r="J381" s="134"/>
      <c r="K381" s="86"/>
      <c r="L381" s="86"/>
      <c r="M381" s="173"/>
      <c r="N381" s="173"/>
      <c r="O381" s="173"/>
      <c r="P381" s="173"/>
      <c r="Q381" s="173"/>
      <c r="R381" s="173"/>
      <c r="S381" s="173"/>
      <c r="T381" s="173"/>
      <c r="U381" s="173"/>
      <c r="V381" s="165"/>
      <c r="W381" s="173"/>
      <c r="X381" s="173"/>
      <c r="Y381" s="173"/>
      <c r="Z381" s="173"/>
      <c r="AA381" s="173"/>
      <c r="AB381" s="173"/>
      <c r="AC381" s="173"/>
      <c r="AD381" s="173"/>
      <c r="AE381" s="173"/>
      <c r="AF381" s="174"/>
      <c r="AG381" s="16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65"/>
      <c r="AR381" s="173"/>
      <c r="AS381" s="173"/>
      <c r="AT381" s="173"/>
      <c r="AU381" s="173"/>
      <c r="AV381" s="173"/>
      <c r="AW381" s="173"/>
      <c r="AX381" s="173"/>
      <c r="AY381" s="173"/>
      <c r="AZ381" s="173"/>
      <c r="BB381" s="174"/>
      <c r="BC381" s="36"/>
    </row>
    <row r="382" spans="2:55" x14ac:dyDescent="0.3">
      <c r="B382" s="133"/>
      <c r="C382" s="86"/>
      <c r="E382" s="86"/>
      <c r="F382" s="86"/>
      <c r="G382" s="86"/>
      <c r="H382" s="134"/>
      <c r="I382" s="86"/>
      <c r="J382" s="134"/>
      <c r="K382" s="86"/>
      <c r="L382" s="86"/>
      <c r="M382" s="173"/>
      <c r="N382" s="173"/>
      <c r="O382" s="173"/>
      <c r="P382" s="173"/>
      <c r="Q382" s="173"/>
      <c r="R382" s="173"/>
      <c r="S382" s="173"/>
      <c r="T382" s="173"/>
      <c r="U382" s="173"/>
      <c r="V382" s="165"/>
      <c r="W382" s="173"/>
      <c r="X382" s="173"/>
      <c r="Y382" s="173"/>
      <c r="Z382" s="173"/>
      <c r="AA382" s="173"/>
      <c r="AB382" s="173"/>
      <c r="AC382" s="173"/>
      <c r="AD382" s="173"/>
      <c r="AE382" s="173"/>
      <c r="AF382" s="174"/>
      <c r="AG382" s="16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65"/>
      <c r="AR382" s="173"/>
      <c r="AS382" s="173"/>
      <c r="AT382" s="173"/>
      <c r="AU382" s="173"/>
      <c r="AV382" s="173"/>
      <c r="AW382" s="173"/>
      <c r="AX382" s="173"/>
      <c r="AY382" s="173"/>
      <c r="AZ382" s="173"/>
      <c r="BB382" s="174"/>
      <c r="BC382" s="36"/>
    </row>
    <row r="383" spans="2:55" x14ac:dyDescent="0.3">
      <c r="B383" s="133"/>
      <c r="C383" s="86"/>
      <c r="E383" s="86"/>
      <c r="F383" s="86"/>
      <c r="G383" s="86"/>
      <c r="H383" s="134"/>
      <c r="I383" s="86"/>
      <c r="J383" s="134"/>
      <c r="K383" s="86"/>
      <c r="L383" s="86"/>
      <c r="M383" s="173"/>
      <c r="N383" s="173"/>
      <c r="O383" s="173"/>
      <c r="P383" s="173"/>
      <c r="Q383" s="173"/>
      <c r="R383" s="173"/>
      <c r="S383" s="173"/>
      <c r="T383" s="173"/>
      <c r="U383" s="173"/>
      <c r="V383" s="165"/>
      <c r="W383" s="173"/>
      <c r="X383" s="173"/>
      <c r="Y383" s="173"/>
      <c r="Z383" s="173"/>
      <c r="AA383" s="173"/>
      <c r="AB383" s="173"/>
      <c r="AC383" s="173"/>
      <c r="AD383" s="173"/>
      <c r="AE383" s="173"/>
      <c r="AF383" s="174"/>
      <c r="AG383" s="16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65"/>
      <c r="AR383" s="173"/>
      <c r="AS383" s="173"/>
      <c r="AT383" s="173"/>
      <c r="AU383" s="173"/>
      <c r="AV383" s="173"/>
      <c r="AW383" s="173"/>
      <c r="AX383" s="173"/>
      <c r="AY383" s="173"/>
      <c r="AZ383" s="173"/>
      <c r="BB383" s="174"/>
      <c r="BC383" s="36"/>
    </row>
    <row r="384" spans="2:55" x14ac:dyDescent="0.3">
      <c r="B384" s="133"/>
      <c r="C384" s="86"/>
      <c r="E384" s="86"/>
      <c r="F384" s="86"/>
      <c r="G384" s="86"/>
      <c r="H384" s="134"/>
      <c r="I384" s="86"/>
      <c r="J384" s="134"/>
      <c r="K384" s="86"/>
      <c r="L384" s="86"/>
      <c r="M384" s="173"/>
      <c r="N384" s="173"/>
      <c r="O384" s="173"/>
      <c r="P384" s="173"/>
      <c r="Q384" s="173"/>
      <c r="R384" s="173"/>
      <c r="S384" s="173"/>
      <c r="T384" s="173"/>
      <c r="U384" s="173"/>
      <c r="V384" s="165"/>
      <c r="W384" s="173"/>
      <c r="X384" s="173"/>
      <c r="Y384" s="173"/>
      <c r="Z384" s="173"/>
      <c r="AA384" s="173"/>
      <c r="AB384" s="173"/>
      <c r="AC384" s="173"/>
      <c r="AD384" s="173"/>
      <c r="AE384" s="173"/>
      <c r="AF384" s="174"/>
      <c r="AG384" s="16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65"/>
      <c r="AR384" s="173"/>
      <c r="AS384" s="173"/>
      <c r="AT384" s="173"/>
      <c r="AU384" s="173"/>
      <c r="AV384" s="173"/>
      <c r="AW384" s="173"/>
      <c r="AX384" s="173"/>
      <c r="AY384" s="173"/>
      <c r="AZ384" s="173"/>
      <c r="BB384" s="174"/>
      <c r="BC384" s="36"/>
    </row>
    <row r="385" spans="2:55" x14ac:dyDescent="0.3">
      <c r="B385" s="133"/>
      <c r="C385" s="86"/>
      <c r="E385" s="86"/>
      <c r="F385" s="86"/>
      <c r="G385" s="86"/>
      <c r="H385" s="134"/>
      <c r="I385" s="86"/>
      <c r="J385" s="134"/>
      <c r="K385" s="86"/>
      <c r="L385" s="86"/>
      <c r="M385" s="173"/>
      <c r="N385" s="173"/>
      <c r="O385" s="173"/>
      <c r="P385" s="173"/>
      <c r="Q385" s="173"/>
      <c r="R385" s="173"/>
      <c r="S385" s="173"/>
      <c r="T385" s="173"/>
      <c r="U385" s="173"/>
      <c r="V385" s="165"/>
      <c r="W385" s="173"/>
      <c r="X385" s="173"/>
      <c r="Y385" s="173"/>
      <c r="Z385" s="173"/>
      <c r="AA385" s="173"/>
      <c r="AB385" s="173"/>
      <c r="AC385" s="173"/>
      <c r="AD385" s="173"/>
      <c r="AE385" s="173"/>
      <c r="AF385" s="174"/>
      <c r="AG385" s="16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65"/>
      <c r="AR385" s="173"/>
      <c r="AS385" s="173"/>
      <c r="AT385" s="173"/>
      <c r="AU385" s="173"/>
      <c r="AV385" s="173"/>
      <c r="AW385" s="173"/>
      <c r="AX385" s="173"/>
      <c r="AY385" s="173"/>
      <c r="AZ385" s="173"/>
      <c r="BB385" s="174"/>
      <c r="BC385" s="36"/>
    </row>
    <row r="386" spans="2:55" x14ac:dyDescent="0.3">
      <c r="B386" s="133"/>
      <c r="C386" s="86"/>
      <c r="E386" s="86"/>
      <c r="F386" s="86"/>
      <c r="G386" s="86"/>
      <c r="H386" s="134"/>
      <c r="I386" s="86"/>
      <c r="J386" s="134"/>
      <c r="K386" s="86"/>
      <c r="L386" s="86"/>
      <c r="M386" s="173"/>
      <c r="N386" s="173"/>
      <c r="O386" s="173"/>
      <c r="P386" s="173"/>
      <c r="Q386" s="173"/>
      <c r="R386" s="173"/>
      <c r="S386" s="173"/>
      <c r="T386" s="173"/>
      <c r="U386" s="173"/>
      <c r="V386" s="165"/>
      <c r="W386" s="173"/>
      <c r="X386" s="173"/>
      <c r="Y386" s="173"/>
      <c r="Z386" s="173"/>
      <c r="AA386" s="173"/>
      <c r="AB386" s="173"/>
      <c r="AC386" s="173"/>
      <c r="AD386" s="173"/>
      <c r="AE386" s="173"/>
      <c r="AF386" s="174"/>
      <c r="AG386" s="16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65"/>
      <c r="AR386" s="173"/>
      <c r="AS386" s="173"/>
      <c r="AT386" s="173"/>
      <c r="AU386" s="173"/>
      <c r="AV386" s="173"/>
      <c r="AW386" s="173"/>
      <c r="AX386" s="173"/>
      <c r="AY386" s="173"/>
      <c r="AZ386" s="173"/>
      <c r="BB386" s="174"/>
      <c r="BC386" s="36"/>
    </row>
    <row r="387" spans="2:55" x14ac:dyDescent="0.3">
      <c r="B387" s="133"/>
      <c r="C387" s="86"/>
      <c r="E387" s="86"/>
      <c r="F387" s="86"/>
      <c r="G387" s="86"/>
      <c r="H387" s="134"/>
      <c r="I387" s="86"/>
      <c r="J387" s="134"/>
      <c r="K387" s="86"/>
      <c r="L387" s="86"/>
      <c r="M387" s="173"/>
      <c r="N387" s="173"/>
      <c r="O387" s="173"/>
      <c r="P387" s="173"/>
      <c r="Q387" s="173"/>
      <c r="R387" s="173"/>
      <c r="S387" s="173"/>
      <c r="T387" s="173"/>
      <c r="U387" s="173"/>
      <c r="V387" s="165"/>
      <c r="W387" s="173"/>
      <c r="X387" s="173"/>
      <c r="Y387" s="173"/>
      <c r="Z387" s="173"/>
      <c r="AA387" s="173"/>
      <c r="AB387" s="173"/>
      <c r="AC387" s="173"/>
      <c r="AD387" s="173"/>
      <c r="AE387" s="173"/>
      <c r="AF387" s="174"/>
      <c r="AG387" s="16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65"/>
      <c r="AR387" s="173"/>
      <c r="AS387" s="173"/>
      <c r="AT387" s="173"/>
      <c r="AU387" s="173"/>
      <c r="AV387" s="173"/>
      <c r="AW387" s="173"/>
      <c r="AX387" s="173"/>
      <c r="AY387" s="173"/>
      <c r="AZ387" s="173"/>
      <c r="BB387" s="174"/>
      <c r="BC387" s="36"/>
    </row>
    <row r="388" spans="2:55" x14ac:dyDescent="0.3">
      <c r="B388" s="133"/>
      <c r="C388" s="86"/>
      <c r="E388" s="86"/>
      <c r="F388" s="86"/>
      <c r="G388" s="86"/>
      <c r="H388" s="134"/>
      <c r="I388" s="86"/>
      <c r="J388" s="134"/>
      <c r="K388" s="86"/>
      <c r="L388" s="86"/>
      <c r="M388" s="173"/>
      <c r="N388" s="173"/>
      <c r="O388" s="173"/>
      <c r="P388" s="173"/>
      <c r="Q388" s="173"/>
      <c r="R388" s="173"/>
      <c r="S388" s="173"/>
      <c r="T388" s="173"/>
      <c r="U388" s="173"/>
      <c r="V388" s="165"/>
      <c r="W388" s="173"/>
      <c r="X388" s="173"/>
      <c r="Y388" s="173"/>
      <c r="Z388" s="173"/>
      <c r="AA388" s="173"/>
      <c r="AB388" s="173"/>
      <c r="AC388" s="173"/>
      <c r="AD388" s="173"/>
      <c r="AE388" s="173"/>
      <c r="AF388" s="174"/>
      <c r="AG388" s="165"/>
      <c r="AH388" s="175"/>
      <c r="AI388" s="175"/>
      <c r="AJ388" s="175"/>
      <c r="AK388" s="175"/>
      <c r="AL388" s="175"/>
      <c r="AM388" s="175"/>
      <c r="AN388" s="175"/>
      <c r="AO388" s="175"/>
      <c r="AP388" s="175"/>
      <c r="AQ388" s="165"/>
      <c r="AR388" s="173"/>
      <c r="AS388" s="173"/>
      <c r="AT388" s="173"/>
      <c r="AU388" s="173"/>
      <c r="AV388" s="173"/>
      <c r="AW388" s="173"/>
      <c r="AX388" s="173"/>
      <c r="AY388" s="173"/>
      <c r="AZ388" s="173"/>
      <c r="BB388" s="174"/>
      <c r="BC388" s="36"/>
    </row>
    <row r="389" spans="2:55" x14ac:dyDescent="0.3">
      <c r="B389" s="133"/>
      <c r="C389" s="86"/>
      <c r="E389" s="86"/>
      <c r="F389" s="86"/>
      <c r="G389" s="86"/>
      <c r="H389" s="134"/>
      <c r="I389" s="86"/>
      <c r="J389" s="134"/>
      <c r="K389" s="86"/>
      <c r="L389" s="86"/>
      <c r="M389" s="173"/>
      <c r="N389" s="173"/>
      <c r="O389" s="173"/>
      <c r="P389" s="173"/>
      <c r="Q389" s="173"/>
      <c r="R389" s="173"/>
      <c r="S389" s="173"/>
      <c r="T389" s="173"/>
      <c r="U389" s="173"/>
      <c r="V389" s="165"/>
      <c r="W389" s="173"/>
      <c r="X389" s="173"/>
      <c r="Y389" s="173"/>
      <c r="Z389" s="173"/>
      <c r="AA389" s="173"/>
      <c r="AB389" s="173"/>
      <c r="AC389" s="173"/>
      <c r="AD389" s="173"/>
      <c r="AE389" s="173"/>
      <c r="AF389" s="174"/>
      <c r="AG389" s="165"/>
      <c r="AH389" s="175"/>
      <c r="AI389" s="175"/>
      <c r="AJ389" s="175"/>
      <c r="AK389" s="175"/>
      <c r="AL389" s="175"/>
      <c r="AM389" s="175"/>
      <c r="AN389" s="175"/>
      <c r="AO389" s="175"/>
      <c r="AP389" s="175"/>
      <c r="AQ389" s="165"/>
      <c r="AR389" s="173"/>
      <c r="AS389" s="173"/>
      <c r="AT389" s="173"/>
      <c r="AU389" s="173"/>
      <c r="AV389" s="173"/>
      <c r="AW389" s="173"/>
      <c r="AX389" s="173"/>
      <c r="AY389" s="173"/>
      <c r="AZ389" s="173"/>
      <c r="BB389" s="174"/>
      <c r="BC389" s="36"/>
    </row>
    <row r="390" spans="2:55" x14ac:dyDescent="0.3">
      <c r="B390" s="133"/>
      <c r="C390" s="86"/>
      <c r="E390" s="86"/>
      <c r="F390" s="86"/>
      <c r="G390" s="86"/>
      <c r="H390" s="134"/>
      <c r="I390" s="86"/>
      <c r="J390" s="134"/>
      <c r="K390" s="86"/>
      <c r="L390" s="86"/>
      <c r="M390" s="173"/>
      <c r="N390" s="173"/>
      <c r="O390" s="173"/>
      <c r="P390" s="173"/>
      <c r="Q390" s="173"/>
      <c r="R390" s="173"/>
      <c r="S390" s="173"/>
      <c r="T390" s="173"/>
      <c r="U390" s="173"/>
      <c r="V390" s="165"/>
      <c r="W390" s="173"/>
      <c r="X390" s="173"/>
      <c r="Y390" s="173"/>
      <c r="Z390" s="173"/>
      <c r="AA390" s="173"/>
      <c r="AB390" s="173"/>
      <c r="AC390" s="173"/>
      <c r="AD390" s="173"/>
      <c r="AE390" s="173"/>
      <c r="AF390" s="174"/>
      <c r="AG390" s="16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65"/>
      <c r="AR390" s="173"/>
      <c r="AS390" s="173"/>
      <c r="AT390" s="173"/>
      <c r="AU390" s="173"/>
      <c r="AV390" s="173"/>
      <c r="AW390" s="173"/>
      <c r="AX390" s="173"/>
      <c r="AY390" s="173"/>
      <c r="AZ390" s="173"/>
      <c r="BB390" s="174"/>
      <c r="BC390" s="36"/>
    </row>
    <row r="391" spans="2:55" x14ac:dyDescent="0.3">
      <c r="B391" s="133"/>
      <c r="C391" s="86"/>
      <c r="E391" s="86"/>
      <c r="F391" s="86"/>
      <c r="G391" s="86"/>
      <c r="H391" s="134"/>
      <c r="I391" s="86"/>
      <c r="J391" s="134"/>
      <c r="K391" s="86"/>
      <c r="L391" s="86"/>
      <c r="M391" s="173"/>
      <c r="N391" s="173"/>
      <c r="O391" s="173"/>
      <c r="P391" s="173"/>
      <c r="Q391" s="173"/>
      <c r="R391" s="173"/>
      <c r="S391" s="173"/>
      <c r="T391" s="173"/>
      <c r="U391" s="173"/>
      <c r="V391" s="165"/>
      <c r="W391" s="173"/>
      <c r="X391" s="173"/>
      <c r="Y391" s="173"/>
      <c r="Z391" s="173"/>
      <c r="AA391" s="173"/>
      <c r="AB391" s="173"/>
      <c r="AC391" s="173"/>
      <c r="AD391" s="173"/>
      <c r="AE391" s="173"/>
      <c r="AF391" s="174"/>
      <c r="AG391" s="16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65"/>
      <c r="AR391" s="173"/>
      <c r="AS391" s="173"/>
      <c r="AT391" s="173"/>
      <c r="AU391" s="173"/>
      <c r="AV391" s="173"/>
      <c r="AW391" s="173"/>
      <c r="AX391" s="173"/>
      <c r="AY391" s="173"/>
      <c r="AZ391" s="173"/>
      <c r="BB391" s="174"/>
      <c r="BC391" s="36"/>
    </row>
    <row r="392" spans="2:55" x14ac:dyDescent="0.3">
      <c r="B392" s="133"/>
      <c r="C392" s="86"/>
      <c r="E392" s="86"/>
      <c r="F392" s="86"/>
      <c r="G392" s="86"/>
      <c r="H392" s="134"/>
      <c r="I392" s="86"/>
      <c r="J392" s="134"/>
      <c r="K392" s="86"/>
      <c r="L392" s="86"/>
      <c r="M392" s="173"/>
      <c r="N392" s="173"/>
      <c r="O392" s="173"/>
      <c r="P392" s="173"/>
      <c r="Q392" s="173"/>
      <c r="R392" s="173"/>
      <c r="S392" s="173"/>
      <c r="T392" s="173"/>
      <c r="U392" s="173"/>
      <c r="V392" s="165"/>
      <c r="W392" s="173"/>
      <c r="X392" s="173"/>
      <c r="Y392" s="173"/>
      <c r="Z392" s="173"/>
      <c r="AA392" s="173"/>
      <c r="AB392" s="173"/>
      <c r="AC392" s="173"/>
      <c r="AD392" s="173"/>
      <c r="AE392" s="173"/>
      <c r="AF392" s="174"/>
      <c r="AG392" s="16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65"/>
      <c r="AR392" s="173"/>
      <c r="AS392" s="173"/>
      <c r="AT392" s="173"/>
      <c r="AU392" s="173"/>
      <c r="AV392" s="173"/>
      <c r="AW392" s="173"/>
      <c r="AX392" s="173"/>
      <c r="AY392" s="173"/>
      <c r="AZ392" s="173"/>
      <c r="BB392" s="174"/>
      <c r="BC392" s="36"/>
    </row>
    <row r="393" spans="2:55" x14ac:dyDescent="0.3">
      <c r="B393" s="133"/>
      <c r="C393" s="86"/>
      <c r="E393" s="86"/>
      <c r="F393" s="86"/>
      <c r="G393" s="86"/>
      <c r="H393" s="134"/>
      <c r="I393" s="86"/>
      <c r="J393" s="134"/>
      <c r="K393" s="86"/>
      <c r="L393" s="86"/>
      <c r="M393" s="173"/>
      <c r="N393" s="173"/>
      <c r="O393" s="173"/>
      <c r="P393" s="173"/>
      <c r="Q393" s="173"/>
      <c r="R393" s="173"/>
      <c r="S393" s="173"/>
      <c r="T393" s="173"/>
      <c r="U393" s="173"/>
      <c r="V393" s="165"/>
      <c r="W393" s="173"/>
      <c r="X393" s="173"/>
      <c r="Y393" s="173"/>
      <c r="Z393" s="173"/>
      <c r="AA393" s="173"/>
      <c r="AB393" s="173"/>
      <c r="AC393" s="173"/>
      <c r="AD393" s="173"/>
      <c r="AE393" s="173"/>
      <c r="AF393" s="174"/>
      <c r="AG393" s="16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65"/>
      <c r="AR393" s="173"/>
      <c r="AS393" s="173"/>
      <c r="AT393" s="173"/>
      <c r="AU393" s="173"/>
      <c r="AV393" s="173"/>
      <c r="AW393" s="173"/>
      <c r="AX393" s="173"/>
      <c r="AY393" s="173"/>
      <c r="AZ393" s="173"/>
      <c r="BB393" s="174"/>
      <c r="BC393" s="36"/>
    </row>
    <row r="394" spans="2:55" x14ac:dyDescent="0.3">
      <c r="B394" s="133"/>
      <c r="C394" s="86"/>
      <c r="E394" s="86"/>
      <c r="F394" s="86"/>
      <c r="G394" s="86"/>
      <c r="H394" s="134"/>
      <c r="I394" s="86"/>
      <c r="J394" s="134"/>
      <c r="K394" s="86"/>
      <c r="L394" s="86"/>
      <c r="M394" s="173"/>
      <c r="N394" s="173"/>
      <c r="O394" s="173"/>
      <c r="P394" s="173"/>
      <c r="Q394" s="173"/>
      <c r="R394" s="173"/>
      <c r="S394" s="173"/>
      <c r="T394" s="173"/>
      <c r="U394" s="173"/>
      <c r="V394" s="165"/>
      <c r="W394" s="173"/>
      <c r="X394" s="173"/>
      <c r="Y394" s="173"/>
      <c r="Z394" s="173"/>
      <c r="AA394" s="173"/>
      <c r="AB394" s="173"/>
      <c r="AC394" s="173"/>
      <c r="AD394" s="173"/>
      <c r="AE394" s="173"/>
      <c r="AF394" s="174"/>
      <c r="AG394" s="16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65"/>
      <c r="AR394" s="173"/>
      <c r="AS394" s="173"/>
      <c r="AT394" s="173"/>
      <c r="AU394" s="173"/>
      <c r="AV394" s="173"/>
      <c r="AW394" s="173"/>
      <c r="AX394" s="173"/>
      <c r="AY394" s="173"/>
      <c r="AZ394" s="173"/>
      <c r="BB394" s="174"/>
      <c r="BC394" s="36"/>
    </row>
    <row r="395" spans="2:55" x14ac:dyDescent="0.3">
      <c r="B395" s="133"/>
      <c r="C395" s="86"/>
      <c r="E395" s="86"/>
      <c r="F395" s="86"/>
      <c r="G395" s="86"/>
      <c r="H395" s="134"/>
      <c r="I395" s="86"/>
      <c r="J395" s="134"/>
      <c r="K395" s="86"/>
      <c r="L395" s="86"/>
      <c r="M395" s="173"/>
      <c r="N395" s="173"/>
      <c r="O395" s="173"/>
      <c r="P395" s="173"/>
      <c r="Q395" s="173"/>
      <c r="R395" s="173"/>
      <c r="S395" s="173"/>
      <c r="T395" s="173"/>
      <c r="U395" s="173"/>
      <c r="V395" s="165"/>
      <c r="W395" s="173"/>
      <c r="X395" s="173"/>
      <c r="Y395" s="173"/>
      <c r="Z395" s="173"/>
      <c r="AA395" s="173"/>
      <c r="AB395" s="173"/>
      <c r="AC395" s="173"/>
      <c r="AD395" s="173"/>
      <c r="AE395" s="173"/>
      <c r="AF395" s="174"/>
      <c r="AG395" s="16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65"/>
      <c r="AR395" s="173"/>
      <c r="AS395" s="173"/>
      <c r="AT395" s="173"/>
      <c r="AU395" s="173"/>
      <c r="AV395" s="173"/>
      <c r="AW395" s="173"/>
      <c r="AX395" s="173"/>
      <c r="AY395" s="173"/>
      <c r="AZ395" s="173"/>
      <c r="BB395" s="174"/>
      <c r="BC395" s="36"/>
    </row>
    <row r="396" spans="2:55" x14ac:dyDescent="0.3">
      <c r="B396" s="133"/>
      <c r="C396" s="86"/>
      <c r="E396" s="86"/>
      <c r="F396" s="86"/>
      <c r="G396" s="86"/>
      <c r="H396" s="134"/>
      <c r="I396" s="86"/>
      <c r="J396" s="134"/>
      <c r="K396" s="86"/>
      <c r="L396" s="86"/>
      <c r="M396" s="173"/>
      <c r="N396" s="173"/>
      <c r="O396" s="173"/>
      <c r="P396" s="173"/>
      <c r="Q396" s="173"/>
      <c r="R396" s="173"/>
      <c r="S396" s="173"/>
      <c r="T396" s="173"/>
      <c r="U396" s="173"/>
      <c r="V396" s="165"/>
      <c r="W396" s="173"/>
      <c r="X396" s="173"/>
      <c r="Y396" s="173"/>
      <c r="Z396" s="173"/>
      <c r="AA396" s="173"/>
      <c r="AB396" s="173"/>
      <c r="AC396" s="173"/>
      <c r="AD396" s="173"/>
      <c r="AE396" s="173"/>
      <c r="AF396" s="174"/>
      <c r="AG396" s="16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65"/>
      <c r="AR396" s="173"/>
      <c r="AS396" s="173"/>
      <c r="AT396" s="173"/>
      <c r="AU396" s="173"/>
      <c r="AV396" s="173"/>
      <c r="AW396" s="173"/>
      <c r="AX396" s="173"/>
      <c r="AY396" s="173"/>
      <c r="AZ396" s="173"/>
      <c r="BB396" s="174"/>
      <c r="BC396" s="36"/>
    </row>
    <row r="397" spans="2:55" x14ac:dyDescent="0.3">
      <c r="B397" s="133"/>
      <c r="C397" s="86"/>
      <c r="E397" s="86"/>
      <c r="F397" s="86"/>
      <c r="G397" s="86"/>
      <c r="H397" s="134"/>
      <c r="I397" s="86"/>
      <c r="J397" s="134"/>
      <c r="K397" s="86"/>
      <c r="L397" s="86"/>
      <c r="M397" s="173"/>
      <c r="N397" s="173"/>
      <c r="O397" s="173"/>
      <c r="P397" s="173"/>
      <c r="Q397" s="173"/>
      <c r="R397" s="173"/>
      <c r="S397" s="173"/>
      <c r="T397" s="173"/>
      <c r="U397" s="173"/>
      <c r="V397" s="165"/>
      <c r="W397" s="173"/>
      <c r="X397" s="173"/>
      <c r="Y397" s="173"/>
      <c r="Z397" s="173"/>
      <c r="AA397" s="173"/>
      <c r="AB397" s="173"/>
      <c r="AC397" s="173"/>
      <c r="AD397" s="173"/>
      <c r="AE397" s="173"/>
      <c r="AF397" s="174"/>
      <c r="AG397" s="16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65"/>
      <c r="AR397" s="173"/>
      <c r="AS397" s="173"/>
      <c r="AT397" s="173"/>
      <c r="AU397" s="173"/>
      <c r="AV397" s="173"/>
      <c r="AW397" s="173"/>
      <c r="AX397" s="173"/>
      <c r="AY397" s="173"/>
      <c r="AZ397" s="173"/>
      <c r="BB397" s="174"/>
      <c r="BC397" s="36"/>
    </row>
    <row r="398" spans="2:55" x14ac:dyDescent="0.3">
      <c r="B398" s="133"/>
      <c r="C398" s="86"/>
      <c r="E398" s="86"/>
      <c r="F398" s="86"/>
      <c r="G398" s="86"/>
      <c r="H398" s="134"/>
      <c r="I398" s="86"/>
      <c r="J398" s="134"/>
      <c r="K398" s="86"/>
      <c r="L398" s="86"/>
      <c r="M398" s="173"/>
      <c r="N398" s="173"/>
      <c r="O398" s="173"/>
      <c r="P398" s="173"/>
      <c r="Q398" s="173"/>
      <c r="R398" s="173"/>
      <c r="S398" s="173"/>
      <c r="T398" s="173"/>
      <c r="U398" s="173"/>
      <c r="V398" s="165"/>
      <c r="W398" s="173"/>
      <c r="X398" s="173"/>
      <c r="Y398" s="173"/>
      <c r="Z398" s="173"/>
      <c r="AA398" s="173"/>
      <c r="AB398" s="173"/>
      <c r="AC398" s="173"/>
      <c r="AD398" s="173"/>
      <c r="AE398" s="173"/>
      <c r="AF398" s="174"/>
      <c r="AG398" s="16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65"/>
      <c r="AR398" s="173"/>
      <c r="AS398" s="173"/>
      <c r="AT398" s="173"/>
      <c r="AU398" s="173"/>
      <c r="AV398" s="173"/>
      <c r="AW398" s="173"/>
      <c r="AX398" s="173"/>
      <c r="AY398" s="173"/>
      <c r="AZ398" s="173"/>
      <c r="BB398" s="174"/>
      <c r="BC398" s="36"/>
    </row>
    <row r="399" spans="2:55" x14ac:dyDescent="0.3">
      <c r="B399" s="133"/>
      <c r="C399" s="86"/>
      <c r="E399" s="86"/>
      <c r="F399" s="86"/>
      <c r="G399" s="86"/>
      <c r="H399" s="134"/>
      <c r="I399" s="86"/>
      <c r="J399" s="134"/>
      <c r="K399" s="86"/>
      <c r="L399" s="86"/>
      <c r="M399" s="173"/>
      <c r="N399" s="173"/>
      <c r="O399" s="173"/>
      <c r="P399" s="173"/>
      <c r="Q399" s="173"/>
      <c r="R399" s="173"/>
      <c r="S399" s="173"/>
      <c r="T399" s="173"/>
      <c r="U399" s="173"/>
      <c r="V399" s="165"/>
      <c r="W399" s="173"/>
      <c r="X399" s="173"/>
      <c r="Y399" s="173"/>
      <c r="Z399" s="173"/>
      <c r="AA399" s="173"/>
      <c r="AB399" s="173"/>
      <c r="AC399" s="173"/>
      <c r="AD399" s="173"/>
      <c r="AE399" s="173"/>
      <c r="AF399" s="174"/>
      <c r="AG399" s="16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65"/>
      <c r="AR399" s="173"/>
      <c r="AS399" s="173"/>
      <c r="AT399" s="173"/>
      <c r="AU399" s="173"/>
      <c r="AV399" s="173"/>
      <c r="AW399" s="173"/>
      <c r="AX399" s="173"/>
      <c r="AY399" s="173"/>
      <c r="AZ399" s="173"/>
      <c r="BB399" s="174"/>
      <c r="BC399" s="36"/>
    </row>
    <row r="400" spans="2:55" x14ac:dyDescent="0.3">
      <c r="B400" s="133"/>
      <c r="C400" s="86"/>
      <c r="E400" s="86"/>
      <c r="F400" s="86"/>
      <c r="G400" s="86"/>
      <c r="H400" s="134"/>
      <c r="I400" s="86"/>
      <c r="J400" s="134"/>
      <c r="K400" s="86"/>
      <c r="L400" s="86"/>
      <c r="M400" s="173"/>
      <c r="N400" s="173"/>
      <c r="O400" s="173"/>
      <c r="P400" s="173"/>
      <c r="Q400" s="173"/>
      <c r="R400" s="173"/>
      <c r="S400" s="173"/>
      <c r="T400" s="173"/>
      <c r="U400" s="173"/>
      <c r="V400" s="165"/>
      <c r="W400" s="173"/>
      <c r="X400" s="173"/>
      <c r="Y400" s="173"/>
      <c r="Z400" s="173"/>
      <c r="AA400" s="173"/>
      <c r="AB400" s="173"/>
      <c r="AC400" s="173"/>
      <c r="AD400" s="173"/>
      <c r="AE400" s="173"/>
      <c r="AF400" s="174"/>
      <c r="AG400" s="16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65"/>
      <c r="AR400" s="173"/>
      <c r="AS400" s="173"/>
      <c r="AT400" s="173"/>
      <c r="AU400" s="173"/>
      <c r="AV400" s="173"/>
      <c r="AW400" s="173"/>
      <c r="AX400" s="173"/>
      <c r="AY400" s="173"/>
      <c r="AZ400" s="173"/>
      <c r="BB400" s="174"/>
      <c r="BC400" s="36"/>
    </row>
    <row r="401" spans="2:55" x14ac:dyDescent="0.3">
      <c r="B401" s="133"/>
      <c r="C401" s="86"/>
      <c r="E401" s="86"/>
      <c r="F401" s="86"/>
      <c r="G401" s="86"/>
      <c r="H401" s="134"/>
      <c r="I401" s="86"/>
      <c r="J401" s="134"/>
      <c r="K401" s="86"/>
      <c r="L401" s="86"/>
      <c r="M401" s="173"/>
      <c r="N401" s="173"/>
      <c r="O401" s="173"/>
      <c r="P401" s="173"/>
      <c r="Q401" s="173"/>
      <c r="R401" s="173"/>
      <c r="S401" s="173"/>
      <c r="T401" s="173"/>
      <c r="U401" s="173"/>
      <c r="V401" s="165"/>
      <c r="W401" s="173"/>
      <c r="X401" s="173"/>
      <c r="Y401" s="173"/>
      <c r="Z401" s="173"/>
      <c r="AA401" s="173"/>
      <c r="AB401" s="173"/>
      <c r="AC401" s="173"/>
      <c r="AD401" s="173"/>
      <c r="AE401" s="173"/>
      <c r="AF401" s="174"/>
      <c r="AG401" s="16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65"/>
      <c r="AR401" s="173"/>
      <c r="AS401" s="173"/>
      <c r="AT401" s="173"/>
      <c r="AU401" s="173"/>
      <c r="AV401" s="173"/>
      <c r="AW401" s="173"/>
      <c r="AX401" s="173"/>
      <c r="AY401" s="173"/>
      <c r="AZ401" s="173"/>
      <c r="BB401" s="174"/>
      <c r="BC401" s="36"/>
    </row>
    <row r="402" spans="2:55" x14ac:dyDescent="0.3">
      <c r="B402" s="133"/>
      <c r="C402" s="86"/>
      <c r="E402" s="86"/>
      <c r="F402" s="86"/>
      <c r="G402" s="86"/>
      <c r="H402" s="134"/>
      <c r="I402" s="86"/>
      <c r="J402" s="134"/>
      <c r="K402" s="86"/>
      <c r="L402" s="86"/>
      <c r="M402" s="173"/>
      <c r="N402" s="173"/>
      <c r="O402" s="173"/>
      <c r="P402" s="173"/>
      <c r="Q402" s="173"/>
      <c r="R402" s="173"/>
      <c r="S402" s="173"/>
      <c r="T402" s="173"/>
      <c r="U402" s="173"/>
      <c r="V402" s="165"/>
      <c r="W402" s="173"/>
      <c r="X402" s="173"/>
      <c r="Y402" s="173"/>
      <c r="Z402" s="173"/>
      <c r="AA402" s="173"/>
      <c r="AB402" s="173"/>
      <c r="AC402" s="173"/>
      <c r="AD402" s="173"/>
      <c r="AE402" s="173"/>
      <c r="AF402" s="174"/>
      <c r="AG402" s="16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65"/>
      <c r="AR402" s="173"/>
      <c r="AS402" s="173"/>
      <c r="AT402" s="173"/>
      <c r="AU402" s="173"/>
      <c r="AV402" s="173"/>
      <c r="AW402" s="173"/>
      <c r="AX402" s="173"/>
      <c r="AY402" s="173"/>
      <c r="AZ402" s="173"/>
      <c r="BB402" s="174"/>
      <c r="BC402" s="36"/>
    </row>
    <row r="403" spans="2:55" x14ac:dyDescent="0.3">
      <c r="B403" s="133"/>
      <c r="C403" s="86"/>
      <c r="E403" s="86"/>
      <c r="F403" s="86"/>
      <c r="G403" s="86"/>
      <c r="H403" s="134"/>
      <c r="I403" s="86"/>
      <c r="J403" s="134"/>
      <c r="K403" s="86"/>
      <c r="L403" s="86"/>
      <c r="M403" s="173"/>
      <c r="N403" s="173"/>
      <c r="O403" s="173"/>
      <c r="P403" s="173"/>
      <c r="Q403" s="173"/>
      <c r="R403" s="173"/>
      <c r="S403" s="173"/>
      <c r="T403" s="173"/>
      <c r="U403" s="173"/>
      <c r="V403" s="165"/>
      <c r="W403" s="173"/>
      <c r="X403" s="173"/>
      <c r="Y403" s="173"/>
      <c r="Z403" s="173"/>
      <c r="AA403" s="173"/>
      <c r="AB403" s="173"/>
      <c r="AC403" s="173"/>
      <c r="AD403" s="173"/>
      <c r="AE403" s="173"/>
      <c r="AF403" s="174"/>
      <c r="AG403" s="16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65"/>
      <c r="AR403" s="173"/>
      <c r="AS403" s="173"/>
      <c r="AT403" s="173"/>
      <c r="AU403" s="173"/>
      <c r="AV403" s="173"/>
      <c r="AW403" s="173"/>
      <c r="AX403" s="173"/>
      <c r="AY403" s="173"/>
      <c r="AZ403" s="173"/>
      <c r="BB403" s="174"/>
      <c r="BC403" s="36"/>
    </row>
    <row r="404" spans="2:55" x14ac:dyDescent="0.3">
      <c r="B404" s="133"/>
      <c r="C404" s="86"/>
      <c r="E404" s="86"/>
      <c r="F404" s="86"/>
      <c r="G404" s="86"/>
      <c r="H404" s="134"/>
      <c r="I404" s="86"/>
      <c r="J404" s="134"/>
      <c r="K404" s="86"/>
      <c r="L404" s="86"/>
      <c r="M404" s="173"/>
      <c r="N404" s="173"/>
      <c r="O404" s="173"/>
      <c r="P404" s="173"/>
      <c r="Q404" s="173"/>
      <c r="R404" s="173"/>
      <c r="S404" s="173"/>
      <c r="T404" s="173"/>
      <c r="U404" s="173"/>
      <c r="V404" s="165"/>
      <c r="W404" s="173"/>
      <c r="X404" s="173"/>
      <c r="Y404" s="173"/>
      <c r="Z404" s="173"/>
      <c r="AA404" s="173"/>
      <c r="AB404" s="173"/>
      <c r="AC404" s="173"/>
      <c r="AD404" s="173"/>
      <c r="AE404" s="173"/>
      <c r="AF404" s="174"/>
      <c r="AG404" s="16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65"/>
      <c r="AR404" s="173"/>
      <c r="AS404" s="173"/>
      <c r="AT404" s="173"/>
      <c r="AU404" s="173"/>
      <c r="AV404" s="173"/>
      <c r="AW404" s="173"/>
      <c r="AX404" s="173"/>
      <c r="AY404" s="173"/>
      <c r="AZ404" s="173"/>
      <c r="BB404" s="174"/>
      <c r="BC404" s="36"/>
    </row>
    <row r="405" spans="2:55" x14ac:dyDescent="0.3">
      <c r="B405" s="133"/>
      <c r="C405" s="86"/>
      <c r="E405" s="86"/>
      <c r="F405" s="86"/>
      <c r="G405" s="86"/>
      <c r="H405" s="134"/>
      <c r="I405" s="86"/>
      <c r="J405" s="134"/>
      <c r="K405" s="86"/>
      <c r="L405" s="86"/>
      <c r="M405" s="173"/>
      <c r="N405" s="173"/>
      <c r="O405" s="173"/>
      <c r="P405" s="173"/>
      <c r="Q405" s="173"/>
      <c r="R405" s="173"/>
      <c r="S405" s="173"/>
      <c r="T405" s="173"/>
      <c r="U405" s="173"/>
      <c r="V405" s="165"/>
      <c r="W405" s="173"/>
      <c r="X405" s="173"/>
      <c r="Y405" s="173"/>
      <c r="Z405" s="173"/>
      <c r="AA405" s="173"/>
      <c r="AB405" s="173"/>
      <c r="AC405" s="173"/>
      <c r="AD405" s="173"/>
      <c r="AE405" s="173"/>
      <c r="AF405" s="174"/>
      <c r="AG405" s="16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65"/>
      <c r="AR405" s="173"/>
      <c r="AS405" s="173"/>
      <c r="AT405" s="173"/>
      <c r="AU405" s="173"/>
      <c r="AV405" s="173"/>
      <c r="AW405" s="173"/>
      <c r="AX405" s="173"/>
      <c r="AY405" s="173"/>
      <c r="AZ405" s="173"/>
      <c r="BB405" s="174"/>
      <c r="BC405" s="36"/>
    </row>
    <row r="406" spans="2:55" x14ac:dyDescent="0.3">
      <c r="B406" s="133"/>
      <c r="C406" s="86"/>
      <c r="E406" s="86"/>
      <c r="F406" s="86"/>
      <c r="G406" s="86"/>
      <c r="H406" s="134"/>
      <c r="I406" s="86"/>
      <c r="J406" s="134"/>
      <c r="K406" s="86"/>
      <c r="L406" s="86"/>
      <c r="M406" s="173"/>
      <c r="N406" s="173"/>
      <c r="O406" s="173"/>
      <c r="P406" s="173"/>
      <c r="Q406" s="173"/>
      <c r="R406" s="173"/>
      <c r="S406" s="173"/>
      <c r="T406" s="173"/>
      <c r="U406" s="173"/>
      <c r="V406" s="165"/>
      <c r="W406" s="173"/>
      <c r="X406" s="173"/>
      <c r="Y406" s="173"/>
      <c r="Z406" s="173"/>
      <c r="AA406" s="173"/>
      <c r="AB406" s="173"/>
      <c r="AC406" s="173"/>
      <c r="AD406" s="173"/>
      <c r="AE406" s="173"/>
      <c r="AF406" s="174"/>
      <c r="AG406" s="16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65"/>
      <c r="AR406" s="173"/>
      <c r="AS406" s="173"/>
      <c r="AT406" s="173"/>
      <c r="AU406" s="173"/>
      <c r="AV406" s="173"/>
      <c r="AW406" s="173"/>
      <c r="AX406" s="173"/>
      <c r="AY406" s="173"/>
      <c r="AZ406" s="173"/>
      <c r="BB406" s="174"/>
      <c r="BC406" s="36"/>
    </row>
    <row r="407" spans="2:55" x14ac:dyDescent="0.3">
      <c r="B407" s="133"/>
      <c r="C407" s="86"/>
      <c r="E407" s="86"/>
      <c r="F407" s="86"/>
      <c r="G407" s="86"/>
      <c r="H407" s="134"/>
      <c r="I407" s="86"/>
      <c r="J407" s="134"/>
      <c r="K407" s="86"/>
      <c r="L407" s="86"/>
      <c r="M407" s="173"/>
      <c r="N407" s="173"/>
      <c r="O407" s="173"/>
      <c r="P407" s="173"/>
      <c r="Q407" s="173"/>
      <c r="R407" s="173"/>
      <c r="S407" s="173"/>
      <c r="T407" s="173"/>
      <c r="U407" s="173"/>
      <c r="V407" s="165"/>
      <c r="W407" s="173"/>
      <c r="X407" s="173"/>
      <c r="Y407" s="173"/>
      <c r="Z407" s="173"/>
      <c r="AA407" s="173"/>
      <c r="AB407" s="173"/>
      <c r="AC407" s="173"/>
      <c r="AD407" s="173"/>
      <c r="AE407" s="173"/>
      <c r="AF407" s="174"/>
      <c r="AG407" s="16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65"/>
      <c r="AR407" s="173"/>
      <c r="AS407" s="173"/>
      <c r="AT407" s="173"/>
      <c r="AU407" s="173"/>
      <c r="AV407" s="173"/>
      <c r="AW407" s="173"/>
      <c r="AX407" s="173"/>
      <c r="AY407" s="173"/>
      <c r="AZ407" s="173"/>
      <c r="BB407" s="174"/>
      <c r="BC407" s="36"/>
    </row>
    <row r="408" spans="2:55" x14ac:dyDescent="0.3">
      <c r="B408" s="133"/>
      <c r="C408" s="86"/>
      <c r="E408" s="86"/>
      <c r="F408" s="86"/>
      <c r="G408" s="86"/>
      <c r="H408" s="134"/>
      <c r="I408" s="86"/>
      <c r="J408" s="134"/>
      <c r="K408" s="86"/>
      <c r="L408" s="86"/>
      <c r="M408" s="173"/>
      <c r="N408" s="173"/>
      <c r="O408" s="173"/>
      <c r="P408" s="173"/>
      <c r="Q408" s="173"/>
      <c r="R408" s="173"/>
      <c r="S408" s="173"/>
      <c r="T408" s="173"/>
      <c r="U408" s="173"/>
      <c r="V408" s="165"/>
      <c r="W408" s="173"/>
      <c r="X408" s="173"/>
      <c r="Y408" s="173"/>
      <c r="Z408" s="173"/>
      <c r="AA408" s="173"/>
      <c r="AB408" s="173"/>
      <c r="AC408" s="173"/>
      <c r="AD408" s="173"/>
      <c r="AE408" s="173"/>
      <c r="AF408" s="174"/>
      <c r="AG408" s="165"/>
      <c r="AH408" s="175"/>
      <c r="AI408" s="175"/>
      <c r="AJ408" s="175"/>
      <c r="AK408" s="175"/>
      <c r="AL408" s="175"/>
      <c r="AM408" s="175"/>
      <c r="AN408" s="175"/>
      <c r="AO408" s="175"/>
      <c r="AP408" s="175"/>
      <c r="AQ408" s="165"/>
      <c r="AR408" s="173"/>
      <c r="AS408" s="173"/>
      <c r="AT408" s="173"/>
      <c r="AU408" s="173"/>
      <c r="AV408" s="173"/>
      <c r="AW408" s="173"/>
      <c r="AX408" s="173"/>
      <c r="AY408" s="173"/>
      <c r="AZ408" s="173"/>
      <c r="BB408" s="174"/>
      <c r="BC408" s="36"/>
    </row>
    <row r="409" spans="2:55" x14ac:dyDescent="0.3">
      <c r="B409" s="133"/>
      <c r="C409" s="86"/>
      <c r="E409" s="86"/>
      <c r="F409" s="86"/>
      <c r="G409" s="86"/>
      <c r="H409" s="134"/>
      <c r="I409" s="86"/>
      <c r="J409" s="134"/>
      <c r="K409" s="86"/>
      <c r="L409" s="86"/>
      <c r="M409" s="173"/>
      <c r="N409" s="173"/>
      <c r="O409" s="173"/>
      <c r="P409" s="173"/>
      <c r="Q409" s="173"/>
      <c r="R409" s="173"/>
      <c r="S409" s="173"/>
      <c r="T409" s="173"/>
      <c r="U409" s="173"/>
      <c r="V409" s="165"/>
      <c r="W409" s="173"/>
      <c r="X409" s="173"/>
      <c r="Y409" s="173"/>
      <c r="Z409" s="173"/>
      <c r="AA409" s="173"/>
      <c r="AB409" s="173"/>
      <c r="AC409" s="173"/>
      <c r="AD409" s="173"/>
      <c r="AE409" s="173"/>
      <c r="AF409" s="174"/>
      <c r="AG409" s="16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65"/>
      <c r="AR409" s="173"/>
      <c r="AS409" s="173"/>
      <c r="AT409" s="173"/>
      <c r="AU409" s="173"/>
      <c r="AV409" s="173"/>
      <c r="AW409" s="173"/>
      <c r="AX409" s="173"/>
      <c r="AY409" s="173"/>
      <c r="AZ409" s="173"/>
      <c r="BB409" s="174"/>
      <c r="BC409" s="36"/>
    </row>
    <row r="410" spans="2:55" x14ac:dyDescent="0.3">
      <c r="B410" s="133"/>
      <c r="C410" s="86"/>
      <c r="E410" s="86"/>
      <c r="F410" s="86"/>
      <c r="G410" s="86"/>
      <c r="H410" s="134"/>
      <c r="I410" s="86"/>
      <c r="J410" s="134"/>
      <c r="K410" s="86"/>
      <c r="L410" s="86"/>
      <c r="M410" s="173"/>
      <c r="N410" s="173"/>
      <c r="O410" s="173"/>
      <c r="P410" s="173"/>
      <c r="Q410" s="173"/>
      <c r="R410" s="173"/>
      <c r="S410" s="173"/>
      <c r="T410" s="173"/>
      <c r="U410" s="173"/>
      <c r="V410" s="165"/>
      <c r="W410" s="173"/>
      <c r="X410" s="173"/>
      <c r="Y410" s="173"/>
      <c r="Z410" s="173"/>
      <c r="AA410" s="173"/>
      <c r="AB410" s="173"/>
      <c r="AC410" s="173"/>
      <c r="AD410" s="173"/>
      <c r="AE410" s="173"/>
      <c r="AF410" s="174"/>
      <c r="AG410" s="165"/>
      <c r="AH410" s="175"/>
      <c r="AI410" s="175"/>
      <c r="AJ410" s="175"/>
      <c r="AK410" s="175"/>
      <c r="AL410" s="175"/>
      <c r="AM410" s="175"/>
      <c r="AN410" s="175"/>
      <c r="AO410" s="175"/>
      <c r="AP410" s="175"/>
      <c r="AQ410" s="165"/>
      <c r="AR410" s="173"/>
      <c r="AS410" s="173"/>
      <c r="AT410" s="173"/>
      <c r="AU410" s="173"/>
      <c r="AV410" s="173"/>
      <c r="AW410" s="173"/>
      <c r="AX410" s="173"/>
      <c r="AY410" s="173"/>
      <c r="AZ410" s="173"/>
      <c r="BB410" s="174"/>
      <c r="BC410" s="36"/>
    </row>
    <row r="411" spans="2:55" x14ac:dyDescent="0.3">
      <c r="B411" s="133"/>
      <c r="C411" s="86"/>
      <c r="E411" s="86"/>
      <c r="F411" s="86"/>
      <c r="G411" s="86"/>
      <c r="H411" s="134"/>
      <c r="I411" s="86"/>
      <c r="J411" s="134"/>
      <c r="K411" s="86"/>
      <c r="L411" s="86"/>
      <c r="M411" s="173"/>
      <c r="N411" s="173"/>
      <c r="O411" s="173"/>
      <c r="P411" s="173"/>
      <c r="Q411" s="173"/>
      <c r="R411" s="173"/>
      <c r="S411" s="173"/>
      <c r="T411" s="173"/>
      <c r="U411" s="173"/>
      <c r="V411" s="165"/>
      <c r="W411" s="173"/>
      <c r="X411" s="173"/>
      <c r="Y411" s="173"/>
      <c r="Z411" s="173"/>
      <c r="AA411" s="173"/>
      <c r="AB411" s="173"/>
      <c r="AC411" s="173"/>
      <c r="AD411" s="173"/>
      <c r="AE411" s="173"/>
      <c r="AF411" s="174"/>
      <c r="AG411" s="16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65"/>
      <c r="AR411" s="173"/>
      <c r="AS411" s="173"/>
      <c r="AT411" s="173"/>
      <c r="AU411" s="173"/>
      <c r="AV411" s="173"/>
      <c r="AW411" s="173"/>
      <c r="AX411" s="173"/>
      <c r="AY411" s="173"/>
      <c r="AZ411" s="173"/>
      <c r="BB411" s="174"/>
      <c r="BC411" s="36"/>
    </row>
    <row r="412" spans="2:55" x14ac:dyDescent="0.3">
      <c r="B412" s="133"/>
      <c r="C412" s="86"/>
      <c r="E412" s="86"/>
      <c r="F412" s="86"/>
      <c r="G412" s="86"/>
      <c r="H412" s="134"/>
      <c r="I412" s="86"/>
      <c r="J412" s="134"/>
      <c r="K412" s="86"/>
      <c r="L412" s="86"/>
      <c r="M412" s="173"/>
      <c r="N412" s="173"/>
      <c r="O412" s="173"/>
      <c r="P412" s="173"/>
      <c r="Q412" s="173"/>
      <c r="R412" s="173"/>
      <c r="S412" s="173"/>
      <c r="T412" s="173"/>
      <c r="U412" s="173"/>
      <c r="V412" s="165"/>
      <c r="W412" s="173"/>
      <c r="X412" s="173"/>
      <c r="Y412" s="173"/>
      <c r="Z412" s="173"/>
      <c r="AA412" s="173"/>
      <c r="AB412" s="173"/>
      <c r="AC412" s="173"/>
      <c r="AD412" s="173"/>
      <c r="AE412" s="173"/>
      <c r="AF412" s="174"/>
      <c r="AG412" s="16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65"/>
      <c r="AR412" s="173"/>
      <c r="AS412" s="173"/>
      <c r="AT412" s="173"/>
      <c r="AU412" s="173"/>
      <c r="AV412" s="173"/>
      <c r="AW412" s="173"/>
      <c r="AX412" s="173"/>
      <c r="AY412" s="173"/>
      <c r="AZ412" s="173"/>
      <c r="BB412" s="174"/>
      <c r="BC412" s="36"/>
    </row>
    <row r="413" spans="2:55" x14ac:dyDescent="0.3">
      <c r="B413" s="133"/>
      <c r="C413" s="86"/>
      <c r="E413" s="86"/>
      <c r="F413" s="86"/>
      <c r="G413" s="86"/>
      <c r="H413" s="134"/>
      <c r="I413" s="86"/>
      <c r="J413" s="134"/>
      <c r="K413" s="86"/>
      <c r="L413" s="86"/>
      <c r="M413" s="173"/>
      <c r="N413" s="173"/>
      <c r="O413" s="173"/>
      <c r="P413" s="173"/>
      <c r="Q413" s="173"/>
      <c r="R413" s="173"/>
      <c r="S413" s="173"/>
      <c r="T413" s="173"/>
      <c r="U413" s="173"/>
      <c r="V413" s="165"/>
      <c r="W413" s="173"/>
      <c r="X413" s="173"/>
      <c r="Y413" s="173"/>
      <c r="Z413" s="173"/>
      <c r="AA413" s="173"/>
      <c r="AB413" s="173"/>
      <c r="AC413" s="173"/>
      <c r="AD413" s="173"/>
      <c r="AE413" s="173"/>
      <c r="AF413" s="174"/>
      <c r="AG413" s="16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65"/>
      <c r="AR413" s="173"/>
      <c r="AS413" s="173"/>
      <c r="AT413" s="173"/>
      <c r="AU413" s="173"/>
      <c r="AV413" s="173"/>
      <c r="AW413" s="173"/>
      <c r="AX413" s="173"/>
      <c r="AY413" s="173"/>
      <c r="AZ413" s="173"/>
      <c r="BB413" s="174"/>
      <c r="BC413" s="36"/>
    </row>
    <row r="414" spans="2:55" x14ac:dyDescent="0.3">
      <c r="B414" s="133"/>
      <c r="C414" s="86"/>
      <c r="E414" s="86"/>
      <c r="F414" s="86"/>
      <c r="G414" s="86"/>
      <c r="H414" s="134"/>
      <c r="I414" s="86"/>
      <c r="J414" s="134"/>
      <c r="K414" s="86"/>
      <c r="L414" s="86"/>
      <c r="M414" s="173"/>
      <c r="N414" s="173"/>
      <c r="O414" s="173"/>
      <c r="P414" s="173"/>
      <c r="Q414" s="173"/>
      <c r="R414" s="173"/>
      <c r="S414" s="173"/>
      <c r="T414" s="173"/>
      <c r="U414" s="173"/>
      <c r="V414" s="165"/>
      <c r="W414" s="173"/>
      <c r="X414" s="173"/>
      <c r="Y414" s="173"/>
      <c r="Z414" s="173"/>
      <c r="AA414" s="173"/>
      <c r="AB414" s="173"/>
      <c r="AC414" s="173"/>
      <c r="AD414" s="173"/>
      <c r="AE414" s="173"/>
      <c r="AF414" s="174"/>
      <c r="AG414" s="16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65"/>
      <c r="AR414" s="173"/>
      <c r="AS414" s="173"/>
      <c r="AT414" s="173"/>
      <c r="AU414" s="173"/>
      <c r="AV414" s="173"/>
      <c r="AW414" s="173"/>
      <c r="AX414" s="173"/>
      <c r="AY414" s="173"/>
      <c r="AZ414" s="173"/>
      <c r="BB414" s="174"/>
      <c r="BC414" s="36"/>
    </row>
    <row r="415" spans="2:55" x14ac:dyDescent="0.3">
      <c r="B415" s="133"/>
      <c r="C415" s="86"/>
      <c r="E415" s="86"/>
      <c r="F415" s="86"/>
      <c r="G415" s="86"/>
      <c r="H415" s="134"/>
      <c r="I415" s="86"/>
      <c r="J415" s="134"/>
      <c r="K415" s="86"/>
      <c r="L415" s="86"/>
      <c r="M415" s="173"/>
      <c r="N415" s="173"/>
      <c r="O415" s="173"/>
      <c r="P415" s="173"/>
      <c r="Q415" s="173"/>
      <c r="R415" s="173"/>
      <c r="S415" s="173"/>
      <c r="T415" s="173"/>
      <c r="U415" s="173"/>
      <c r="V415" s="165"/>
      <c r="W415" s="173"/>
      <c r="X415" s="173"/>
      <c r="Y415" s="173"/>
      <c r="Z415" s="173"/>
      <c r="AA415" s="173"/>
      <c r="AB415" s="173"/>
      <c r="AC415" s="173"/>
      <c r="AD415" s="173"/>
      <c r="AE415" s="173"/>
      <c r="AF415" s="174"/>
      <c r="AG415" s="16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65"/>
      <c r="AR415" s="173"/>
      <c r="AS415" s="173"/>
      <c r="AT415" s="173"/>
      <c r="AU415" s="173"/>
      <c r="AV415" s="173"/>
      <c r="AW415" s="173"/>
      <c r="AX415" s="173"/>
      <c r="AY415" s="173"/>
      <c r="AZ415" s="173"/>
      <c r="BB415" s="174"/>
      <c r="BC415" s="36"/>
    </row>
    <row r="416" spans="2:55" x14ac:dyDescent="0.3">
      <c r="B416" s="133"/>
      <c r="C416" s="86"/>
      <c r="E416" s="86"/>
      <c r="F416" s="86"/>
      <c r="G416" s="86"/>
      <c r="H416" s="134"/>
      <c r="I416" s="86"/>
      <c r="J416" s="134"/>
      <c r="K416" s="86"/>
      <c r="L416" s="86"/>
      <c r="M416" s="173"/>
      <c r="N416" s="173"/>
      <c r="O416" s="173"/>
      <c r="P416" s="173"/>
      <c r="Q416" s="173"/>
      <c r="R416" s="173"/>
      <c r="S416" s="173"/>
      <c r="T416" s="173"/>
      <c r="U416" s="173"/>
      <c r="V416" s="165"/>
      <c r="W416" s="173"/>
      <c r="X416" s="173"/>
      <c r="Y416" s="173"/>
      <c r="Z416" s="173"/>
      <c r="AA416" s="173"/>
      <c r="AB416" s="173"/>
      <c r="AC416" s="173"/>
      <c r="AD416" s="173"/>
      <c r="AE416" s="173"/>
      <c r="AF416" s="174"/>
      <c r="AG416" s="16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65"/>
      <c r="AR416" s="173"/>
      <c r="AS416" s="173"/>
      <c r="AT416" s="173"/>
      <c r="AU416" s="173"/>
      <c r="AV416" s="173"/>
      <c r="AW416" s="173"/>
      <c r="AX416" s="173"/>
      <c r="AY416" s="173"/>
      <c r="AZ416" s="173"/>
      <c r="BB416" s="174"/>
      <c r="BC416" s="36"/>
    </row>
    <row r="417" spans="2:55" x14ac:dyDescent="0.3">
      <c r="B417" s="133"/>
      <c r="C417" s="86"/>
      <c r="E417" s="86"/>
      <c r="F417" s="86"/>
      <c r="G417" s="86"/>
      <c r="H417" s="134"/>
      <c r="I417" s="86"/>
      <c r="J417" s="134"/>
      <c r="K417" s="86"/>
      <c r="L417" s="86"/>
      <c r="M417" s="173"/>
      <c r="N417" s="173"/>
      <c r="O417" s="173"/>
      <c r="P417" s="173"/>
      <c r="Q417" s="173"/>
      <c r="R417" s="173"/>
      <c r="S417" s="173"/>
      <c r="T417" s="173"/>
      <c r="U417" s="173"/>
      <c r="V417" s="165"/>
      <c r="W417" s="173"/>
      <c r="X417" s="173"/>
      <c r="Y417" s="173"/>
      <c r="Z417" s="173"/>
      <c r="AA417" s="173"/>
      <c r="AB417" s="173"/>
      <c r="AC417" s="173"/>
      <c r="AD417" s="173"/>
      <c r="AE417" s="173"/>
      <c r="AF417" s="174"/>
      <c r="AG417" s="16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65"/>
      <c r="AR417" s="173"/>
      <c r="AS417" s="173"/>
      <c r="AT417" s="173"/>
      <c r="AU417" s="173"/>
      <c r="AV417" s="173"/>
      <c r="AW417" s="173"/>
      <c r="AX417" s="173"/>
      <c r="AY417" s="173"/>
      <c r="AZ417" s="173"/>
      <c r="BB417" s="174"/>
      <c r="BC417" s="36"/>
    </row>
    <row r="418" spans="2:55" x14ac:dyDescent="0.3">
      <c r="B418" s="133"/>
      <c r="C418" s="86"/>
      <c r="E418" s="86"/>
      <c r="F418" s="86"/>
      <c r="G418" s="86"/>
      <c r="H418" s="134"/>
      <c r="I418" s="86"/>
      <c r="J418" s="134"/>
      <c r="K418" s="86"/>
      <c r="L418" s="86"/>
      <c r="M418" s="173"/>
      <c r="N418" s="173"/>
      <c r="O418" s="173"/>
      <c r="P418" s="173"/>
      <c r="Q418" s="173"/>
      <c r="R418" s="173"/>
      <c r="S418" s="173"/>
      <c r="T418" s="173"/>
      <c r="U418" s="173"/>
      <c r="V418" s="165"/>
      <c r="W418" s="173"/>
      <c r="X418" s="173"/>
      <c r="Y418" s="173"/>
      <c r="Z418" s="173"/>
      <c r="AA418" s="173"/>
      <c r="AB418" s="173"/>
      <c r="AC418" s="173"/>
      <c r="AD418" s="173"/>
      <c r="AE418" s="173"/>
      <c r="AF418" s="174"/>
      <c r="AG418" s="16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65"/>
      <c r="AR418" s="173"/>
      <c r="AS418" s="173"/>
      <c r="AT418" s="173"/>
      <c r="AU418" s="173"/>
      <c r="AV418" s="173"/>
      <c r="AW418" s="173"/>
      <c r="AX418" s="173"/>
      <c r="AY418" s="173"/>
      <c r="AZ418" s="173"/>
      <c r="BB418" s="174"/>
      <c r="BC418" s="36"/>
    </row>
    <row r="419" spans="2:55" x14ac:dyDescent="0.3">
      <c r="B419" s="133"/>
      <c r="C419" s="86"/>
      <c r="E419" s="86"/>
      <c r="F419" s="86"/>
      <c r="G419" s="86"/>
      <c r="H419" s="134"/>
      <c r="I419" s="86"/>
      <c r="J419" s="134"/>
      <c r="K419" s="86"/>
      <c r="L419" s="86"/>
      <c r="M419" s="173"/>
      <c r="N419" s="173"/>
      <c r="O419" s="173"/>
      <c r="P419" s="173"/>
      <c r="Q419" s="173"/>
      <c r="R419" s="173"/>
      <c r="S419" s="173"/>
      <c r="T419" s="173"/>
      <c r="U419" s="173"/>
      <c r="V419" s="165"/>
      <c r="W419" s="173"/>
      <c r="X419" s="173"/>
      <c r="Y419" s="173"/>
      <c r="Z419" s="173"/>
      <c r="AA419" s="173"/>
      <c r="AB419" s="173"/>
      <c r="AC419" s="173"/>
      <c r="AD419" s="173"/>
      <c r="AE419" s="173"/>
      <c r="AF419" s="174"/>
      <c r="AG419" s="16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65"/>
      <c r="AR419" s="173"/>
      <c r="AS419" s="173"/>
      <c r="AT419" s="173"/>
      <c r="AU419" s="173"/>
      <c r="AV419" s="173"/>
      <c r="AW419" s="173"/>
      <c r="AX419" s="173"/>
      <c r="AY419" s="173"/>
      <c r="AZ419" s="173"/>
      <c r="BB419" s="174"/>
      <c r="BC419" s="36"/>
    </row>
    <row r="420" spans="2:55" x14ac:dyDescent="0.3">
      <c r="B420" s="133"/>
      <c r="C420" s="86"/>
      <c r="E420" s="86"/>
      <c r="F420" s="86"/>
      <c r="G420" s="86"/>
      <c r="H420" s="134"/>
      <c r="I420" s="86"/>
      <c r="J420" s="134"/>
      <c r="K420" s="86"/>
      <c r="L420" s="86"/>
      <c r="M420" s="173"/>
      <c r="N420" s="173"/>
      <c r="O420" s="173"/>
      <c r="P420" s="173"/>
      <c r="Q420" s="173"/>
      <c r="R420" s="173"/>
      <c r="S420" s="173"/>
      <c r="T420" s="173"/>
      <c r="U420" s="173"/>
      <c r="V420" s="165"/>
      <c r="W420" s="173"/>
      <c r="X420" s="173"/>
      <c r="Y420" s="173"/>
      <c r="Z420" s="173"/>
      <c r="AA420" s="173"/>
      <c r="AB420" s="173"/>
      <c r="AC420" s="173"/>
      <c r="AD420" s="173"/>
      <c r="AE420" s="173"/>
      <c r="AF420" s="174"/>
      <c r="AG420" s="16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65"/>
      <c r="AR420" s="173"/>
      <c r="AS420" s="173"/>
      <c r="AT420" s="173"/>
      <c r="AU420" s="173"/>
      <c r="AV420" s="173"/>
      <c r="AW420" s="173"/>
      <c r="AX420" s="173"/>
      <c r="AY420" s="173"/>
      <c r="AZ420" s="173"/>
      <c r="BB420" s="174"/>
      <c r="BC420" s="36"/>
    </row>
    <row r="421" spans="2:55" x14ac:dyDescent="0.3">
      <c r="B421" s="133"/>
      <c r="C421" s="86"/>
      <c r="E421" s="86"/>
      <c r="F421" s="86"/>
      <c r="G421" s="86"/>
      <c r="H421" s="134"/>
      <c r="I421" s="86"/>
      <c r="J421" s="134"/>
      <c r="K421" s="86"/>
      <c r="L421" s="86"/>
      <c r="M421" s="173"/>
      <c r="N421" s="173"/>
      <c r="O421" s="173"/>
      <c r="P421" s="173"/>
      <c r="Q421" s="173"/>
      <c r="R421" s="173"/>
      <c r="S421" s="173"/>
      <c r="T421" s="173"/>
      <c r="U421" s="173"/>
      <c r="V421" s="165"/>
      <c r="W421" s="173"/>
      <c r="X421" s="173"/>
      <c r="Y421" s="173"/>
      <c r="Z421" s="173"/>
      <c r="AA421" s="173"/>
      <c r="AB421" s="173"/>
      <c r="AC421" s="173"/>
      <c r="AD421" s="173"/>
      <c r="AE421" s="173"/>
      <c r="AF421" s="174"/>
      <c r="AG421" s="16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65"/>
      <c r="AR421" s="173"/>
      <c r="AS421" s="173"/>
      <c r="AT421" s="173"/>
      <c r="AU421" s="173"/>
      <c r="AV421" s="173"/>
      <c r="AW421" s="173"/>
      <c r="AX421" s="173"/>
      <c r="AY421" s="173"/>
      <c r="AZ421" s="173"/>
      <c r="BB421" s="174"/>
      <c r="BC421" s="36"/>
    </row>
    <row r="422" spans="2:55" x14ac:dyDescent="0.3">
      <c r="B422" s="133"/>
      <c r="C422" s="86"/>
      <c r="E422" s="86"/>
      <c r="F422" s="86"/>
      <c r="G422" s="86"/>
      <c r="H422" s="134"/>
      <c r="I422" s="86"/>
      <c r="J422" s="134"/>
      <c r="K422" s="86"/>
      <c r="L422" s="86"/>
      <c r="M422" s="173"/>
      <c r="N422" s="173"/>
      <c r="O422" s="173"/>
      <c r="P422" s="173"/>
      <c r="Q422" s="173"/>
      <c r="R422" s="173"/>
      <c r="S422" s="173"/>
      <c r="T422" s="173"/>
      <c r="U422" s="173"/>
      <c r="V422" s="165"/>
      <c r="W422" s="173"/>
      <c r="X422" s="173"/>
      <c r="Y422" s="173"/>
      <c r="Z422" s="173"/>
      <c r="AA422" s="173"/>
      <c r="AB422" s="173"/>
      <c r="AC422" s="173"/>
      <c r="AD422" s="173"/>
      <c r="AE422" s="173"/>
      <c r="AF422" s="174"/>
      <c r="AG422" s="16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65"/>
      <c r="AR422" s="173"/>
      <c r="AS422" s="173"/>
      <c r="AT422" s="173"/>
      <c r="AU422" s="173"/>
      <c r="AV422" s="173"/>
      <c r="AW422" s="173"/>
      <c r="AX422" s="173"/>
      <c r="AY422" s="173"/>
      <c r="AZ422" s="173"/>
      <c r="BB422" s="174"/>
      <c r="BC422" s="36"/>
    </row>
    <row r="423" spans="2:55" x14ac:dyDescent="0.3">
      <c r="B423" s="133"/>
      <c r="C423" s="86"/>
      <c r="E423" s="86"/>
      <c r="F423" s="86"/>
      <c r="G423" s="86"/>
      <c r="H423" s="134"/>
      <c r="I423" s="86"/>
      <c r="J423" s="134"/>
      <c r="K423" s="86"/>
      <c r="L423" s="86"/>
      <c r="M423" s="173"/>
      <c r="N423" s="173"/>
      <c r="O423" s="173"/>
      <c r="P423" s="173"/>
      <c r="Q423" s="173"/>
      <c r="R423" s="173"/>
      <c r="S423" s="173"/>
      <c r="T423" s="173"/>
      <c r="U423" s="173"/>
      <c r="V423" s="165"/>
      <c r="W423" s="173"/>
      <c r="X423" s="173"/>
      <c r="Y423" s="173"/>
      <c r="Z423" s="173"/>
      <c r="AA423" s="173"/>
      <c r="AB423" s="173"/>
      <c r="AC423" s="173"/>
      <c r="AD423" s="173"/>
      <c r="AE423" s="173"/>
      <c r="AF423" s="174"/>
      <c r="AG423" s="16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65"/>
      <c r="AR423" s="173"/>
      <c r="AS423" s="173"/>
      <c r="AT423" s="173"/>
      <c r="AU423" s="173"/>
      <c r="AV423" s="173"/>
      <c r="AW423" s="173"/>
      <c r="AX423" s="173"/>
      <c r="AY423" s="173"/>
      <c r="AZ423" s="173"/>
      <c r="BB423" s="174"/>
      <c r="BC423" s="36"/>
    </row>
    <row r="424" spans="2:55" x14ac:dyDescent="0.3">
      <c r="B424" s="133"/>
      <c r="C424" s="86"/>
      <c r="E424" s="86"/>
      <c r="F424" s="86"/>
      <c r="G424" s="86"/>
      <c r="H424" s="134"/>
      <c r="I424" s="86"/>
      <c r="J424" s="134"/>
      <c r="K424" s="86"/>
      <c r="L424" s="86"/>
      <c r="M424" s="173"/>
      <c r="N424" s="173"/>
      <c r="O424" s="173"/>
      <c r="P424" s="173"/>
      <c r="Q424" s="173"/>
      <c r="R424" s="173"/>
      <c r="S424" s="173"/>
      <c r="T424" s="173"/>
      <c r="U424" s="173"/>
      <c r="V424" s="165"/>
      <c r="W424" s="173"/>
      <c r="X424" s="173"/>
      <c r="Y424" s="173"/>
      <c r="Z424" s="173"/>
      <c r="AA424" s="173"/>
      <c r="AB424" s="173"/>
      <c r="AC424" s="173"/>
      <c r="AD424" s="173"/>
      <c r="AE424" s="173"/>
      <c r="AF424" s="174"/>
      <c r="AG424" s="16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65"/>
      <c r="AR424" s="173"/>
      <c r="AS424" s="173"/>
      <c r="AT424" s="173"/>
      <c r="AU424" s="173"/>
      <c r="AV424" s="173"/>
      <c r="AW424" s="173"/>
      <c r="AX424" s="173"/>
      <c r="AY424" s="173"/>
      <c r="AZ424" s="173"/>
      <c r="BB424" s="174"/>
      <c r="BC424" s="36"/>
    </row>
    <row r="425" spans="2:55" x14ac:dyDescent="0.3">
      <c r="B425" s="133"/>
      <c r="C425" s="86"/>
      <c r="E425" s="86"/>
      <c r="F425" s="86"/>
      <c r="G425" s="86"/>
      <c r="H425" s="134"/>
      <c r="I425" s="86"/>
      <c r="J425" s="134"/>
      <c r="K425" s="86"/>
      <c r="L425" s="86"/>
      <c r="M425" s="173"/>
      <c r="N425" s="173"/>
      <c r="O425" s="173"/>
      <c r="P425" s="173"/>
      <c r="Q425" s="173"/>
      <c r="R425" s="173"/>
      <c r="S425" s="173"/>
      <c r="T425" s="173"/>
      <c r="U425" s="173"/>
      <c r="V425" s="165"/>
      <c r="W425" s="173"/>
      <c r="X425" s="173"/>
      <c r="Y425" s="173"/>
      <c r="Z425" s="173"/>
      <c r="AA425" s="173"/>
      <c r="AB425" s="173"/>
      <c r="AC425" s="173"/>
      <c r="AD425" s="173"/>
      <c r="AE425" s="173"/>
      <c r="AF425" s="174"/>
      <c r="AG425" s="16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65"/>
      <c r="AR425" s="173"/>
      <c r="AS425" s="173"/>
      <c r="AT425" s="173"/>
      <c r="AU425" s="173"/>
      <c r="AV425" s="173"/>
      <c r="AW425" s="173"/>
      <c r="AX425" s="173"/>
      <c r="AY425" s="173"/>
      <c r="AZ425" s="173"/>
      <c r="BB425" s="174"/>
      <c r="BC425" s="36"/>
    </row>
    <row r="426" spans="2:55" x14ac:dyDescent="0.3">
      <c r="B426" s="133"/>
      <c r="C426" s="86"/>
      <c r="E426" s="86"/>
      <c r="F426" s="86"/>
      <c r="G426" s="86"/>
      <c r="H426" s="134"/>
      <c r="I426" s="86"/>
      <c r="J426" s="134"/>
      <c r="K426" s="86"/>
      <c r="L426" s="86"/>
      <c r="M426" s="173"/>
      <c r="N426" s="173"/>
      <c r="O426" s="173"/>
      <c r="P426" s="173"/>
      <c r="Q426" s="173"/>
      <c r="R426" s="173"/>
      <c r="S426" s="173"/>
      <c r="T426" s="173"/>
      <c r="U426" s="173"/>
      <c r="V426" s="165"/>
      <c r="W426" s="173"/>
      <c r="X426" s="173"/>
      <c r="Y426" s="173"/>
      <c r="Z426" s="173"/>
      <c r="AA426" s="173"/>
      <c r="AB426" s="173"/>
      <c r="AC426" s="173"/>
      <c r="AD426" s="173"/>
      <c r="AE426" s="173"/>
      <c r="AF426" s="174"/>
      <c r="AG426" s="16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65"/>
      <c r="AR426" s="173"/>
      <c r="AS426" s="173"/>
      <c r="AT426" s="173"/>
      <c r="AU426" s="173"/>
      <c r="AV426" s="173"/>
      <c r="AW426" s="173"/>
      <c r="AX426" s="173"/>
      <c r="AY426" s="173"/>
      <c r="AZ426" s="173"/>
      <c r="BB426" s="174"/>
      <c r="BC426" s="36"/>
    </row>
    <row r="427" spans="2:55" x14ac:dyDescent="0.3">
      <c r="B427" s="133"/>
      <c r="C427" s="86"/>
      <c r="E427" s="86"/>
      <c r="F427" s="86"/>
      <c r="G427" s="86"/>
      <c r="H427" s="134"/>
      <c r="I427" s="86"/>
      <c r="J427" s="134"/>
      <c r="K427" s="86"/>
      <c r="L427" s="86"/>
      <c r="M427" s="173"/>
      <c r="N427" s="173"/>
      <c r="O427" s="173"/>
      <c r="P427" s="173"/>
      <c r="Q427" s="173"/>
      <c r="R427" s="173"/>
      <c r="S427" s="173"/>
      <c r="T427" s="173"/>
      <c r="U427" s="173"/>
      <c r="V427" s="165"/>
      <c r="W427" s="173"/>
      <c r="X427" s="173"/>
      <c r="Y427" s="173"/>
      <c r="Z427" s="173"/>
      <c r="AA427" s="173"/>
      <c r="AB427" s="173"/>
      <c r="AC427" s="173"/>
      <c r="AD427" s="173"/>
      <c r="AE427" s="173"/>
      <c r="AF427" s="174"/>
      <c r="AG427" s="16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65"/>
      <c r="AR427" s="173"/>
      <c r="AS427" s="173"/>
      <c r="AT427" s="173"/>
      <c r="AU427" s="173"/>
      <c r="AV427" s="173"/>
      <c r="AW427" s="173"/>
      <c r="AX427" s="173"/>
      <c r="AY427" s="173"/>
      <c r="AZ427" s="173"/>
      <c r="BB427" s="174"/>
      <c r="BC427" s="36"/>
    </row>
    <row r="428" spans="2:55" x14ac:dyDescent="0.3">
      <c r="B428" s="133"/>
      <c r="C428" s="86"/>
      <c r="E428" s="86"/>
      <c r="F428" s="86"/>
      <c r="G428" s="86"/>
      <c r="H428" s="134"/>
      <c r="I428" s="86"/>
      <c r="J428" s="134"/>
      <c r="K428" s="86"/>
      <c r="L428" s="86"/>
      <c r="M428" s="173"/>
      <c r="N428" s="173"/>
      <c r="O428" s="173"/>
      <c r="P428" s="173"/>
      <c r="Q428" s="173"/>
      <c r="R428" s="173"/>
      <c r="S428" s="173"/>
      <c r="T428" s="173"/>
      <c r="U428" s="173"/>
      <c r="V428" s="165"/>
      <c r="W428" s="173"/>
      <c r="X428" s="173"/>
      <c r="Y428" s="173"/>
      <c r="Z428" s="173"/>
      <c r="AA428" s="173"/>
      <c r="AB428" s="173"/>
      <c r="AC428" s="173"/>
      <c r="AD428" s="173"/>
      <c r="AE428" s="173"/>
      <c r="AF428" s="174"/>
      <c r="AG428" s="16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65"/>
      <c r="AR428" s="173"/>
      <c r="AS428" s="173"/>
      <c r="AT428" s="173"/>
      <c r="AU428" s="173"/>
      <c r="AV428" s="173"/>
      <c r="AW428" s="173"/>
      <c r="AX428" s="173"/>
      <c r="AY428" s="173"/>
      <c r="AZ428" s="173"/>
      <c r="BB428" s="174"/>
      <c r="BC428" s="36"/>
    </row>
    <row r="429" spans="2:55" x14ac:dyDescent="0.3">
      <c r="B429" s="133"/>
      <c r="C429" s="86"/>
      <c r="E429" s="86"/>
      <c r="F429" s="86"/>
      <c r="G429" s="86"/>
      <c r="H429" s="134"/>
      <c r="I429" s="86"/>
      <c r="J429" s="134"/>
      <c r="K429" s="86"/>
      <c r="L429" s="86"/>
      <c r="M429" s="173"/>
      <c r="N429" s="173"/>
      <c r="O429" s="173"/>
      <c r="P429" s="173"/>
      <c r="Q429" s="173"/>
      <c r="R429" s="173"/>
      <c r="S429" s="173"/>
      <c r="T429" s="173"/>
      <c r="U429" s="173"/>
      <c r="V429" s="165"/>
      <c r="W429" s="173"/>
      <c r="X429" s="173"/>
      <c r="Y429" s="173"/>
      <c r="Z429" s="173"/>
      <c r="AA429" s="173"/>
      <c r="AB429" s="173"/>
      <c r="AC429" s="173"/>
      <c r="AD429" s="173"/>
      <c r="AE429" s="173"/>
      <c r="AF429" s="174"/>
      <c r="AG429" s="16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65"/>
      <c r="AR429" s="173"/>
      <c r="AS429" s="173"/>
      <c r="AT429" s="173"/>
      <c r="AU429" s="173"/>
      <c r="AV429" s="173"/>
      <c r="AW429" s="173"/>
      <c r="AX429" s="173"/>
      <c r="AY429" s="173"/>
      <c r="AZ429" s="173"/>
      <c r="BB429" s="174"/>
      <c r="BC429" s="36"/>
    </row>
    <row r="430" spans="2:55" x14ac:dyDescent="0.3">
      <c r="B430" s="133"/>
      <c r="C430" s="86"/>
      <c r="E430" s="86"/>
      <c r="F430" s="86"/>
      <c r="G430" s="86"/>
      <c r="H430" s="134"/>
      <c r="I430" s="86"/>
      <c r="J430" s="134"/>
      <c r="K430" s="86"/>
      <c r="L430" s="86"/>
      <c r="M430" s="173"/>
      <c r="N430" s="173"/>
      <c r="O430" s="173"/>
      <c r="P430" s="173"/>
      <c r="Q430" s="173"/>
      <c r="R430" s="173"/>
      <c r="S430" s="173"/>
      <c r="T430" s="173"/>
      <c r="U430" s="173"/>
      <c r="V430" s="165"/>
      <c r="W430" s="173"/>
      <c r="X430" s="173"/>
      <c r="Y430" s="173"/>
      <c r="Z430" s="173"/>
      <c r="AA430" s="173"/>
      <c r="AB430" s="173"/>
      <c r="AC430" s="173"/>
      <c r="AD430" s="173"/>
      <c r="AE430" s="173"/>
      <c r="AF430" s="174"/>
      <c r="AG430" s="16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65"/>
      <c r="AR430" s="173"/>
      <c r="AS430" s="173"/>
      <c r="AT430" s="173"/>
      <c r="AU430" s="173"/>
      <c r="AV430" s="173"/>
      <c r="AW430" s="173"/>
      <c r="AX430" s="173"/>
      <c r="AY430" s="173"/>
      <c r="AZ430" s="173"/>
      <c r="BB430" s="174"/>
      <c r="BC430" s="36"/>
    </row>
    <row r="431" spans="2:55" x14ac:dyDescent="0.3">
      <c r="B431" s="133"/>
      <c r="C431" s="86"/>
      <c r="E431" s="86"/>
      <c r="F431" s="86"/>
      <c r="G431" s="86"/>
      <c r="H431" s="134"/>
      <c r="I431" s="86"/>
      <c r="J431" s="134"/>
      <c r="K431" s="86"/>
      <c r="L431" s="86"/>
      <c r="M431" s="173"/>
      <c r="N431" s="173"/>
      <c r="O431" s="173"/>
      <c r="P431" s="173"/>
      <c r="Q431" s="173"/>
      <c r="R431" s="173"/>
      <c r="S431" s="173"/>
      <c r="T431" s="173"/>
      <c r="U431" s="173"/>
      <c r="V431" s="165"/>
      <c r="W431" s="173"/>
      <c r="X431" s="173"/>
      <c r="Y431" s="173"/>
      <c r="Z431" s="173"/>
      <c r="AA431" s="173"/>
      <c r="AB431" s="173"/>
      <c r="AC431" s="173"/>
      <c r="AD431" s="173"/>
      <c r="AE431" s="173"/>
      <c r="AF431" s="174"/>
      <c r="AG431" s="16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65"/>
      <c r="AR431" s="173"/>
      <c r="AS431" s="173"/>
      <c r="AT431" s="173"/>
      <c r="AU431" s="173"/>
      <c r="AV431" s="173"/>
      <c r="AW431" s="173"/>
      <c r="AX431" s="173"/>
      <c r="AY431" s="173"/>
      <c r="AZ431" s="173"/>
      <c r="BB431" s="174"/>
      <c r="BC431" s="36"/>
    </row>
    <row r="432" spans="2:55" x14ac:dyDescent="0.3">
      <c r="B432" s="133"/>
      <c r="C432" s="86"/>
      <c r="E432" s="86"/>
      <c r="F432" s="86"/>
      <c r="G432" s="86"/>
      <c r="H432" s="134"/>
      <c r="I432" s="86"/>
      <c r="J432" s="134"/>
      <c r="K432" s="86"/>
      <c r="L432" s="86"/>
      <c r="M432" s="173"/>
      <c r="N432" s="173"/>
      <c r="O432" s="173"/>
      <c r="P432" s="173"/>
      <c r="Q432" s="173"/>
      <c r="R432" s="173"/>
      <c r="S432" s="173"/>
      <c r="T432" s="173"/>
      <c r="U432" s="173"/>
      <c r="V432" s="165"/>
      <c r="W432" s="173"/>
      <c r="X432" s="173"/>
      <c r="Y432" s="173"/>
      <c r="Z432" s="173"/>
      <c r="AA432" s="173"/>
      <c r="AB432" s="173"/>
      <c r="AC432" s="173"/>
      <c r="AD432" s="173"/>
      <c r="AE432" s="173"/>
      <c r="AF432" s="174"/>
      <c r="AG432" s="16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65"/>
      <c r="AR432" s="173"/>
      <c r="AS432" s="173"/>
      <c r="AT432" s="173"/>
      <c r="AU432" s="173"/>
      <c r="AV432" s="173"/>
      <c r="AW432" s="173"/>
      <c r="AX432" s="173"/>
      <c r="AY432" s="173"/>
      <c r="AZ432" s="173"/>
      <c r="BB432" s="174"/>
      <c r="BC432" s="36"/>
    </row>
    <row r="433" spans="2:55" x14ac:dyDescent="0.3">
      <c r="B433" s="133"/>
      <c r="C433" s="86"/>
      <c r="E433" s="86"/>
      <c r="F433" s="86"/>
      <c r="G433" s="86"/>
      <c r="H433" s="134"/>
      <c r="I433" s="86"/>
      <c r="J433" s="134"/>
      <c r="K433" s="86"/>
      <c r="L433" s="86"/>
      <c r="M433" s="173"/>
      <c r="N433" s="173"/>
      <c r="O433" s="173"/>
      <c r="P433" s="173"/>
      <c r="Q433" s="173"/>
      <c r="R433" s="173"/>
      <c r="S433" s="173"/>
      <c r="T433" s="173"/>
      <c r="U433" s="173"/>
      <c r="V433" s="165"/>
      <c r="W433" s="173"/>
      <c r="X433" s="173"/>
      <c r="Y433" s="173"/>
      <c r="Z433" s="173"/>
      <c r="AA433" s="173"/>
      <c r="AB433" s="173"/>
      <c r="AC433" s="173"/>
      <c r="AD433" s="173"/>
      <c r="AE433" s="173"/>
      <c r="AF433" s="174"/>
      <c r="AG433" s="16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65"/>
      <c r="AR433" s="173"/>
      <c r="AS433" s="173"/>
      <c r="AT433" s="173"/>
      <c r="AU433" s="173"/>
      <c r="AV433" s="173"/>
      <c r="AW433" s="173"/>
      <c r="AX433" s="173"/>
      <c r="AY433" s="173"/>
      <c r="AZ433" s="173"/>
      <c r="BB433" s="174"/>
      <c r="BC433" s="36"/>
    </row>
    <row r="434" spans="2:55" x14ac:dyDescent="0.3">
      <c r="B434" s="133"/>
      <c r="C434" s="86"/>
      <c r="E434" s="86"/>
      <c r="F434" s="86"/>
      <c r="G434" s="86"/>
      <c r="H434" s="134"/>
      <c r="I434" s="86"/>
      <c r="J434" s="134"/>
      <c r="K434" s="86"/>
      <c r="L434" s="86"/>
      <c r="M434" s="173"/>
      <c r="N434" s="173"/>
      <c r="O434" s="173"/>
      <c r="P434" s="173"/>
      <c r="Q434" s="173"/>
      <c r="R434" s="173"/>
      <c r="S434" s="173"/>
      <c r="T434" s="173"/>
      <c r="U434" s="173"/>
      <c r="V434" s="165"/>
      <c r="W434" s="173"/>
      <c r="X434" s="173"/>
      <c r="Y434" s="173"/>
      <c r="Z434" s="173"/>
      <c r="AA434" s="173"/>
      <c r="AB434" s="173"/>
      <c r="AC434" s="173"/>
      <c r="AD434" s="173"/>
      <c r="AE434" s="173"/>
      <c r="AF434" s="174"/>
      <c r="AG434" s="16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65"/>
      <c r="AR434" s="173"/>
      <c r="AS434" s="173"/>
      <c r="AT434" s="173"/>
      <c r="AU434" s="173"/>
      <c r="AV434" s="173"/>
      <c r="AW434" s="173"/>
      <c r="AX434" s="173"/>
      <c r="AY434" s="173"/>
      <c r="AZ434" s="173"/>
      <c r="BB434" s="174"/>
      <c r="BC434" s="36"/>
    </row>
    <row r="435" spans="2:55" x14ac:dyDescent="0.3">
      <c r="B435" s="133"/>
      <c r="C435" s="86"/>
      <c r="E435" s="86"/>
      <c r="F435" s="86"/>
      <c r="G435" s="86"/>
      <c r="H435" s="134"/>
      <c r="I435" s="86"/>
      <c r="J435" s="134"/>
      <c r="K435" s="86"/>
      <c r="L435" s="86"/>
      <c r="M435" s="173"/>
      <c r="N435" s="173"/>
      <c r="O435" s="173"/>
      <c r="P435" s="173"/>
      <c r="Q435" s="173"/>
      <c r="R435" s="173"/>
      <c r="S435" s="173"/>
      <c r="T435" s="173"/>
      <c r="U435" s="173"/>
      <c r="V435" s="165"/>
      <c r="W435" s="173"/>
      <c r="X435" s="173"/>
      <c r="Y435" s="173"/>
      <c r="Z435" s="173"/>
      <c r="AA435" s="173"/>
      <c r="AB435" s="173"/>
      <c r="AC435" s="173"/>
      <c r="AD435" s="173"/>
      <c r="AE435" s="173"/>
      <c r="AF435" s="174"/>
      <c r="AG435" s="16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65"/>
      <c r="AR435" s="173"/>
      <c r="AS435" s="173"/>
      <c r="AT435" s="173"/>
      <c r="AU435" s="173"/>
      <c r="AV435" s="173"/>
      <c r="AW435" s="173"/>
      <c r="AX435" s="173"/>
      <c r="AY435" s="173"/>
      <c r="AZ435" s="173"/>
      <c r="BB435" s="174"/>
      <c r="BC435" s="36"/>
    </row>
    <row r="436" spans="2:55" x14ac:dyDescent="0.3">
      <c r="B436" s="133"/>
      <c r="C436" s="86"/>
      <c r="E436" s="86"/>
      <c r="F436" s="86"/>
      <c r="G436" s="86"/>
      <c r="H436" s="134"/>
      <c r="I436" s="86"/>
      <c r="J436" s="134"/>
      <c r="K436" s="86"/>
      <c r="L436" s="86"/>
      <c r="M436" s="173"/>
      <c r="N436" s="173"/>
      <c r="O436" s="173"/>
      <c r="P436" s="173"/>
      <c r="Q436" s="173"/>
      <c r="R436" s="173"/>
      <c r="S436" s="173"/>
      <c r="T436" s="173"/>
      <c r="U436" s="173"/>
      <c r="V436" s="165"/>
      <c r="W436" s="173"/>
      <c r="X436" s="173"/>
      <c r="Y436" s="173"/>
      <c r="Z436" s="173"/>
      <c r="AA436" s="173"/>
      <c r="AB436" s="173"/>
      <c r="AC436" s="173"/>
      <c r="AD436" s="173"/>
      <c r="AE436" s="173"/>
      <c r="AF436" s="174"/>
      <c r="AG436" s="16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65"/>
      <c r="AR436" s="173"/>
      <c r="AS436" s="173"/>
      <c r="AT436" s="173"/>
      <c r="AU436" s="173"/>
      <c r="AV436" s="173"/>
      <c r="AW436" s="173"/>
      <c r="AX436" s="173"/>
      <c r="AY436" s="173"/>
      <c r="AZ436" s="173"/>
      <c r="BB436" s="174"/>
      <c r="BC436" s="36"/>
    </row>
    <row r="437" spans="2:55" x14ac:dyDescent="0.3">
      <c r="B437" s="133"/>
      <c r="C437" s="86"/>
      <c r="E437" s="86"/>
      <c r="F437" s="86"/>
      <c r="G437" s="86"/>
      <c r="H437" s="134"/>
      <c r="I437" s="86"/>
      <c r="J437" s="134"/>
      <c r="K437" s="86"/>
      <c r="L437" s="86"/>
      <c r="M437" s="173"/>
      <c r="N437" s="173"/>
      <c r="O437" s="173"/>
      <c r="P437" s="173"/>
      <c r="Q437" s="173"/>
      <c r="R437" s="173"/>
      <c r="S437" s="173"/>
      <c r="T437" s="173"/>
      <c r="U437" s="173"/>
      <c r="V437" s="165"/>
      <c r="W437" s="173"/>
      <c r="X437" s="173"/>
      <c r="Y437" s="173"/>
      <c r="Z437" s="173"/>
      <c r="AA437" s="173"/>
      <c r="AB437" s="173"/>
      <c r="AC437" s="173"/>
      <c r="AD437" s="173"/>
      <c r="AE437" s="173"/>
      <c r="AF437" s="174"/>
      <c r="AG437" s="16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65"/>
      <c r="AR437" s="173"/>
      <c r="AS437" s="173"/>
      <c r="AT437" s="173"/>
      <c r="AU437" s="173"/>
      <c r="AV437" s="173"/>
      <c r="AW437" s="173"/>
      <c r="AX437" s="173"/>
      <c r="AY437" s="173"/>
      <c r="AZ437" s="173"/>
      <c r="BB437" s="174"/>
      <c r="BC437" s="36"/>
    </row>
    <row r="438" spans="2:55" x14ac:dyDescent="0.3">
      <c r="B438" s="133"/>
      <c r="C438" s="86"/>
      <c r="E438" s="86"/>
      <c r="F438" s="86"/>
      <c r="G438" s="86"/>
      <c r="H438" s="134"/>
      <c r="I438" s="86"/>
      <c r="J438" s="134"/>
      <c r="K438" s="86"/>
      <c r="L438" s="86"/>
      <c r="M438" s="173"/>
      <c r="N438" s="173"/>
      <c r="O438" s="173"/>
      <c r="P438" s="173"/>
      <c r="Q438" s="173"/>
      <c r="R438" s="173"/>
      <c r="S438" s="173"/>
      <c r="T438" s="173"/>
      <c r="U438" s="173"/>
      <c r="V438" s="165"/>
      <c r="W438" s="173"/>
      <c r="X438" s="173"/>
      <c r="Y438" s="173"/>
      <c r="Z438" s="173"/>
      <c r="AA438" s="173"/>
      <c r="AB438" s="173"/>
      <c r="AC438" s="173"/>
      <c r="AD438" s="173"/>
      <c r="AE438" s="173"/>
      <c r="AF438" s="174"/>
      <c r="AG438" s="16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65"/>
      <c r="AR438" s="173"/>
      <c r="AS438" s="173"/>
      <c r="AT438" s="173"/>
      <c r="AU438" s="173"/>
      <c r="AV438" s="173"/>
      <c r="AW438" s="173"/>
      <c r="AX438" s="173"/>
      <c r="AY438" s="173"/>
      <c r="AZ438" s="173"/>
      <c r="BB438" s="174"/>
      <c r="BC438" s="36"/>
    </row>
    <row r="439" spans="2:55" x14ac:dyDescent="0.3">
      <c r="B439" s="133"/>
      <c r="C439" s="86"/>
      <c r="E439" s="86"/>
      <c r="F439" s="86"/>
      <c r="G439" s="86"/>
      <c r="H439" s="134"/>
      <c r="I439" s="86"/>
      <c r="J439" s="134"/>
      <c r="K439" s="86"/>
      <c r="L439" s="86"/>
      <c r="M439" s="173"/>
      <c r="N439" s="173"/>
      <c r="O439" s="173"/>
      <c r="P439" s="173"/>
      <c r="Q439" s="173"/>
      <c r="R439" s="173"/>
      <c r="S439" s="173"/>
      <c r="T439" s="173"/>
      <c r="U439" s="173"/>
      <c r="V439" s="165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4"/>
      <c r="AG439" s="16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65"/>
      <c r="AR439" s="173"/>
      <c r="AS439" s="173"/>
      <c r="AT439" s="173"/>
      <c r="AU439" s="173"/>
      <c r="AV439" s="173"/>
      <c r="AW439" s="173"/>
      <c r="AX439" s="173"/>
      <c r="AY439" s="173"/>
      <c r="AZ439" s="173"/>
      <c r="BB439" s="174"/>
      <c r="BC439" s="36"/>
    </row>
    <row r="440" spans="2:55" x14ac:dyDescent="0.3">
      <c r="B440" s="133"/>
      <c r="C440" s="86"/>
      <c r="E440" s="86"/>
      <c r="F440" s="86"/>
      <c r="G440" s="86"/>
      <c r="H440" s="134"/>
      <c r="I440" s="86"/>
      <c r="J440" s="134"/>
      <c r="K440" s="86"/>
      <c r="L440" s="86"/>
      <c r="M440" s="173"/>
      <c r="N440" s="173"/>
      <c r="O440" s="173"/>
      <c r="P440" s="173"/>
      <c r="Q440" s="173"/>
      <c r="R440" s="173"/>
      <c r="S440" s="173"/>
      <c r="T440" s="173"/>
      <c r="U440" s="173"/>
      <c r="V440" s="165"/>
      <c r="W440" s="173"/>
      <c r="X440" s="173"/>
      <c r="Y440" s="173"/>
      <c r="Z440" s="173"/>
      <c r="AA440" s="173"/>
      <c r="AB440" s="173"/>
      <c r="AC440" s="173"/>
      <c r="AD440" s="173"/>
      <c r="AE440" s="173"/>
      <c r="AF440" s="174"/>
      <c r="AG440" s="16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65"/>
      <c r="AR440" s="173"/>
      <c r="AS440" s="173"/>
      <c r="AT440" s="173"/>
      <c r="AU440" s="173"/>
      <c r="AV440" s="173"/>
      <c r="AW440" s="173"/>
      <c r="AX440" s="173"/>
      <c r="AY440" s="173"/>
      <c r="AZ440" s="173"/>
      <c r="BB440" s="174"/>
      <c r="BC440" s="36"/>
    </row>
    <row r="441" spans="2:55" x14ac:dyDescent="0.3">
      <c r="B441" s="133"/>
      <c r="C441" s="86"/>
      <c r="E441" s="86"/>
      <c r="F441" s="86"/>
      <c r="G441" s="86"/>
      <c r="H441" s="134"/>
      <c r="I441" s="86"/>
      <c r="J441" s="134"/>
      <c r="K441" s="86"/>
      <c r="L441" s="86"/>
      <c r="M441" s="173"/>
      <c r="N441" s="173"/>
      <c r="O441" s="173"/>
      <c r="P441" s="173"/>
      <c r="Q441" s="173"/>
      <c r="R441" s="173"/>
      <c r="S441" s="173"/>
      <c r="T441" s="173"/>
      <c r="U441" s="173"/>
      <c r="V441" s="165"/>
      <c r="W441" s="173"/>
      <c r="X441" s="173"/>
      <c r="Y441" s="173"/>
      <c r="Z441" s="173"/>
      <c r="AA441" s="173"/>
      <c r="AB441" s="173"/>
      <c r="AC441" s="173"/>
      <c r="AD441" s="173"/>
      <c r="AE441" s="173"/>
      <c r="AF441" s="174"/>
      <c r="AG441" s="16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65"/>
      <c r="AR441" s="173"/>
      <c r="AS441" s="173"/>
      <c r="AT441" s="173"/>
      <c r="AU441" s="173"/>
      <c r="AV441" s="173"/>
      <c r="AW441" s="173"/>
      <c r="AX441" s="173"/>
      <c r="AY441" s="173"/>
      <c r="AZ441" s="173"/>
      <c r="BB441" s="174"/>
      <c r="BC441" s="36"/>
    </row>
    <row r="442" spans="2:55" x14ac:dyDescent="0.3">
      <c r="B442" s="133"/>
      <c r="C442" s="86"/>
      <c r="E442" s="86"/>
      <c r="F442" s="86"/>
      <c r="G442" s="86"/>
      <c r="H442" s="134"/>
      <c r="I442" s="86"/>
      <c r="J442" s="134"/>
      <c r="K442" s="86"/>
      <c r="L442" s="86"/>
      <c r="M442" s="173"/>
      <c r="N442" s="173"/>
      <c r="O442" s="173"/>
      <c r="P442" s="173"/>
      <c r="Q442" s="173"/>
      <c r="R442" s="173"/>
      <c r="S442" s="173"/>
      <c r="T442" s="173"/>
      <c r="U442" s="173"/>
      <c r="V442" s="165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4"/>
      <c r="AG442" s="16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65"/>
      <c r="AR442" s="173"/>
      <c r="AS442" s="173"/>
      <c r="AT442" s="173"/>
      <c r="AU442" s="173"/>
      <c r="AV442" s="173"/>
      <c r="AW442" s="173"/>
      <c r="AX442" s="173"/>
      <c r="AY442" s="173"/>
      <c r="AZ442" s="173"/>
      <c r="BB442" s="174"/>
      <c r="BC442" s="36"/>
    </row>
    <row r="443" spans="2:55" x14ac:dyDescent="0.3">
      <c r="B443" s="133"/>
      <c r="C443" s="86"/>
      <c r="E443" s="86"/>
      <c r="F443" s="86"/>
      <c r="G443" s="86"/>
      <c r="H443" s="134"/>
      <c r="I443" s="86"/>
      <c r="J443" s="134"/>
      <c r="K443" s="86"/>
      <c r="L443" s="86"/>
      <c r="M443" s="173"/>
      <c r="N443" s="173"/>
      <c r="O443" s="173"/>
      <c r="P443" s="173"/>
      <c r="Q443" s="173"/>
      <c r="R443" s="173"/>
      <c r="S443" s="173"/>
      <c r="T443" s="173"/>
      <c r="U443" s="173"/>
      <c r="V443" s="165"/>
      <c r="W443" s="173"/>
      <c r="X443" s="173"/>
      <c r="Y443" s="173"/>
      <c r="Z443" s="173"/>
      <c r="AA443" s="173"/>
      <c r="AB443" s="173"/>
      <c r="AC443" s="173"/>
      <c r="AD443" s="173"/>
      <c r="AE443" s="173"/>
      <c r="AF443" s="174"/>
      <c r="AG443" s="16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65"/>
      <c r="AR443" s="173"/>
      <c r="AS443" s="173"/>
      <c r="AT443" s="173"/>
      <c r="AU443" s="173"/>
      <c r="AV443" s="173"/>
      <c r="AW443" s="173"/>
      <c r="AX443" s="173"/>
      <c r="AY443" s="173"/>
      <c r="AZ443" s="173"/>
      <c r="BB443" s="174"/>
      <c r="BC443" s="36"/>
    </row>
    <row r="444" spans="2:55" x14ac:dyDescent="0.3">
      <c r="B444" s="133"/>
      <c r="C444" s="86"/>
      <c r="E444" s="86"/>
      <c r="F444" s="86"/>
      <c r="G444" s="86"/>
      <c r="H444" s="134"/>
      <c r="I444" s="86"/>
      <c r="J444" s="134"/>
      <c r="K444" s="86"/>
      <c r="L444" s="86"/>
      <c r="M444" s="173"/>
      <c r="N444" s="173"/>
      <c r="O444" s="173"/>
      <c r="P444" s="173"/>
      <c r="Q444" s="173"/>
      <c r="R444" s="173"/>
      <c r="S444" s="173"/>
      <c r="T444" s="173"/>
      <c r="U444" s="173"/>
      <c r="V444" s="165"/>
      <c r="W444" s="173"/>
      <c r="X444" s="173"/>
      <c r="Y444" s="173"/>
      <c r="Z444" s="173"/>
      <c r="AA444" s="173"/>
      <c r="AB444" s="173"/>
      <c r="AC444" s="173"/>
      <c r="AD444" s="173"/>
      <c r="AE444" s="173"/>
      <c r="AF444" s="174"/>
      <c r="AG444" s="16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65"/>
      <c r="AR444" s="173"/>
      <c r="AS444" s="173"/>
      <c r="AT444" s="173"/>
      <c r="AU444" s="173"/>
      <c r="AV444" s="173"/>
      <c r="AW444" s="173"/>
      <c r="AX444" s="173"/>
      <c r="AY444" s="173"/>
      <c r="AZ444" s="173"/>
      <c r="BB444" s="174"/>
      <c r="BC444" s="36"/>
    </row>
    <row r="445" spans="2:55" x14ac:dyDescent="0.3">
      <c r="B445" s="133"/>
      <c r="C445" s="86"/>
      <c r="E445" s="86"/>
      <c r="F445" s="86"/>
      <c r="G445" s="86"/>
      <c r="H445" s="134"/>
      <c r="I445" s="86"/>
      <c r="J445" s="134"/>
      <c r="K445" s="86"/>
      <c r="L445" s="86"/>
      <c r="M445" s="173"/>
      <c r="N445" s="173"/>
      <c r="O445" s="173"/>
      <c r="P445" s="173"/>
      <c r="Q445" s="173"/>
      <c r="R445" s="173"/>
      <c r="S445" s="173"/>
      <c r="T445" s="173"/>
      <c r="U445" s="173"/>
      <c r="V445" s="165"/>
      <c r="W445" s="173"/>
      <c r="X445" s="173"/>
      <c r="Y445" s="173"/>
      <c r="Z445" s="173"/>
      <c r="AA445" s="173"/>
      <c r="AB445" s="173"/>
      <c r="AC445" s="173"/>
      <c r="AD445" s="173"/>
      <c r="AE445" s="173"/>
      <c r="AF445" s="174"/>
      <c r="AG445" s="16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65"/>
      <c r="AR445" s="173"/>
      <c r="AS445" s="173"/>
      <c r="AT445" s="173"/>
      <c r="AU445" s="173"/>
      <c r="AV445" s="173"/>
      <c r="AW445" s="173"/>
      <c r="AX445" s="173"/>
      <c r="AY445" s="173"/>
      <c r="AZ445" s="173"/>
      <c r="BB445" s="174"/>
      <c r="BC445" s="36"/>
    </row>
    <row r="446" spans="2:55" x14ac:dyDescent="0.3">
      <c r="B446" s="133"/>
      <c r="C446" s="86"/>
      <c r="E446" s="86"/>
      <c r="F446" s="86"/>
      <c r="G446" s="86"/>
      <c r="H446" s="134"/>
      <c r="I446" s="86"/>
      <c r="J446" s="134"/>
      <c r="K446" s="86"/>
      <c r="L446" s="86"/>
      <c r="M446" s="173"/>
      <c r="N446" s="173"/>
      <c r="O446" s="173"/>
      <c r="P446" s="173"/>
      <c r="Q446" s="173"/>
      <c r="R446" s="173"/>
      <c r="S446" s="173"/>
      <c r="T446" s="173"/>
      <c r="U446" s="173"/>
      <c r="V446" s="165"/>
      <c r="W446" s="173"/>
      <c r="X446" s="173"/>
      <c r="Y446" s="173"/>
      <c r="Z446" s="173"/>
      <c r="AA446" s="173"/>
      <c r="AB446" s="173"/>
      <c r="AC446" s="173"/>
      <c r="AD446" s="173"/>
      <c r="AE446" s="173"/>
      <c r="AF446" s="174"/>
      <c r="AG446" s="16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65"/>
      <c r="AR446" s="173"/>
      <c r="AS446" s="173"/>
      <c r="AT446" s="173"/>
      <c r="AU446" s="173"/>
      <c r="AV446" s="173"/>
      <c r="AW446" s="173"/>
      <c r="AX446" s="173"/>
      <c r="AY446" s="173"/>
      <c r="AZ446" s="173"/>
      <c r="BB446" s="174"/>
      <c r="BC446" s="36"/>
    </row>
    <row r="447" spans="2:55" x14ac:dyDescent="0.3">
      <c r="B447" s="133"/>
      <c r="C447" s="86"/>
      <c r="E447" s="86"/>
      <c r="F447" s="86"/>
      <c r="G447" s="86"/>
      <c r="H447" s="134"/>
      <c r="I447" s="86"/>
      <c r="J447" s="134"/>
      <c r="K447" s="86"/>
      <c r="L447" s="86"/>
      <c r="M447" s="173"/>
      <c r="N447" s="173"/>
      <c r="O447" s="173"/>
      <c r="P447" s="173"/>
      <c r="Q447" s="173"/>
      <c r="R447" s="173"/>
      <c r="S447" s="173"/>
      <c r="T447" s="173"/>
      <c r="U447" s="173"/>
      <c r="V447" s="165"/>
      <c r="W447" s="173"/>
      <c r="X447" s="173"/>
      <c r="Y447" s="173"/>
      <c r="Z447" s="173"/>
      <c r="AA447" s="173"/>
      <c r="AB447" s="173"/>
      <c r="AC447" s="173"/>
      <c r="AD447" s="173"/>
      <c r="AE447" s="173"/>
      <c r="AF447" s="174"/>
      <c r="AG447" s="16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65"/>
      <c r="AR447" s="173"/>
      <c r="AS447" s="173"/>
      <c r="AT447" s="173"/>
      <c r="AU447" s="173"/>
      <c r="AV447" s="173"/>
      <c r="AW447" s="173"/>
      <c r="AX447" s="173"/>
      <c r="AY447" s="173"/>
      <c r="AZ447" s="173"/>
      <c r="BB447" s="174"/>
      <c r="BC447" s="36"/>
    </row>
    <row r="448" spans="2:55" x14ac:dyDescent="0.3">
      <c r="B448" s="133"/>
      <c r="C448" s="86"/>
      <c r="E448" s="86"/>
      <c r="F448" s="86"/>
      <c r="G448" s="86"/>
      <c r="H448" s="134"/>
      <c r="I448" s="86"/>
      <c r="J448" s="134"/>
      <c r="K448" s="86"/>
      <c r="L448" s="86"/>
      <c r="M448" s="173"/>
      <c r="N448" s="173"/>
      <c r="O448" s="173"/>
      <c r="P448" s="173"/>
      <c r="Q448" s="173"/>
      <c r="R448" s="173"/>
      <c r="S448" s="173"/>
      <c r="T448" s="173"/>
      <c r="U448" s="173"/>
      <c r="V448" s="165"/>
      <c r="W448" s="173"/>
      <c r="X448" s="173"/>
      <c r="Y448" s="173"/>
      <c r="Z448" s="173"/>
      <c r="AA448" s="173"/>
      <c r="AB448" s="173"/>
      <c r="AC448" s="173"/>
      <c r="AD448" s="173"/>
      <c r="AE448" s="173"/>
      <c r="AF448" s="174"/>
      <c r="AG448" s="16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65"/>
      <c r="AR448" s="173"/>
      <c r="AS448" s="173"/>
      <c r="AT448" s="173"/>
      <c r="AU448" s="173"/>
      <c r="AV448" s="173"/>
      <c r="AW448" s="173"/>
      <c r="AX448" s="173"/>
      <c r="AY448" s="173"/>
      <c r="AZ448" s="173"/>
      <c r="BB448" s="174"/>
      <c r="BC448" s="36"/>
    </row>
    <row r="449" spans="2:55" x14ac:dyDescent="0.3">
      <c r="B449" s="133"/>
      <c r="C449" s="86"/>
      <c r="E449" s="86"/>
      <c r="F449" s="86"/>
      <c r="G449" s="86"/>
      <c r="H449" s="134"/>
      <c r="I449" s="86"/>
      <c r="J449" s="134"/>
      <c r="K449" s="86"/>
      <c r="L449" s="86"/>
      <c r="M449" s="173"/>
      <c r="N449" s="173"/>
      <c r="O449" s="173"/>
      <c r="P449" s="173"/>
      <c r="Q449" s="173"/>
      <c r="R449" s="173"/>
      <c r="S449" s="173"/>
      <c r="T449" s="173"/>
      <c r="U449" s="173"/>
      <c r="V449" s="165"/>
      <c r="W449" s="173"/>
      <c r="X449" s="173"/>
      <c r="Y449" s="173"/>
      <c r="Z449" s="173"/>
      <c r="AA449" s="173"/>
      <c r="AB449" s="173"/>
      <c r="AC449" s="173"/>
      <c r="AD449" s="173"/>
      <c r="AE449" s="173"/>
      <c r="AF449" s="174"/>
      <c r="AG449" s="16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65"/>
      <c r="AR449" s="173"/>
      <c r="AS449" s="173"/>
      <c r="AT449" s="173"/>
      <c r="AU449" s="173"/>
      <c r="AV449" s="173"/>
      <c r="AW449" s="173"/>
      <c r="AX449" s="173"/>
      <c r="AY449" s="173"/>
      <c r="AZ449" s="173"/>
      <c r="BB449" s="174"/>
      <c r="BC449" s="36"/>
    </row>
    <row r="450" spans="2:55" x14ac:dyDescent="0.3">
      <c r="B450" s="133"/>
      <c r="C450" s="86"/>
      <c r="E450" s="86"/>
      <c r="F450" s="86"/>
      <c r="G450" s="86"/>
      <c r="H450" s="134"/>
      <c r="I450" s="86"/>
      <c r="J450" s="134"/>
      <c r="K450" s="86"/>
      <c r="L450" s="86"/>
      <c r="M450" s="173"/>
      <c r="N450" s="173"/>
      <c r="O450" s="173"/>
      <c r="P450" s="173"/>
      <c r="Q450" s="173"/>
      <c r="R450" s="173"/>
      <c r="S450" s="173"/>
      <c r="T450" s="173"/>
      <c r="U450" s="173"/>
      <c r="V450" s="165"/>
      <c r="W450" s="173"/>
      <c r="X450" s="173"/>
      <c r="Y450" s="173"/>
      <c r="Z450" s="173"/>
      <c r="AA450" s="173"/>
      <c r="AB450" s="173"/>
      <c r="AC450" s="173"/>
      <c r="AD450" s="173"/>
      <c r="AE450" s="173"/>
      <c r="AF450" s="174"/>
      <c r="AG450" s="16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65"/>
      <c r="AR450" s="173"/>
      <c r="AS450" s="173"/>
      <c r="AT450" s="173"/>
      <c r="AU450" s="173"/>
      <c r="AV450" s="173"/>
      <c r="AW450" s="173"/>
      <c r="AX450" s="173"/>
      <c r="AY450" s="173"/>
      <c r="AZ450" s="173"/>
      <c r="BB450" s="174"/>
      <c r="BC450" s="36"/>
    </row>
    <row r="451" spans="2:55" x14ac:dyDescent="0.3">
      <c r="B451" s="133"/>
      <c r="C451" s="86"/>
      <c r="E451" s="86"/>
      <c r="F451" s="86"/>
      <c r="G451" s="86"/>
      <c r="H451" s="134"/>
      <c r="I451" s="86"/>
      <c r="J451" s="134"/>
      <c r="K451" s="86"/>
      <c r="L451" s="86"/>
      <c r="M451" s="173"/>
      <c r="N451" s="173"/>
      <c r="O451" s="173"/>
      <c r="P451" s="173"/>
      <c r="Q451" s="173"/>
      <c r="R451" s="173"/>
      <c r="S451" s="173"/>
      <c r="T451" s="173"/>
      <c r="U451" s="173"/>
      <c r="V451" s="165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4"/>
      <c r="AG451" s="16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65"/>
      <c r="AR451" s="173"/>
      <c r="AS451" s="173"/>
      <c r="AT451" s="173"/>
      <c r="AU451" s="173"/>
      <c r="AV451" s="173"/>
      <c r="AW451" s="173"/>
      <c r="AX451" s="173"/>
      <c r="AY451" s="173"/>
      <c r="AZ451" s="173"/>
      <c r="BB451" s="174"/>
      <c r="BC451" s="36"/>
    </row>
    <row r="452" spans="2:55" x14ac:dyDescent="0.3">
      <c r="B452" s="133"/>
      <c r="C452" s="86"/>
      <c r="E452" s="86"/>
      <c r="F452" s="86"/>
      <c r="G452" s="86"/>
      <c r="H452" s="134"/>
      <c r="I452" s="86"/>
      <c r="J452" s="134"/>
      <c r="K452" s="86"/>
      <c r="L452" s="86"/>
      <c r="M452" s="173"/>
      <c r="N452" s="173"/>
      <c r="O452" s="173"/>
      <c r="P452" s="173"/>
      <c r="Q452" s="173"/>
      <c r="R452" s="173"/>
      <c r="S452" s="173"/>
      <c r="T452" s="173"/>
      <c r="U452" s="173"/>
      <c r="V452" s="165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4"/>
      <c r="AG452" s="16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65"/>
      <c r="AR452" s="173"/>
      <c r="AS452" s="173"/>
      <c r="AT452" s="173"/>
      <c r="AU452" s="173"/>
      <c r="AV452" s="173"/>
      <c r="AW452" s="173"/>
      <c r="AX452" s="173"/>
      <c r="AY452" s="173"/>
      <c r="AZ452" s="173"/>
      <c r="BB452" s="174"/>
      <c r="BC452" s="36"/>
    </row>
    <row r="453" spans="2:55" x14ac:dyDescent="0.3">
      <c r="B453" s="133"/>
      <c r="C453" s="86"/>
      <c r="E453" s="86"/>
      <c r="F453" s="86"/>
      <c r="G453" s="86"/>
      <c r="H453" s="134"/>
      <c r="I453" s="86"/>
      <c r="J453" s="134"/>
      <c r="K453" s="86"/>
      <c r="L453" s="86"/>
      <c r="M453" s="173"/>
      <c r="N453" s="173"/>
      <c r="O453" s="173"/>
      <c r="P453" s="173"/>
      <c r="Q453" s="173"/>
      <c r="R453" s="173"/>
      <c r="S453" s="173"/>
      <c r="T453" s="173"/>
      <c r="U453" s="173"/>
      <c r="V453" s="165"/>
      <c r="W453" s="173"/>
      <c r="X453" s="173"/>
      <c r="Y453" s="173"/>
      <c r="Z453" s="173"/>
      <c r="AA453" s="173"/>
      <c r="AB453" s="173"/>
      <c r="AC453" s="173"/>
      <c r="AD453" s="173"/>
      <c r="AE453" s="173"/>
      <c r="AF453" s="174"/>
      <c r="AG453" s="16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65"/>
      <c r="AR453" s="173"/>
      <c r="AS453" s="173"/>
      <c r="AT453" s="173"/>
      <c r="AU453" s="173"/>
      <c r="AV453" s="173"/>
      <c r="AW453" s="173"/>
      <c r="AX453" s="173"/>
      <c r="AY453" s="173"/>
      <c r="AZ453" s="173"/>
      <c r="BB453" s="174"/>
      <c r="BC453" s="36"/>
    </row>
    <row r="454" spans="2:55" x14ac:dyDescent="0.3">
      <c r="B454" s="133"/>
      <c r="C454" s="86"/>
      <c r="E454" s="86"/>
      <c r="F454" s="86"/>
      <c r="G454" s="86"/>
      <c r="H454" s="134"/>
      <c r="I454" s="86"/>
      <c r="J454" s="134"/>
      <c r="K454" s="86"/>
      <c r="L454" s="86"/>
      <c r="M454" s="173"/>
      <c r="N454" s="173"/>
      <c r="O454" s="173"/>
      <c r="P454" s="173"/>
      <c r="Q454" s="173"/>
      <c r="R454" s="173"/>
      <c r="S454" s="173"/>
      <c r="T454" s="173"/>
      <c r="U454" s="173"/>
      <c r="V454" s="165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4"/>
      <c r="AG454" s="16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65"/>
      <c r="AR454" s="173"/>
      <c r="AS454" s="173"/>
      <c r="AT454" s="173"/>
      <c r="AU454" s="173"/>
      <c r="AV454" s="173"/>
      <c r="AW454" s="173"/>
      <c r="AX454" s="173"/>
      <c r="AY454" s="173"/>
      <c r="AZ454" s="173"/>
      <c r="BB454" s="174"/>
      <c r="BC454" s="36"/>
    </row>
    <row r="455" spans="2:55" x14ac:dyDescent="0.3">
      <c r="B455" s="133"/>
      <c r="C455" s="86"/>
      <c r="E455" s="86"/>
      <c r="F455" s="86"/>
      <c r="G455" s="86"/>
      <c r="H455" s="134"/>
      <c r="I455" s="86"/>
      <c r="J455" s="134"/>
      <c r="K455" s="86"/>
      <c r="L455" s="86"/>
      <c r="M455" s="173"/>
      <c r="N455" s="173"/>
      <c r="O455" s="173"/>
      <c r="P455" s="173"/>
      <c r="Q455" s="173"/>
      <c r="R455" s="173"/>
      <c r="S455" s="173"/>
      <c r="T455" s="173"/>
      <c r="U455" s="173"/>
      <c r="V455" s="165"/>
      <c r="W455" s="173"/>
      <c r="X455" s="173"/>
      <c r="Y455" s="173"/>
      <c r="Z455" s="173"/>
      <c r="AA455" s="173"/>
      <c r="AB455" s="173"/>
      <c r="AC455" s="173"/>
      <c r="AD455" s="173"/>
      <c r="AE455" s="173"/>
      <c r="AF455" s="174"/>
      <c r="AG455" s="16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65"/>
      <c r="AR455" s="173"/>
      <c r="AS455" s="173"/>
      <c r="AT455" s="173"/>
      <c r="AU455" s="173"/>
      <c r="AV455" s="173"/>
      <c r="AW455" s="173"/>
      <c r="AX455" s="173"/>
      <c r="AY455" s="173"/>
      <c r="AZ455" s="173"/>
      <c r="BB455" s="174"/>
      <c r="BC455" s="36"/>
    </row>
    <row r="456" spans="2:55" x14ac:dyDescent="0.3">
      <c r="B456" s="133"/>
      <c r="C456" s="86"/>
      <c r="E456" s="86"/>
      <c r="F456" s="86"/>
      <c r="G456" s="86"/>
      <c r="H456" s="134"/>
      <c r="I456" s="86"/>
      <c r="J456" s="134"/>
      <c r="K456" s="86"/>
      <c r="L456" s="86"/>
      <c r="M456" s="173"/>
      <c r="N456" s="173"/>
      <c r="O456" s="173"/>
      <c r="P456" s="173"/>
      <c r="Q456" s="173"/>
      <c r="R456" s="173"/>
      <c r="S456" s="173"/>
      <c r="T456" s="173"/>
      <c r="U456" s="173"/>
      <c r="V456" s="165"/>
      <c r="W456" s="173"/>
      <c r="X456" s="173"/>
      <c r="Y456" s="173"/>
      <c r="Z456" s="173"/>
      <c r="AA456" s="173"/>
      <c r="AB456" s="173"/>
      <c r="AC456" s="173"/>
      <c r="AD456" s="173"/>
      <c r="AE456" s="173"/>
      <c r="AF456" s="174"/>
      <c r="AG456" s="16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65"/>
      <c r="AR456" s="173"/>
      <c r="AS456" s="173"/>
      <c r="AT456" s="173"/>
      <c r="AU456" s="173"/>
      <c r="AV456" s="173"/>
      <c r="AW456" s="173"/>
      <c r="AX456" s="173"/>
      <c r="AY456" s="173"/>
      <c r="AZ456" s="173"/>
      <c r="BB456" s="174"/>
      <c r="BC456" s="36"/>
    </row>
    <row r="457" spans="2:55" x14ac:dyDescent="0.3">
      <c r="B457" s="133"/>
      <c r="C457" s="86"/>
      <c r="E457" s="86"/>
      <c r="F457" s="86"/>
      <c r="G457" s="86"/>
      <c r="H457" s="134"/>
      <c r="I457" s="86"/>
      <c r="J457" s="134"/>
      <c r="K457" s="86"/>
      <c r="L457" s="86"/>
      <c r="M457" s="173"/>
      <c r="N457" s="173"/>
      <c r="O457" s="173"/>
      <c r="P457" s="173"/>
      <c r="Q457" s="173"/>
      <c r="R457" s="173"/>
      <c r="S457" s="173"/>
      <c r="T457" s="173"/>
      <c r="U457" s="173"/>
      <c r="V457" s="165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4"/>
      <c r="AG457" s="16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65"/>
      <c r="AR457" s="173"/>
      <c r="AS457" s="173"/>
      <c r="AT457" s="173"/>
      <c r="AU457" s="173"/>
      <c r="AV457" s="173"/>
      <c r="AW457" s="173"/>
      <c r="AX457" s="173"/>
      <c r="AY457" s="173"/>
      <c r="AZ457" s="173"/>
      <c r="BB457" s="174"/>
      <c r="BC457" s="36"/>
    </row>
    <row r="458" spans="2:55" x14ac:dyDescent="0.3">
      <c r="B458" s="133"/>
      <c r="C458" s="86"/>
      <c r="E458" s="86"/>
      <c r="F458" s="86"/>
      <c r="G458" s="86"/>
      <c r="H458" s="134"/>
      <c r="I458" s="86"/>
      <c r="J458" s="134"/>
      <c r="K458" s="86"/>
      <c r="L458" s="86"/>
      <c r="M458" s="173"/>
      <c r="N458" s="173"/>
      <c r="O458" s="173"/>
      <c r="P458" s="173"/>
      <c r="Q458" s="173"/>
      <c r="R458" s="173"/>
      <c r="S458" s="173"/>
      <c r="T458" s="173"/>
      <c r="U458" s="173"/>
      <c r="V458" s="165"/>
      <c r="W458" s="173"/>
      <c r="X458" s="173"/>
      <c r="Y458" s="173"/>
      <c r="Z458" s="173"/>
      <c r="AA458" s="173"/>
      <c r="AB458" s="173"/>
      <c r="AC458" s="173"/>
      <c r="AD458" s="173"/>
      <c r="AE458" s="173"/>
      <c r="AF458" s="174"/>
      <c r="AG458" s="16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65"/>
      <c r="AR458" s="173"/>
      <c r="AS458" s="173"/>
      <c r="AT458" s="173"/>
      <c r="AU458" s="173"/>
      <c r="AV458" s="173"/>
      <c r="AW458" s="173"/>
      <c r="AX458" s="173"/>
      <c r="AY458" s="173"/>
      <c r="AZ458" s="173"/>
      <c r="BB458" s="174"/>
      <c r="BC458" s="36"/>
    </row>
    <row r="459" spans="2:55" x14ac:dyDescent="0.3">
      <c r="B459" s="133"/>
      <c r="C459" s="86"/>
      <c r="E459" s="86"/>
      <c r="F459" s="86"/>
      <c r="G459" s="86"/>
      <c r="H459" s="134"/>
      <c r="I459" s="86"/>
      <c r="J459" s="134"/>
      <c r="K459" s="86"/>
      <c r="L459" s="86"/>
      <c r="M459" s="173"/>
      <c r="N459" s="173"/>
      <c r="O459" s="173"/>
      <c r="P459" s="173"/>
      <c r="Q459" s="173"/>
      <c r="R459" s="173"/>
      <c r="S459" s="173"/>
      <c r="T459" s="173"/>
      <c r="U459" s="173"/>
      <c r="V459" s="165"/>
      <c r="W459" s="173"/>
      <c r="X459" s="173"/>
      <c r="Y459" s="173"/>
      <c r="Z459" s="173"/>
      <c r="AA459" s="173"/>
      <c r="AB459" s="173"/>
      <c r="AC459" s="173"/>
      <c r="AD459" s="173"/>
      <c r="AE459" s="173"/>
      <c r="AF459" s="174"/>
      <c r="AG459" s="16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65"/>
      <c r="AR459" s="173"/>
      <c r="AS459" s="173"/>
      <c r="AT459" s="173"/>
      <c r="AU459" s="173"/>
      <c r="AV459" s="173"/>
      <c r="AW459" s="173"/>
      <c r="AX459" s="173"/>
      <c r="AY459" s="173"/>
      <c r="AZ459" s="173"/>
      <c r="BB459" s="174"/>
      <c r="BC459" s="36"/>
    </row>
    <row r="460" spans="2:55" x14ac:dyDescent="0.3">
      <c r="B460" s="133"/>
      <c r="C460" s="86"/>
      <c r="E460" s="86"/>
      <c r="F460" s="86"/>
      <c r="G460" s="86"/>
      <c r="H460" s="134"/>
      <c r="I460" s="86"/>
      <c r="J460" s="134"/>
      <c r="K460" s="86"/>
      <c r="L460" s="86"/>
      <c r="M460" s="173"/>
      <c r="N460" s="173"/>
      <c r="O460" s="173"/>
      <c r="P460" s="173"/>
      <c r="Q460" s="173"/>
      <c r="R460" s="173"/>
      <c r="S460" s="173"/>
      <c r="T460" s="173"/>
      <c r="U460" s="173"/>
      <c r="V460" s="165"/>
      <c r="W460" s="173"/>
      <c r="X460" s="173"/>
      <c r="Y460" s="173"/>
      <c r="Z460" s="173"/>
      <c r="AA460" s="173"/>
      <c r="AB460" s="173"/>
      <c r="AC460" s="173"/>
      <c r="AD460" s="173"/>
      <c r="AE460" s="173"/>
      <c r="AF460" s="174"/>
      <c r="AG460" s="16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65"/>
      <c r="AR460" s="173"/>
      <c r="AS460" s="173"/>
      <c r="AT460" s="173"/>
      <c r="AU460" s="173"/>
      <c r="AV460" s="173"/>
      <c r="AW460" s="173"/>
      <c r="AX460" s="173"/>
      <c r="AY460" s="173"/>
      <c r="AZ460" s="173"/>
      <c r="BB460" s="174"/>
      <c r="BC460" s="36"/>
    </row>
    <row r="461" spans="2:55" x14ac:dyDescent="0.3">
      <c r="B461" s="133"/>
      <c r="C461" s="86"/>
      <c r="E461" s="86"/>
      <c r="F461" s="86"/>
      <c r="G461" s="86"/>
      <c r="H461" s="134"/>
      <c r="I461" s="86"/>
      <c r="J461" s="134"/>
      <c r="K461" s="86"/>
      <c r="L461" s="86"/>
      <c r="M461" s="173"/>
      <c r="N461" s="173"/>
      <c r="O461" s="173"/>
      <c r="P461" s="173"/>
      <c r="Q461" s="173"/>
      <c r="R461" s="173"/>
      <c r="S461" s="173"/>
      <c r="T461" s="173"/>
      <c r="U461" s="173"/>
      <c r="V461" s="165"/>
      <c r="W461" s="173"/>
      <c r="X461" s="173"/>
      <c r="Y461" s="173"/>
      <c r="Z461" s="173"/>
      <c r="AA461" s="173"/>
      <c r="AB461" s="173"/>
      <c r="AC461" s="173"/>
      <c r="AD461" s="173"/>
      <c r="AE461" s="173"/>
      <c r="AF461" s="174"/>
      <c r="AG461" s="16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65"/>
      <c r="AR461" s="173"/>
      <c r="AS461" s="173"/>
      <c r="AT461" s="173"/>
      <c r="AU461" s="173"/>
      <c r="AV461" s="173"/>
      <c r="AW461" s="173"/>
      <c r="AX461" s="173"/>
      <c r="AY461" s="173"/>
      <c r="AZ461" s="173"/>
      <c r="BB461" s="174"/>
      <c r="BC461" s="36"/>
    </row>
    <row r="462" spans="2:55" x14ac:dyDescent="0.3">
      <c r="B462" s="133"/>
      <c r="C462" s="86"/>
      <c r="E462" s="86"/>
      <c r="F462" s="86"/>
      <c r="G462" s="86"/>
      <c r="H462" s="134"/>
      <c r="I462" s="86"/>
      <c r="J462" s="134"/>
      <c r="K462" s="86"/>
      <c r="L462" s="86"/>
      <c r="M462" s="173"/>
      <c r="N462" s="173"/>
      <c r="O462" s="173"/>
      <c r="P462" s="173"/>
      <c r="Q462" s="173"/>
      <c r="R462" s="173"/>
      <c r="S462" s="173"/>
      <c r="T462" s="173"/>
      <c r="U462" s="173"/>
      <c r="V462" s="165"/>
      <c r="W462" s="173"/>
      <c r="X462" s="173"/>
      <c r="Y462" s="173"/>
      <c r="Z462" s="173"/>
      <c r="AA462" s="173"/>
      <c r="AB462" s="173"/>
      <c r="AC462" s="173"/>
      <c r="AD462" s="173"/>
      <c r="AE462" s="173"/>
      <c r="AF462" s="174"/>
      <c r="AG462" s="16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65"/>
      <c r="AR462" s="173"/>
      <c r="AS462" s="173"/>
      <c r="AT462" s="173"/>
      <c r="AU462" s="173"/>
      <c r="AV462" s="173"/>
      <c r="AW462" s="173"/>
      <c r="AX462" s="173"/>
      <c r="AY462" s="173"/>
      <c r="AZ462" s="173"/>
      <c r="BB462" s="174"/>
      <c r="BC462" s="36"/>
    </row>
    <row r="463" spans="2:55" x14ac:dyDescent="0.3">
      <c r="B463" s="133"/>
      <c r="C463" s="86"/>
      <c r="E463" s="86"/>
      <c r="F463" s="86"/>
      <c r="G463" s="86"/>
      <c r="H463" s="134"/>
      <c r="I463" s="86"/>
      <c r="J463" s="134"/>
      <c r="K463" s="86"/>
      <c r="L463" s="86"/>
      <c r="M463" s="173"/>
      <c r="N463" s="173"/>
      <c r="O463" s="173"/>
      <c r="P463" s="173"/>
      <c r="Q463" s="173"/>
      <c r="R463" s="173"/>
      <c r="S463" s="173"/>
      <c r="T463" s="173"/>
      <c r="U463" s="173"/>
      <c r="V463" s="165"/>
      <c r="W463" s="173"/>
      <c r="X463" s="173"/>
      <c r="Y463" s="173"/>
      <c r="Z463" s="173"/>
      <c r="AA463" s="173"/>
      <c r="AB463" s="173"/>
      <c r="AC463" s="173"/>
      <c r="AD463" s="173"/>
      <c r="AE463" s="173"/>
      <c r="AF463" s="174"/>
      <c r="AG463" s="16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65"/>
      <c r="AR463" s="173"/>
      <c r="AS463" s="173"/>
      <c r="AT463" s="173"/>
      <c r="AU463" s="173"/>
      <c r="AV463" s="173"/>
      <c r="AW463" s="173"/>
      <c r="AX463" s="173"/>
      <c r="AY463" s="173"/>
      <c r="AZ463" s="173"/>
      <c r="BB463" s="174"/>
      <c r="BC463" s="36"/>
    </row>
    <row r="464" spans="2:55" x14ac:dyDescent="0.3">
      <c r="B464" s="133"/>
      <c r="C464" s="86"/>
      <c r="E464" s="86"/>
      <c r="F464" s="86"/>
      <c r="G464" s="86"/>
      <c r="H464" s="134"/>
      <c r="I464" s="86"/>
      <c r="J464" s="134"/>
      <c r="K464" s="86"/>
      <c r="L464" s="86"/>
      <c r="M464" s="173"/>
      <c r="N464" s="173"/>
      <c r="O464" s="173"/>
      <c r="P464" s="173"/>
      <c r="Q464" s="173"/>
      <c r="R464" s="173"/>
      <c r="S464" s="173"/>
      <c r="T464" s="173"/>
      <c r="U464" s="173"/>
      <c r="V464" s="165"/>
      <c r="W464" s="173"/>
      <c r="X464" s="173"/>
      <c r="Y464" s="173"/>
      <c r="Z464" s="173"/>
      <c r="AA464" s="173"/>
      <c r="AB464" s="173"/>
      <c r="AC464" s="173"/>
      <c r="AD464" s="173"/>
      <c r="AE464" s="173"/>
      <c r="AF464" s="174"/>
      <c r="AG464" s="16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65"/>
      <c r="AR464" s="173"/>
      <c r="AS464" s="173"/>
      <c r="AT464" s="173"/>
      <c r="AU464" s="173"/>
      <c r="AV464" s="173"/>
      <c r="AW464" s="173"/>
      <c r="AX464" s="173"/>
      <c r="AY464" s="173"/>
      <c r="AZ464" s="173"/>
      <c r="BB464" s="174"/>
      <c r="BC464" s="36"/>
    </row>
    <row r="465" spans="2:55" x14ac:dyDescent="0.3">
      <c r="B465" s="133"/>
      <c r="C465" s="86"/>
      <c r="E465" s="86"/>
      <c r="F465" s="86"/>
      <c r="G465" s="86"/>
      <c r="H465" s="134"/>
      <c r="I465" s="86"/>
      <c r="J465" s="134"/>
      <c r="K465" s="86"/>
      <c r="L465" s="86"/>
      <c r="M465" s="173"/>
      <c r="N465" s="173"/>
      <c r="O465" s="173"/>
      <c r="P465" s="173"/>
      <c r="Q465" s="173"/>
      <c r="R465" s="173"/>
      <c r="S465" s="173"/>
      <c r="T465" s="173"/>
      <c r="U465" s="173"/>
      <c r="V465" s="165"/>
      <c r="W465" s="173"/>
      <c r="X465" s="173"/>
      <c r="Y465" s="173"/>
      <c r="Z465" s="173"/>
      <c r="AA465" s="173"/>
      <c r="AB465" s="173"/>
      <c r="AC465" s="173"/>
      <c r="AD465" s="173"/>
      <c r="AE465" s="173"/>
      <c r="AF465" s="174"/>
      <c r="AG465" s="16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65"/>
      <c r="AR465" s="173"/>
      <c r="AS465" s="173"/>
      <c r="AT465" s="173"/>
      <c r="AU465" s="173"/>
      <c r="AV465" s="173"/>
      <c r="AW465" s="173"/>
      <c r="AX465" s="173"/>
      <c r="AY465" s="173"/>
      <c r="AZ465" s="173"/>
      <c r="BB465" s="174"/>
      <c r="BC465" s="36"/>
    </row>
    <row r="466" spans="2:55" x14ac:dyDescent="0.3">
      <c r="B466" s="133"/>
      <c r="C466" s="86"/>
      <c r="E466" s="86"/>
      <c r="F466" s="86"/>
      <c r="G466" s="86"/>
      <c r="H466" s="134"/>
      <c r="I466" s="86"/>
      <c r="J466" s="134"/>
      <c r="K466" s="86"/>
      <c r="L466" s="86"/>
      <c r="M466" s="173"/>
      <c r="N466" s="173"/>
      <c r="O466" s="173"/>
      <c r="P466" s="173"/>
      <c r="Q466" s="173"/>
      <c r="R466" s="173"/>
      <c r="S466" s="173"/>
      <c r="T466" s="173"/>
      <c r="U466" s="173"/>
      <c r="V466" s="165"/>
      <c r="W466" s="173"/>
      <c r="X466" s="173"/>
      <c r="Y466" s="173"/>
      <c r="Z466" s="173"/>
      <c r="AA466" s="173"/>
      <c r="AB466" s="173"/>
      <c r="AC466" s="173"/>
      <c r="AD466" s="173"/>
      <c r="AE466" s="173"/>
      <c r="AF466" s="174"/>
      <c r="AG466" s="16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65"/>
      <c r="AR466" s="173"/>
      <c r="AS466" s="173"/>
      <c r="AT466" s="173"/>
      <c r="AU466" s="173"/>
      <c r="AV466" s="173"/>
      <c r="AW466" s="173"/>
      <c r="AX466" s="173"/>
      <c r="AY466" s="173"/>
      <c r="AZ466" s="173"/>
      <c r="BB466" s="174"/>
      <c r="BC466" s="36"/>
    </row>
    <row r="467" spans="2:55" x14ac:dyDescent="0.3">
      <c r="B467" s="133"/>
      <c r="C467" s="86"/>
      <c r="E467" s="86"/>
      <c r="F467" s="86"/>
      <c r="G467" s="86"/>
      <c r="H467" s="134"/>
      <c r="I467" s="86"/>
      <c r="J467" s="134"/>
      <c r="K467" s="86"/>
      <c r="L467" s="86"/>
      <c r="M467" s="173"/>
      <c r="N467" s="173"/>
      <c r="O467" s="173"/>
      <c r="P467" s="173"/>
      <c r="Q467" s="173"/>
      <c r="R467" s="173"/>
      <c r="S467" s="173"/>
      <c r="T467" s="173"/>
      <c r="U467" s="173"/>
      <c r="V467" s="165"/>
      <c r="W467" s="173"/>
      <c r="X467" s="173"/>
      <c r="Y467" s="173"/>
      <c r="Z467" s="173"/>
      <c r="AA467" s="173"/>
      <c r="AB467" s="173"/>
      <c r="AC467" s="173"/>
      <c r="AD467" s="173"/>
      <c r="AE467" s="173"/>
      <c r="AF467" s="174"/>
      <c r="AG467" s="16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65"/>
      <c r="AR467" s="173"/>
      <c r="AS467" s="173"/>
      <c r="AT467" s="173"/>
      <c r="AU467" s="173"/>
      <c r="AV467" s="173"/>
      <c r="AW467" s="173"/>
      <c r="AX467" s="173"/>
      <c r="AY467" s="173"/>
      <c r="AZ467" s="173"/>
      <c r="BB467" s="174"/>
      <c r="BC467" s="36"/>
    </row>
    <row r="468" spans="2:55" x14ac:dyDescent="0.3">
      <c r="B468" s="133"/>
      <c r="C468" s="86"/>
      <c r="E468" s="86"/>
      <c r="F468" s="86"/>
      <c r="G468" s="86"/>
      <c r="H468" s="134"/>
      <c r="I468" s="86"/>
      <c r="J468" s="134"/>
      <c r="K468" s="86"/>
      <c r="L468" s="86"/>
      <c r="M468" s="173"/>
      <c r="N468" s="173"/>
      <c r="O468" s="173"/>
      <c r="P468" s="173"/>
      <c r="Q468" s="173"/>
      <c r="R468" s="173"/>
      <c r="S468" s="173"/>
      <c r="T468" s="173"/>
      <c r="U468" s="173"/>
      <c r="V468" s="165"/>
      <c r="W468" s="173"/>
      <c r="X468" s="173"/>
      <c r="Y468" s="173"/>
      <c r="Z468" s="173"/>
      <c r="AA468" s="173"/>
      <c r="AB468" s="173"/>
      <c r="AC468" s="173"/>
      <c r="AD468" s="173"/>
      <c r="AE468" s="173"/>
      <c r="AF468" s="174"/>
      <c r="AG468" s="16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65"/>
      <c r="AR468" s="173"/>
      <c r="AS468" s="173"/>
      <c r="AT468" s="173"/>
      <c r="AU468" s="173"/>
      <c r="AV468" s="173"/>
      <c r="AW468" s="173"/>
      <c r="AX468" s="173"/>
      <c r="AY468" s="173"/>
      <c r="AZ468" s="173"/>
      <c r="BB468" s="174"/>
      <c r="BC468" s="36"/>
    </row>
    <row r="469" spans="2:55" x14ac:dyDescent="0.3">
      <c r="B469" s="133"/>
      <c r="C469" s="86"/>
      <c r="E469" s="86"/>
      <c r="F469" s="86"/>
      <c r="G469" s="86"/>
      <c r="H469" s="134"/>
      <c r="I469" s="86"/>
      <c r="J469" s="134"/>
      <c r="K469" s="86"/>
      <c r="L469" s="86"/>
      <c r="M469" s="173"/>
      <c r="N469" s="173"/>
      <c r="O469" s="173"/>
      <c r="P469" s="173"/>
      <c r="Q469" s="173"/>
      <c r="R469" s="173"/>
      <c r="S469" s="173"/>
      <c r="T469" s="173"/>
      <c r="U469" s="173"/>
      <c r="V469" s="165"/>
      <c r="W469" s="173"/>
      <c r="X469" s="173"/>
      <c r="Y469" s="173"/>
      <c r="Z469" s="173"/>
      <c r="AA469" s="173"/>
      <c r="AB469" s="173"/>
      <c r="AC469" s="173"/>
      <c r="AD469" s="173"/>
      <c r="AE469" s="173"/>
      <c r="AF469" s="174"/>
      <c r="AG469" s="165"/>
      <c r="AH469" s="175"/>
      <c r="AI469" s="175"/>
      <c r="AJ469" s="175"/>
      <c r="AK469" s="175"/>
      <c r="AL469" s="175"/>
      <c r="AM469" s="175"/>
      <c r="AN469" s="175"/>
      <c r="AO469" s="175"/>
      <c r="AP469" s="175"/>
      <c r="AQ469" s="165"/>
      <c r="AR469" s="173"/>
      <c r="AS469" s="173"/>
      <c r="AT469" s="173"/>
      <c r="AU469" s="173"/>
      <c r="AV469" s="173"/>
      <c r="AW469" s="173"/>
      <c r="AX469" s="173"/>
      <c r="AY469" s="173"/>
      <c r="AZ469" s="173"/>
      <c r="BB469" s="174"/>
      <c r="BC469" s="36"/>
    </row>
    <row r="470" spans="2:55" x14ac:dyDescent="0.3">
      <c r="B470" s="133"/>
      <c r="C470" s="86"/>
      <c r="E470" s="86"/>
      <c r="F470" s="86"/>
      <c r="G470" s="86"/>
      <c r="H470" s="134"/>
      <c r="I470" s="86"/>
      <c r="J470" s="134"/>
      <c r="K470" s="86"/>
      <c r="L470" s="86"/>
      <c r="M470" s="173"/>
      <c r="N470" s="173"/>
      <c r="O470" s="173"/>
      <c r="P470" s="173"/>
      <c r="Q470" s="173"/>
      <c r="R470" s="173"/>
      <c r="S470" s="173"/>
      <c r="T470" s="173"/>
      <c r="U470" s="173"/>
      <c r="V470" s="165"/>
      <c r="W470" s="173"/>
      <c r="X470" s="173"/>
      <c r="Y470" s="173"/>
      <c r="Z470" s="173"/>
      <c r="AA470" s="173"/>
      <c r="AB470" s="173"/>
      <c r="AC470" s="173"/>
      <c r="AD470" s="173"/>
      <c r="AE470" s="173"/>
      <c r="AF470" s="174"/>
      <c r="AG470" s="165"/>
      <c r="AH470" s="175"/>
      <c r="AI470" s="175"/>
      <c r="AJ470" s="175"/>
      <c r="AK470" s="175"/>
      <c r="AL470" s="175"/>
      <c r="AM470" s="175"/>
      <c r="AN470" s="175"/>
      <c r="AO470" s="175"/>
      <c r="AP470" s="175"/>
      <c r="AQ470" s="165"/>
      <c r="AR470" s="173"/>
      <c r="AS470" s="173"/>
      <c r="AT470" s="173"/>
      <c r="AU470" s="173"/>
      <c r="AV470" s="173"/>
      <c r="AW470" s="173"/>
      <c r="AX470" s="173"/>
      <c r="AY470" s="173"/>
      <c r="AZ470" s="173"/>
      <c r="BB470" s="174"/>
      <c r="BC470" s="36"/>
    </row>
    <row r="471" spans="2:55" x14ac:dyDescent="0.3">
      <c r="B471" s="133"/>
      <c r="C471" s="86"/>
      <c r="E471" s="86"/>
      <c r="F471" s="86"/>
      <c r="G471" s="86"/>
      <c r="H471" s="134"/>
      <c r="I471" s="86"/>
      <c r="J471" s="134"/>
      <c r="K471" s="86"/>
      <c r="L471" s="86"/>
      <c r="M471" s="173"/>
      <c r="N471" s="173"/>
      <c r="O471" s="173"/>
      <c r="P471" s="173"/>
      <c r="Q471" s="173"/>
      <c r="R471" s="173"/>
      <c r="S471" s="173"/>
      <c r="T471" s="173"/>
      <c r="U471" s="173"/>
      <c r="V471" s="165"/>
      <c r="W471" s="173"/>
      <c r="X471" s="173"/>
      <c r="Y471" s="173"/>
      <c r="Z471" s="173"/>
      <c r="AA471" s="173"/>
      <c r="AB471" s="173"/>
      <c r="AC471" s="173"/>
      <c r="AD471" s="173"/>
      <c r="AE471" s="173"/>
      <c r="AF471" s="174"/>
      <c r="AG471" s="16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65"/>
      <c r="AR471" s="173"/>
      <c r="AS471" s="173"/>
      <c r="AT471" s="173"/>
      <c r="AU471" s="173"/>
      <c r="AV471" s="173"/>
      <c r="AW471" s="173"/>
      <c r="AX471" s="173"/>
      <c r="AY471" s="173"/>
      <c r="AZ471" s="173"/>
      <c r="BB471" s="174"/>
      <c r="BC471" s="36"/>
    </row>
    <row r="472" spans="2:55" x14ac:dyDescent="0.3">
      <c r="E472" s="79"/>
      <c r="H472" s="79"/>
      <c r="M472" s="173"/>
      <c r="N472" s="173"/>
      <c r="O472" s="173"/>
      <c r="P472" s="173"/>
      <c r="Q472" s="173"/>
      <c r="R472" s="173"/>
      <c r="S472" s="173"/>
      <c r="T472" s="173"/>
      <c r="U472" s="173"/>
      <c r="V472" s="165"/>
      <c r="W472" s="173"/>
      <c r="X472" s="173"/>
      <c r="Y472" s="173"/>
      <c r="Z472" s="173"/>
      <c r="AA472" s="173"/>
      <c r="AB472" s="173"/>
      <c r="AC472" s="173"/>
      <c r="AD472" s="173"/>
      <c r="AE472" s="173"/>
      <c r="AF472" s="174"/>
      <c r="AG472" s="16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65"/>
      <c r="AR472" s="173"/>
      <c r="AS472" s="173"/>
      <c r="AT472" s="173"/>
      <c r="AU472" s="173"/>
      <c r="AV472" s="173"/>
      <c r="AW472" s="173"/>
      <c r="AX472" s="173"/>
      <c r="AY472" s="173"/>
      <c r="AZ472" s="173"/>
      <c r="BB472" s="174"/>
      <c r="BC472" s="36"/>
    </row>
    <row r="473" spans="2:55" x14ac:dyDescent="0.3">
      <c r="E473" s="79"/>
      <c r="H473" s="79"/>
      <c r="M473" s="173"/>
      <c r="N473" s="173"/>
      <c r="O473" s="173"/>
      <c r="P473" s="173"/>
      <c r="Q473" s="173"/>
      <c r="R473" s="173"/>
      <c r="S473" s="173"/>
      <c r="T473" s="173"/>
      <c r="U473" s="173"/>
      <c r="V473" s="165"/>
      <c r="W473" s="173"/>
      <c r="X473" s="173"/>
      <c r="Y473" s="173"/>
      <c r="Z473" s="173"/>
      <c r="AA473" s="173"/>
      <c r="AB473" s="173"/>
      <c r="AC473" s="173"/>
      <c r="AD473" s="173"/>
      <c r="AE473" s="173"/>
      <c r="AF473" s="174"/>
      <c r="AG473" s="16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65"/>
      <c r="AR473" s="173"/>
      <c r="AS473" s="173"/>
      <c r="AT473" s="173"/>
      <c r="AU473" s="173"/>
      <c r="AV473" s="173"/>
      <c r="AW473" s="173"/>
      <c r="AX473" s="173"/>
      <c r="AY473" s="173"/>
      <c r="AZ473" s="173"/>
      <c r="BB473" s="174"/>
      <c r="BC473" s="36"/>
    </row>
    <row r="474" spans="2:55" x14ac:dyDescent="0.3">
      <c r="E474" s="79"/>
      <c r="H474" s="79"/>
      <c r="M474" s="173"/>
      <c r="N474" s="173"/>
      <c r="O474" s="173"/>
      <c r="P474" s="173"/>
      <c r="Q474" s="173"/>
      <c r="R474" s="173"/>
      <c r="S474" s="173"/>
      <c r="T474" s="173"/>
      <c r="U474" s="173"/>
      <c r="V474" s="165"/>
      <c r="W474" s="173"/>
      <c r="X474" s="173"/>
      <c r="Y474" s="173"/>
      <c r="Z474" s="173"/>
      <c r="AA474" s="173"/>
      <c r="AB474" s="173"/>
      <c r="AC474" s="173"/>
      <c r="AD474" s="173"/>
      <c r="AE474" s="173"/>
      <c r="AF474" s="174"/>
      <c r="AG474" s="16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65"/>
      <c r="AR474" s="173"/>
      <c r="AS474" s="173"/>
      <c r="AT474" s="173"/>
      <c r="AU474" s="173"/>
      <c r="AV474" s="173"/>
      <c r="AW474" s="173"/>
      <c r="AX474" s="173"/>
      <c r="AY474" s="173"/>
      <c r="AZ474" s="173"/>
      <c r="BB474" s="174"/>
      <c r="BC474" s="36"/>
    </row>
    <row r="475" spans="2:55" x14ac:dyDescent="0.3">
      <c r="E475" s="79"/>
      <c r="H475" s="79"/>
      <c r="J475" s="134"/>
      <c r="M475" s="173"/>
      <c r="N475" s="173"/>
      <c r="O475" s="173"/>
      <c r="P475" s="173"/>
      <c r="Q475" s="173"/>
      <c r="R475" s="173"/>
      <c r="S475" s="173"/>
      <c r="T475" s="173"/>
      <c r="U475" s="173"/>
      <c r="V475" s="165"/>
      <c r="W475" s="173"/>
      <c r="X475" s="173"/>
      <c r="Y475" s="173"/>
      <c r="Z475" s="173"/>
      <c r="AA475" s="173"/>
      <c r="AB475" s="173"/>
      <c r="AC475" s="173"/>
      <c r="AD475" s="173"/>
      <c r="AE475" s="173"/>
      <c r="AF475" s="174"/>
      <c r="AG475" s="16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65"/>
      <c r="AR475" s="173"/>
      <c r="AS475" s="173"/>
      <c r="AT475" s="173"/>
      <c r="AU475" s="173"/>
      <c r="AV475" s="173"/>
      <c r="AW475" s="173"/>
      <c r="AX475" s="173"/>
      <c r="AY475" s="173"/>
      <c r="AZ475" s="173"/>
      <c r="BB475" s="174"/>
      <c r="BC475" s="36"/>
    </row>
    <row r="476" spans="2:55" x14ac:dyDescent="0.3">
      <c r="E476" s="79"/>
      <c r="H476" s="79"/>
      <c r="M476" s="173"/>
      <c r="N476" s="173"/>
      <c r="O476" s="173"/>
      <c r="P476" s="173"/>
      <c r="Q476" s="173"/>
      <c r="R476" s="173"/>
      <c r="S476" s="173"/>
      <c r="T476" s="173"/>
      <c r="U476" s="173"/>
      <c r="V476" s="165"/>
      <c r="W476" s="173"/>
      <c r="X476" s="173"/>
      <c r="Y476" s="173"/>
      <c r="Z476" s="173"/>
      <c r="AA476" s="173"/>
      <c r="AB476" s="173"/>
      <c r="AC476" s="173"/>
      <c r="AD476" s="173"/>
      <c r="AE476" s="173"/>
      <c r="AF476" s="174"/>
      <c r="AG476" s="16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65"/>
      <c r="AR476" s="173"/>
      <c r="AS476" s="173"/>
      <c r="AT476" s="173"/>
      <c r="AU476" s="173"/>
      <c r="AV476" s="173"/>
      <c r="AW476" s="173"/>
      <c r="AX476" s="173"/>
      <c r="AY476" s="173"/>
      <c r="AZ476" s="173"/>
      <c r="BB476" s="174"/>
      <c r="BC476" s="36"/>
    </row>
    <row r="477" spans="2:55" x14ac:dyDescent="0.3">
      <c r="E477" s="79"/>
      <c r="H477" s="79"/>
      <c r="M477" s="173"/>
      <c r="N477" s="173"/>
      <c r="O477" s="173"/>
      <c r="P477" s="173"/>
      <c r="Q477" s="173"/>
      <c r="R477" s="173"/>
      <c r="S477" s="173"/>
      <c r="T477" s="173"/>
      <c r="U477" s="173"/>
      <c r="V477" s="165"/>
      <c r="W477" s="173"/>
      <c r="X477" s="173"/>
      <c r="Y477" s="173"/>
      <c r="Z477" s="173"/>
      <c r="AA477" s="173"/>
      <c r="AB477" s="173"/>
      <c r="AC477" s="173"/>
      <c r="AD477" s="173"/>
      <c r="AE477" s="173"/>
      <c r="AF477" s="174"/>
      <c r="AG477" s="16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65"/>
      <c r="AR477" s="173"/>
      <c r="AS477" s="173"/>
      <c r="AT477" s="173"/>
      <c r="AU477" s="173"/>
      <c r="AV477" s="173"/>
      <c r="AW477" s="173"/>
      <c r="AX477" s="173"/>
      <c r="AY477" s="173"/>
      <c r="AZ477" s="173"/>
      <c r="BB477" s="174"/>
      <c r="BC477" s="36"/>
    </row>
    <row r="478" spans="2:55" x14ac:dyDescent="0.3">
      <c r="E478" s="79"/>
      <c r="H478" s="79"/>
      <c r="M478" s="173"/>
      <c r="N478" s="173"/>
      <c r="O478" s="173"/>
      <c r="P478" s="173"/>
      <c r="Q478" s="173"/>
      <c r="R478" s="173"/>
      <c r="S478" s="173"/>
      <c r="T478" s="173"/>
      <c r="U478" s="173"/>
      <c r="V478" s="165"/>
      <c r="W478" s="173"/>
      <c r="X478" s="173"/>
      <c r="Y478" s="173"/>
      <c r="Z478" s="173"/>
      <c r="AA478" s="173"/>
      <c r="AB478" s="173"/>
      <c r="AC478" s="173"/>
      <c r="AD478" s="173"/>
      <c r="AE478" s="173"/>
      <c r="AF478" s="174"/>
      <c r="AG478" s="16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65"/>
      <c r="AR478" s="173"/>
      <c r="AS478" s="173"/>
      <c r="AT478" s="173"/>
      <c r="AU478" s="173"/>
      <c r="AV478" s="173"/>
      <c r="AW478" s="173"/>
      <c r="AX478" s="173"/>
      <c r="AY478" s="173"/>
      <c r="AZ478" s="173"/>
      <c r="BB478" s="174"/>
      <c r="BC478" s="36"/>
    </row>
    <row r="479" spans="2:55" x14ac:dyDescent="0.3">
      <c r="E479" s="79"/>
      <c r="H479" s="79"/>
      <c r="M479" s="173"/>
      <c r="N479" s="173"/>
      <c r="O479" s="173"/>
      <c r="P479" s="173"/>
      <c r="Q479" s="173"/>
      <c r="R479" s="173"/>
      <c r="S479" s="173"/>
      <c r="T479" s="173"/>
      <c r="U479" s="173"/>
      <c r="V479" s="165"/>
      <c r="W479" s="173"/>
      <c r="X479" s="173"/>
      <c r="Y479" s="173"/>
      <c r="Z479" s="173"/>
      <c r="AA479" s="173"/>
      <c r="AB479" s="173"/>
      <c r="AC479" s="173"/>
      <c r="AD479" s="173"/>
      <c r="AE479" s="173"/>
      <c r="AF479" s="174"/>
      <c r="AG479" s="16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65"/>
      <c r="AR479" s="173"/>
      <c r="AS479" s="173"/>
      <c r="AT479" s="173"/>
      <c r="AU479" s="173"/>
      <c r="AV479" s="173"/>
      <c r="AW479" s="173"/>
      <c r="AX479" s="173"/>
      <c r="AY479" s="173"/>
      <c r="AZ479" s="173"/>
      <c r="BB479" s="174"/>
      <c r="BC479" s="36"/>
    </row>
    <row r="480" spans="2:55" x14ac:dyDescent="0.3">
      <c r="E480" s="79"/>
      <c r="H480" s="79"/>
      <c r="M480" s="173"/>
      <c r="N480" s="173"/>
      <c r="O480" s="173"/>
      <c r="P480" s="173"/>
      <c r="Q480" s="173"/>
      <c r="R480" s="173"/>
      <c r="S480" s="173"/>
      <c r="T480" s="173"/>
      <c r="U480" s="173"/>
      <c r="V480" s="165"/>
      <c r="W480" s="173"/>
      <c r="X480" s="173"/>
      <c r="Y480" s="173"/>
      <c r="Z480" s="173"/>
      <c r="AA480" s="173"/>
      <c r="AB480" s="173"/>
      <c r="AC480" s="173"/>
      <c r="AD480" s="173"/>
      <c r="AE480" s="173"/>
      <c r="AF480" s="174"/>
      <c r="AG480" s="16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65"/>
      <c r="AR480" s="173"/>
      <c r="AS480" s="173"/>
      <c r="AT480" s="173"/>
      <c r="AU480" s="173"/>
      <c r="AV480" s="173"/>
      <c r="AW480" s="173"/>
      <c r="AX480" s="173"/>
      <c r="AY480" s="173"/>
      <c r="AZ480" s="173"/>
      <c r="BB480" s="174"/>
      <c r="BC480" s="36"/>
    </row>
    <row r="481" spans="5:55" x14ac:dyDescent="0.3">
      <c r="E481" s="79"/>
      <c r="H481" s="79"/>
      <c r="M481" s="173"/>
      <c r="N481" s="173"/>
      <c r="O481" s="173"/>
      <c r="P481" s="173"/>
      <c r="Q481" s="173"/>
      <c r="R481" s="173"/>
      <c r="S481" s="173"/>
      <c r="T481" s="173"/>
      <c r="U481" s="173"/>
      <c r="V481" s="165"/>
      <c r="W481" s="173"/>
      <c r="X481" s="173"/>
      <c r="Y481" s="173"/>
      <c r="Z481" s="173"/>
      <c r="AA481" s="173"/>
      <c r="AB481" s="173"/>
      <c r="AC481" s="173"/>
      <c r="AD481" s="173"/>
      <c r="AE481" s="173"/>
      <c r="AF481" s="174"/>
      <c r="AG481" s="16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65"/>
      <c r="AR481" s="173"/>
      <c r="AS481" s="173"/>
      <c r="AT481" s="173"/>
      <c r="AU481" s="173"/>
      <c r="AV481" s="173"/>
      <c r="AW481" s="173"/>
      <c r="AX481" s="173"/>
      <c r="AY481" s="173"/>
      <c r="AZ481" s="173"/>
      <c r="BB481" s="174"/>
      <c r="BC481" s="36"/>
    </row>
    <row r="482" spans="5:55" x14ac:dyDescent="0.3">
      <c r="E482" s="79"/>
      <c r="H482" s="79"/>
      <c r="M482" s="173"/>
      <c r="N482" s="173"/>
      <c r="O482" s="173"/>
      <c r="P482" s="173"/>
      <c r="Q482" s="173"/>
      <c r="R482" s="173"/>
      <c r="S482" s="173"/>
      <c r="T482" s="173"/>
      <c r="U482" s="173"/>
      <c r="V482" s="165"/>
      <c r="W482" s="173"/>
      <c r="X482" s="173"/>
      <c r="Y482" s="173"/>
      <c r="Z482" s="173"/>
      <c r="AA482" s="173"/>
      <c r="AB482" s="173"/>
      <c r="AC482" s="173"/>
      <c r="AD482" s="173"/>
      <c r="AE482" s="173"/>
      <c r="AF482" s="174"/>
      <c r="AG482" s="16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65"/>
      <c r="AR482" s="173"/>
      <c r="AS482" s="173"/>
      <c r="AT482" s="173"/>
      <c r="AU482" s="173"/>
      <c r="AV482" s="173"/>
      <c r="AW482" s="173"/>
      <c r="AX482" s="173"/>
      <c r="AY482" s="173"/>
      <c r="AZ482" s="173"/>
      <c r="BB482" s="174"/>
      <c r="BC482" s="36"/>
    </row>
    <row r="483" spans="5:55" x14ac:dyDescent="0.3">
      <c r="E483" s="79"/>
      <c r="H483" s="79"/>
      <c r="M483" s="173"/>
      <c r="N483" s="173"/>
      <c r="O483" s="173"/>
      <c r="P483" s="173"/>
      <c r="Q483" s="173"/>
      <c r="R483" s="173"/>
      <c r="S483" s="173"/>
      <c r="T483" s="173"/>
      <c r="U483" s="173"/>
      <c r="V483" s="165"/>
      <c r="W483" s="173"/>
      <c r="X483" s="173"/>
      <c r="Y483" s="173"/>
      <c r="Z483" s="173"/>
      <c r="AA483" s="173"/>
      <c r="AB483" s="173"/>
      <c r="AC483" s="173"/>
      <c r="AD483" s="173"/>
      <c r="AE483" s="173"/>
      <c r="AF483" s="174"/>
      <c r="AG483" s="16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65"/>
      <c r="AR483" s="173"/>
      <c r="AS483" s="173"/>
      <c r="AT483" s="173"/>
      <c r="AU483" s="173"/>
      <c r="AV483" s="173"/>
      <c r="AW483" s="173"/>
      <c r="AX483" s="173"/>
      <c r="AY483" s="173"/>
      <c r="AZ483" s="173"/>
      <c r="BB483" s="174"/>
      <c r="BC483" s="36"/>
    </row>
    <row r="484" spans="5:55" x14ac:dyDescent="0.3">
      <c r="E484" s="79"/>
      <c r="H484" s="79"/>
      <c r="M484" s="173"/>
      <c r="N484" s="173"/>
      <c r="O484" s="173"/>
      <c r="P484" s="173"/>
      <c r="Q484" s="173"/>
      <c r="R484" s="173"/>
      <c r="S484" s="173"/>
      <c r="T484" s="173"/>
      <c r="U484" s="173"/>
      <c r="V484" s="165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4"/>
      <c r="AG484" s="16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65"/>
      <c r="AR484" s="173"/>
      <c r="AS484" s="173"/>
      <c r="AT484" s="173"/>
      <c r="AU484" s="173"/>
      <c r="AV484" s="173"/>
      <c r="AW484" s="173"/>
      <c r="AX484" s="173"/>
      <c r="AY484" s="173"/>
      <c r="AZ484" s="173"/>
      <c r="BB484" s="174"/>
      <c r="BC484" s="36"/>
    </row>
    <row r="485" spans="5:55" x14ac:dyDescent="0.3">
      <c r="E485" s="79"/>
      <c r="H485" s="79"/>
      <c r="M485" s="173"/>
      <c r="N485" s="173"/>
      <c r="O485" s="173"/>
      <c r="P485" s="173"/>
      <c r="Q485" s="173"/>
      <c r="R485" s="173"/>
      <c r="S485" s="173"/>
      <c r="T485" s="173"/>
      <c r="U485" s="173"/>
      <c r="V485" s="165"/>
      <c r="W485" s="173"/>
      <c r="X485" s="173"/>
      <c r="Y485" s="173"/>
      <c r="Z485" s="173"/>
      <c r="AA485" s="173"/>
      <c r="AB485" s="173"/>
      <c r="AC485" s="173"/>
      <c r="AD485" s="173"/>
      <c r="AE485" s="173"/>
      <c r="AF485" s="174"/>
      <c r="AG485" s="16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65"/>
      <c r="AR485" s="173"/>
      <c r="AS485" s="173"/>
      <c r="AT485" s="173"/>
      <c r="AU485" s="173"/>
      <c r="AV485" s="173"/>
      <c r="AW485" s="173"/>
      <c r="AX485" s="173"/>
      <c r="AY485" s="173"/>
      <c r="AZ485" s="173"/>
      <c r="BB485" s="174"/>
      <c r="BC485" s="36"/>
    </row>
    <row r="486" spans="5:55" x14ac:dyDescent="0.3">
      <c r="E486" s="79"/>
      <c r="H486" s="79"/>
      <c r="M486" s="173"/>
      <c r="N486" s="173"/>
      <c r="O486" s="173"/>
      <c r="P486" s="173"/>
      <c r="Q486" s="173"/>
      <c r="R486" s="173"/>
      <c r="S486" s="173"/>
      <c r="T486" s="173"/>
      <c r="U486" s="173"/>
      <c r="V486" s="165"/>
      <c r="W486" s="173"/>
      <c r="X486" s="173"/>
      <c r="Y486" s="173"/>
      <c r="Z486" s="173"/>
      <c r="AA486" s="173"/>
      <c r="AB486" s="173"/>
      <c r="AC486" s="173"/>
      <c r="AD486" s="173"/>
      <c r="AE486" s="173"/>
      <c r="AF486" s="174"/>
      <c r="AG486" s="16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65"/>
      <c r="AR486" s="173"/>
      <c r="AS486" s="173"/>
      <c r="AT486" s="173"/>
      <c r="AU486" s="173"/>
      <c r="AV486" s="173"/>
      <c r="AW486" s="173"/>
      <c r="AX486" s="173"/>
      <c r="AY486" s="173"/>
      <c r="AZ486" s="173"/>
      <c r="BB486" s="174"/>
      <c r="BC486" s="36"/>
    </row>
    <row r="487" spans="5:55" x14ac:dyDescent="0.3">
      <c r="E487" s="79"/>
      <c r="H487" s="79"/>
      <c r="M487" s="173"/>
      <c r="N487" s="173"/>
      <c r="O487" s="173"/>
      <c r="P487" s="173"/>
      <c r="Q487" s="173"/>
      <c r="R487" s="173"/>
      <c r="S487" s="173"/>
      <c r="T487" s="173"/>
      <c r="U487" s="173"/>
      <c r="V487" s="165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4"/>
      <c r="AG487" s="16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65"/>
      <c r="AR487" s="173"/>
      <c r="AS487" s="173"/>
      <c r="AT487" s="173"/>
      <c r="AU487" s="173"/>
      <c r="AV487" s="173"/>
      <c r="AW487" s="173"/>
      <c r="AX487" s="173"/>
      <c r="AY487" s="173"/>
      <c r="AZ487" s="173"/>
      <c r="BB487" s="174"/>
      <c r="BC487" s="36"/>
    </row>
    <row r="488" spans="5:55" x14ac:dyDescent="0.3">
      <c r="E488" s="79"/>
      <c r="H488" s="79"/>
      <c r="M488" s="173"/>
      <c r="N488" s="173"/>
      <c r="O488" s="173"/>
      <c r="P488" s="173"/>
      <c r="Q488" s="173"/>
      <c r="R488" s="173"/>
      <c r="S488" s="173"/>
      <c r="T488" s="173"/>
      <c r="U488" s="173"/>
      <c r="V488" s="165"/>
      <c r="W488" s="173"/>
      <c r="X488" s="173"/>
      <c r="Y488" s="173"/>
      <c r="Z488" s="173"/>
      <c r="AA488" s="173"/>
      <c r="AB488" s="173"/>
      <c r="AC488" s="173"/>
      <c r="AD488" s="173"/>
      <c r="AE488" s="173"/>
      <c r="AF488" s="174"/>
      <c r="AG488" s="16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65"/>
      <c r="AR488" s="173"/>
      <c r="AS488" s="173"/>
      <c r="AT488" s="173"/>
      <c r="AU488" s="173"/>
      <c r="AV488" s="173"/>
      <c r="AW488" s="173"/>
      <c r="AX488" s="173"/>
      <c r="AY488" s="173"/>
      <c r="AZ488" s="173"/>
      <c r="BB488" s="174"/>
      <c r="BC488" s="36"/>
    </row>
    <row r="489" spans="5:55" x14ac:dyDescent="0.3">
      <c r="E489" s="79"/>
      <c r="H489" s="79"/>
      <c r="M489" s="173"/>
      <c r="N489" s="173"/>
      <c r="O489" s="173"/>
      <c r="P489" s="173"/>
      <c r="Q489" s="173"/>
      <c r="R489" s="173"/>
      <c r="S489" s="173"/>
      <c r="T489" s="173"/>
      <c r="U489" s="173"/>
      <c r="V489" s="165"/>
      <c r="W489" s="173"/>
      <c r="X489" s="173"/>
      <c r="Y489" s="173"/>
      <c r="Z489" s="173"/>
      <c r="AA489" s="173"/>
      <c r="AB489" s="173"/>
      <c r="AC489" s="173"/>
      <c r="AD489" s="173"/>
      <c r="AE489" s="173"/>
      <c r="AF489" s="174"/>
      <c r="AG489" s="16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65"/>
      <c r="AR489" s="173"/>
      <c r="AS489" s="173"/>
      <c r="AT489" s="173"/>
      <c r="AU489" s="173"/>
      <c r="AV489" s="173"/>
      <c r="AW489" s="173"/>
      <c r="AX489" s="173"/>
      <c r="AY489" s="173"/>
      <c r="AZ489" s="173"/>
      <c r="BB489" s="174"/>
      <c r="BC489" s="36"/>
    </row>
    <row r="490" spans="5:55" x14ac:dyDescent="0.3">
      <c r="E490" s="79"/>
      <c r="H490" s="79"/>
      <c r="M490" s="173"/>
      <c r="N490" s="173"/>
      <c r="O490" s="173"/>
      <c r="P490" s="173"/>
      <c r="Q490" s="173"/>
      <c r="R490" s="173"/>
      <c r="S490" s="173"/>
      <c r="T490" s="173"/>
      <c r="U490" s="173"/>
      <c r="V490" s="165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4"/>
      <c r="AG490" s="165"/>
      <c r="AH490" s="175"/>
      <c r="AI490" s="175"/>
      <c r="AJ490" s="175"/>
      <c r="AK490" s="175"/>
      <c r="AL490" s="175"/>
      <c r="AM490" s="175"/>
      <c r="AN490" s="175"/>
      <c r="AO490" s="175"/>
      <c r="AP490" s="175"/>
      <c r="AQ490" s="165"/>
      <c r="AR490" s="173"/>
      <c r="AS490" s="173"/>
      <c r="AT490" s="173"/>
      <c r="AU490" s="173"/>
      <c r="AV490" s="173"/>
      <c r="AW490" s="173"/>
      <c r="AX490" s="173"/>
      <c r="AY490" s="173"/>
      <c r="AZ490" s="173"/>
      <c r="BB490" s="174"/>
      <c r="BC490" s="36"/>
    </row>
    <row r="491" spans="5:55" x14ac:dyDescent="0.3">
      <c r="E491" s="79"/>
    </row>
    <row r="492" spans="5:55" x14ac:dyDescent="0.3">
      <c r="E492" s="79"/>
    </row>
    <row r="493" spans="5:55" x14ac:dyDescent="0.3">
      <c r="E493" s="79"/>
    </row>
    <row r="494" spans="5:55" x14ac:dyDescent="0.3">
      <c r="E494" s="79"/>
    </row>
    <row r="495" spans="5:55" x14ac:dyDescent="0.3">
      <c r="E495" s="79"/>
    </row>
    <row r="496" spans="5:55" x14ac:dyDescent="0.3">
      <c r="E496" s="79"/>
    </row>
    <row r="497" spans="5:5" x14ac:dyDescent="0.3">
      <c r="E497" s="79"/>
    </row>
    <row r="498" spans="5:5" x14ac:dyDescent="0.3">
      <c r="E498" s="79"/>
    </row>
    <row r="499" spans="5:5" x14ac:dyDescent="0.3">
      <c r="E499" s="79"/>
    </row>
    <row r="500" spans="5:5" x14ac:dyDescent="0.3">
      <c r="E500" s="79"/>
    </row>
    <row r="501" spans="5:5" x14ac:dyDescent="0.3">
      <c r="E501" s="79"/>
    </row>
    <row r="502" spans="5:5" x14ac:dyDescent="0.3">
      <c r="E502" s="79"/>
    </row>
    <row r="503" spans="5:5" x14ac:dyDescent="0.3">
      <c r="E503" s="79"/>
    </row>
    <row r="504" spans="5:5" x14ac:dyDescent="0.3">
      <c r="E504" s="79"/>
    </row>
    <row r="505" spans="5:5" x14ac:dyDescent="0.3">
      <c r="E505" s="79"/>
    </row>
    <row r="506" spans="5:5" x14ac:dyDescent="0.3">
      <c r="E506" s="79"/>
    </row>
    <row r="507" spans="5:5" x14ac:dyDescent="0.3">
      <c r="E507" s="79"/>
    </row>
    <row r="508" spans="5:5" x14ac:dyDescent="0.3">
      <c r="E508" s="79"/>
    </row>
    <row r="509" spans="5:5" x14ac:dyDescent="0.3">
      <c r="E509" s="79"/>
    </row>
    <row r="510" spans="5:5" x14ac:dyDescent="0.3">
      <c r="E510" s="79"/>
    </row>
    <row r="511" spans="5:5" x14ac:dyDescent="0.3">
      <c r="E511" s="79"/>
    </row>
    <row r="512" spans="5:5" x14ac:dyDescent="0.3">
      <c r="E512" s="79"/>
    </row>
    <row r="513" spans="5:5" x14ac:dyDescent="0.3">
      <c r="E513" s="79"/>
    </row>
    <row r="514" spans="5:5" x14ac:dyDescent="0.3">
      <c r="E514" s="79"/>
    </row>
    <row r="515" spans="5:5" x14ac:dyDescent="0.3">
      <c r="E515" s="79"/>
    </row>
    <row r="516" spans="5:5" x14ac:dyDescent="0.3">
      <c r="E516" s="79"/>
    </row>
    <row r="517" spans="5:5" x14ac:dyDescent="0.3">
      <c r="E517" s="79"/>
    </row>
    <row r="518" spans="5:5" x14ac:dyDescent="0.3">
      <c r="E518" s="79"/>
    </row>
    <row r="519" spans="5:5" x14ac:dyDescent="0.3">
      <c r="E519" s="79"/>
    </row>
    <row r="520" spans="5:5" x14ac:dyDescent="0.3">
      <c r="E520" s="79"/>
    </row>
    <row r="521" spans="5:5" x14ac:dyDescent="0.3">
      <c r="E521" s="79"/>
    </row>
    <row r="522" spans="5:5" x14ac:dyDescent="0.3">
      <c r="E522" s="79"/>
    </row>
    <row r="523" spans="5:5" x14ac:dyDescent="0.3">
      <c r="E523" s="79"/>
    </row>
    <row r="524" spans="5:5" x14ac:dyDescent="0.3">
      <c r="E524" s="79"/>
    </row>
    <row r="525" spans="5:5" x14ac:dyDescent="0.3">
      <c r="E525" s="79"/>
    </row>
    <row r="526" spans="5:5" x14ac:dyDescent="0.3">
      <c r="E526" s="79"/>
    </row>
    <row r="527" spans="5:5" x14ac:dyDescent="0.3">
      <c r="E527" s="79"/>
    </row>
    <row r="528" spans="5:5" x14ac:dyDescent="0.3">
      <c r="E528" s="79"/>
    </row>
    <row r="529" spans="5:5" x14ac:dyDescent="0.3">
      <c r="E529" s="79"/>
    </row>
    <row r="530" spans="5:5" x14ac:dyDescent="0.3">
      <c r="E530" s="79"/>
    </row>
    <row r="531" spans="5:5" x14ac:dyDescent="0.3">
      <c r="E531" s="79"/>
    </row>
    <row r="532" spans="5:5" x14ac:dyDescent="0.3">
      <c r="E532" s="79"/>
    </row>
    <row r="533" spans="5:5" x14ac:dyDescent="0.3">
      <c r="E533" s="79"/>
    </row>
    <row r="534" spans="5:5" x14ac:dyDescent="0.3">
      <c r="E534" s="79"/>
    </row>
    <row r="535" spans="5:5" x14ac:dyDescent="0.3">
      <c r="E535" s="79"/>
    </row>
    <row r="536" spans="5:5" x14ac:dyDescent="0.3">
      <c r="E536" s="79"/>
    </row>
    <row r="537" spans="5:5" x14ac:dyDescent="0.3">
      <c r="E537" s="79"/>
    </row>
    <row r="538" spans="5:5" x14ac:dyDescent="0.3">
      <c r="E538" s="79"/>
    </row>
    <row r="539" spans="5:5" x14ac:dyDescent="0.3">
      <c r="E539" s="79"/>
    </row>
    <row r="540" spans="5:5" x14ac:dyDescent="0.3">
      <c r="E540" s="79"/>
    </row>
    <row r="541" spans="5:5" x14ac:dyDescent="0.3">
      <c r="E541" s="79"/>
    </row>
    <row r="542" spans="5:5" x14ac:dyDescent="0.3">
      <c r="E542" s="79"/>
    </row>
    <row r="543" spans="5:5" x14ac:dyDescent="0.3">
      <c r="E543" s="79"/>
    </row>
    <row r="544" spans="5:5" x14ac:dyDescent="0.3">
      <c r="E544" s="79"/>
    </row>
    <row r="545" spans="5:5" x14ac:dyDescent="0.3">
      <c r="E545" s="79"/>
    </row>
    <row r="546" spans="5:5" x14ac:dyDescent="0.3">
      <c r="E546" s="79"/>
    </row>
    <row r="547" spans="5:5" x14ac:dyDescent="0.3">
      <c r="E547" s="79"/>
    </row>
    <row r="548" spans="5:5" x14ac:dyDescent="0.3">
      <c r="E548" s="79"/>
    </row>
    <row r="549" spans="5:5" x14ac:dyDescent="0.3">
      <c r="E549" s="79"/>
    </row>
    <row r="550" spans="5:5" x14ac:dyDescent="0.3">
      <c r="E550" s="79"/>
    </row>
    <row r="551" spans="5:5" x14ac:dyDescent="0.3">
      <c r="E551" s="79"/>
    </row>
    <row r="552" spans="5:5" x14ac:dyDescent="0.3">
      <c r="E552" s="79"/>
    </row>
    <row r="553" spans="5:5" x14ac:dyDescent="0.3">
      <c r="E553" s="79"/>
    </row>
    <row r="554" spans="5:5" x14ac:dyDescent="0.3">
      <c r="E554" s="79"/>
    </row>
    <row r="555" spans="5:5" x14ac:dyDescent="0.3">
      <c r="E555" s="79"/>
    </row>
    <row r="556" spans="5:5" x14ac:dyDescent="0.3">
      <c r="E556" s="79"/>
    </row>
    <row r="557" spans="5:5" x14ac:dyDescent="0.3">
      <c r="E557" s="79"/>
    </row>
    <row r="558" spans="5:5" x14ac:dyDescent="0.3">
      <c r="E558" s="79"/>
    </row>
    <row r="559" spans="5:5" x14ac:dyDescent="0.3">
      <c r="E559" s="79"/>
    </row>
    <row r="560" spans="5:5" x14ac:dyDescent="0.3">
      <c r="E560" s="79"/>
    </row>
    <row r="561" spans="5:5" x14ac:dyDescent="0.3">
      <c r="E561" s="79"/>
    </row>
    <row r="562" spans="5:5" x14ac:dyDescent="0.3">
      <c r="E562" s="79"/>
    </row>
    <row r="563" spans="5:5" x14ac:dyDescent="0.3">
      <c r="E563" s="79"/>
    </row>
    <row r="564" spans="5:5" x14ac:dyDescent="0.3">
      <c r="E564" s="79"/>
    </row>
    <row r="565" spans="5:5" x14ac:dyDescent="0.3">
      <c r="E565" s="79"/>
    </row>
    <row r="566" spans="5:5" x14ac:dyDescent="0.3">
      <c r="E566" s="79"/>
    </row>
    <row r="567" spans="5:5" x14ac:dyDescent="0.3">
      <c r="E567" s="79"/>
    </row>
    <row r="568" spans="5:5" x14ac:dyDescent="0.3">
      <c r="E568" s="79"/>
    </row>
    <row r="569" spans="5:5" x14ac:dyDescent="0.3">
      <c r="E569" s="79"/>
    </row>
    <row r="570" spans="5:5" x14ac:dyDescent="0.3">
      <c r="E570" s="79"/>
    </row>
    <row r="571" spans="5:5" x14ac:dyDescent="0.3">
      <c r="E571" s="79"/>
    </row>
    <row r="572" spans="5:5" x14ac:dyDescent="0.3">
      <c r="E572" s="79"/>
    </row>
    <row r="573" spans="5:5" x14ac:dyDescent="0.3">
      <c r="E573" s="79"/>
    </row>
    <row r="574" spans="5:5" x14ac:dyDescent="0.3">
      <c r="E574" s="79"/>
    </row>
    <row r="575" spans="5:5" x14ac:dyDescent="0.3">
      <c r="E575" s="79"/>
    </row>
    <row r="576" spans="5:5" x14ac:dyDescent="0.3">
      <c r="E576" s="79"/>
    </row>
    <row r="577" spans="5:5" x14ac:dyDescent="0.3">
      <c r="E577" s="79"/>
    </row>
    <row r="578" spans="5:5" x14ac:dyDescent="0.3">
      <c r="E578" s="79"/>
    </row>
    <row r="579" spans="5:5" x14ac:dyDescent="0.3">
      <c r="E579" s="79"/>
    </row>
    <row r="580" spans="5:5" x14ac:dyDescent="0.3">
      <c r="E580" s="79"/>
    </row>
    <row r="581" spans="5:5" x14ac:dyDescent="0.3">
      <c r="E581" s="79"/>
    </row>
    <row r="582" spans="5:5" x14ac:dyDescent="0.3">
      <c r="E582" s="79"/>
    </row>
    <row r="583" spans="5:5" x14ac:dyDescent="0.3">
      <c r="E583" s="79"/>
    </row>
    <row r="584" spans="5:5" x14ac:dyDescent="0.3">
      <c r="E584" s="79"/>
    </row>
    <row r="585" spans="5:5" x14ac:dyDescent="0.3">
      <c r="E585" s="79"/>
    </row>
    <row r="586" spans="5:5" x14ac:dyDescent="0.3">
      <c r="E586" s="79"/>
    </row>
    <row r="587" spans="5:5" x14ac:dyDescent="0.3">
      <c r="E587" s="79"/>
    </row>
    <row r="588" spans="5:5" x14ac:dyDescent="0.3">
      <c r="E588" s="79"/>
    </row>
    <row r="589" spans="5:5" x14ac:dyDescent="0.3">
      <c r="E589" s="79"/>
    </row>
    <row r="590" spans="5:5" x14ac:dyDescent="0.3">
      <c r="E590" s="79"/>
    </row>
    <row r="591" spans="5:5" x14ac:dyDescent="0.3">
      <c r="E591" s="79"/>
    </row>
    <row r="592" spans="5:5" x14ac:dyDescent="0.3">
      <c r="E592" s="79"/>
    </row>
    <row r="593" spans="5:5" x14ac:dyDescent="0.3">
      <c r="E593" s="79"/>
    </row>
    <row r="594" spans="5:5" x14ac:dyDescent="0.3">
      <c r="E594" s="79"/>
    </row>
    <row r="595" spans="5:5" x14ac:dyDescent="0.3">
      <c r="E595" s="79"/>
    </row>
    <row r="596" spans="5:5" x14ac:dyDescent="0.3">
      <c r="E596" s="79"/>
    </row>
    <row r="597" spans="5:5" x14ac:dyDescent="0.3">
      <c r="E597" s="79"/>
    </row>
    <row r="598" spans="5:5" x14ac:dyDescent="0.3">
      <c r="E598" s="79"/>
    </row>
    <row r="599" spans="5:5" x14ac:dyDescent="0.3">
      <c r="E599" s="79"/>
    </row>
    <row r="600" spans="5:5" x14ac:dyDescent="0.3">
      <c r="E600" s="79"/>
    </row>
    <row r="601" spans="5:5" x14ac:dyDescent="0.3">
      <c r="E601" s="79"/>
    </row>
    <row r="602" spans="5:5" x14ac:dyDescent="0.3">
      <c r="E602" s="79"/>
    </row>
    <row r="603" spans="5:5" x14ac:dyDescent="0.3">
      <c r="E603" s="79"/>
    </row>
    <row r="604" spans="5:5" x14ac:dyDescent="0.3">
      <c r="E604" s="79"/>
    </row>
    <row r="605" spans="5:5" x14ac:dyDescent="0.3">
      <c r="E605" s="79"/>
    </row>
    <row r="606" spans="5:5" x14ac:dyDescent="0.3">
      <c r="E606" s="79"/>
    </row>
    <row r="607" spans="5:5" x14ac:dyDescent="0.3">
      <c r="E607" s="79"/>
    </row>
    <row r="608" spans="5:5" x14ac:dyDescent="0.3">
      <c r="E608" s="79"/>
    </row>
    <row r="609" spans="5:5" x14ac:dyDescent="0.3">
      <c r="E609" s="79"/>
    </row>
    <row r="610" spans="5:5" x14ac:dyDescent="0.3">
      <c r="E610" s="79"/>
    </row>
    <row r="611" spans="5:5" x14ac:dyDescent="0.3">
      <c r="E611" s="79"/>
    </row>
    <row r="612" spans="5:5" x14ac:dyDescent="0.3">
      <c r="E612" s="79"/>
    </row>
    <row r="613" spans="5:5" x14ac:dyDescent="0.3">
      <c r="E613" s="79"/>
    </row>
    <row r="614" spans="5:5" x14ac:dyDescent="0.3">
      <c r="E614" s="79"/>
    </row>
    <row r="615" spans="5:5" x14ac:dyDescent="0.3">
      <c r="E615" s="79"/>
    </row>
    <row r="616" spans="5:5" x14ac:dyDescent="0.3">
      <c r="E616" s="79"/>
    </row>
    <row r="617" spans="5:5" x14ac:dyDescent="0.3">
      <c r="E617" s="79"/>
    </row>
    <row r="618" spans="5:5" x14ac:dyDescent="0.3">
      <c r="E618" s="79"/>
    </row>
    <row r="619" spans="5:5" x14ac:dyDescent="0.3">
      <c r="E619" s="79"/>
    </row>
    <row r="620" spans="5:5" x14ac:dyDescent="0.3">
      <c r="E620" s="79"/>
    </row>
    <row r="621" spans="5:5" x14ac:dyDescent="0.3">
      <c r="E621" s="79"/>
    </row>
    <row r="622" spans="5:5" x14ac:dyDescent="0.3">
      <c r="E622" s="79"/>
    </row>
    <row r="623" spans="5:5" x14ac:dyDescent="0.3">
      <c r="E623" s="79"/>
    </row>
    <row r="624" spans="5:5" x14ac:dyDescent="0.3">
      <c r="E624" s="79"/>
    </row>
    <row r="625" spans="5:5" x14ac:dyDescent="0.3">
      <c r="E625" s="79"/>
    </row>
    <row r="626" spans="5:5" x14ac:dyDescent="0.3">
      <c r="E626" s="79"/>
    </row>
    <row r="627" spans="5:5" x14ac:dyDescent="0.3">
      <c r="E627" s="79"/>
    </row>
    <row r="628" spans="5:5" x14ac:dyDescent="0.3">
      <c r="E628" s="79"/>
    </row>
    <row r="629" spans="5:5" x14ac:dyDescent="0.3">
      <c r="E629" s="79"/>
    </row>
    <row r="630" spans="5:5" x14ac:dyDescent="0.3">
      <c r="E630" s="79"/>
    </row>
    <row r="631" spans="5:5" x14ac:dyDescent="0.3">
      <c r="E631" s="79"/>
    </row>
    <row r="632" spans="5:5" x14ac:dyDescent="0.3">
      <c r="E632" s="79"/>
    </row>
    <row r="633" spans="5:5" x14ac:dyDescent="0.3">
      <c r="E633" s="79"/>
    </row>
    <row r="634" spans="5:5" x14ac:dyDescent="0.3">
      <c r="E634" s="79"/>
    </row>
    <row r="635" spans="5:5" x14ac:dyDescent="0.3">
      <c r="E635" s="79"/>
    </row>
    <row r="636" spans="5:5" x14ac:dyDescent="0.3">
      <c r="E636" s="79"/>
    </row>
    <row r="637" spans="5:5" x14ac:dyDescent="0.3">
      <c r="E637" s="79"/>
    </row>
    <row r="638" spans="5:5" x14ac:dyDescent="0.3">
      <c r="E638" s="79"/>
    </row>
    <row r="639" spans="5:5" x14ac:dyDescent="0.3">
      <c r="E639" s="79"/>
    </row>
    <row r="640" spans="5:5" x14ac:dyDescent="0.3">
      <c r="E640" s="79"/>
    </row>
    <row r="641" spans="5:5" x14ac:dyDescent="0.3">
      <c r="E641" s="79"/>
    </row>
    <row r="642" spans="5:5" x14ac:dyDescent="0.3">
      <c r="E642" s="79"/>
    </row>
    <row r="643" spans="5:5" x14ac:dyDescent="0.3">
      <c r="E643" s="79"/>
    </row>
    <row r="644" spans="5:5" x14ac:dyDescent="0.3">
      <c r="E644" s="79"/>
    </row>
    <row r="645" spans="5:5" x14ac:dyDescent="0.3">
      <c r="E645" s="79"/>
    </row>
    <row r="646" spans="5:5" x14ac:dyDescent="0.3">
      <c r="E646" s="79"/>
    </row>
    <row r="647" spans="5:5" x14ac:dyDescent="0.3">
      <c r="E647" s="79"/>
    </row>
    <row r="648" spans="5:5" x14ac:dyDescent="0.3">
      <c r="E648" s="79"/>
    </row>
    <row r="649" spans="5:5" x14ac:dyDescent="0.3">
      <c r="E649" s="79"/>
    </row>
    <row r="650" spans="5:5" x14ac:dyDescent="0.3">
      <c r="E650" s="79"/>
    </row>
    <row r="651" spans="5:5" x14ac:dyDescent="0.3">
      <c r="E651" s="79"/>
    </row>
    <row r="652" spans="5:5" x14ac:dyDescent="0.3">
      <c r="E652" s="79"/>
    </row>
    <row r="653" spans="5:5" x14ac:dyDescent="0.3">
      <c r="E653" s="79"/>
    </row>
    <row r="654" spans="5:5" x14ac:dyDescent="0.3">
      <c r="E654" s="79"/>
    </row>
    <row r="655" spans="5:5" x14ac:dyDescent="0.3">
      <c r="E655" s="79"/>
    </row>
    <row r="656" spans="5:5" x14ac:dyDescent="0.3">
      <c r="E656" s="79"/>
    </row>
    <row r="657" spans="5:5" x14ac:dyDescent="0.3">
      <c r="E657" s="79"/>
    </row>
    <row r="658" spans="5:5" x14ac:dyDescent="0.3">
      <c r="E658" s="79"/>
    </row>
    <row r="659" spans="5:5" x14ac:dyDescent="0.3">
      <c r="E659" s="79"/>
    </row>
    <row r="660" spans="5:5" x14ac:dyDescent="0.3">
      <c r="E660" s="79"/>
    </row>
    <row r="661" spans="5:5" x14ac:dyDescent="0.3">
      <c r="E661" s="79"/>
    </row>
    <row r="662" spans="5:5" x14ac:dyDescent="0.3">
      <c r="E662" s="79"/>
    </row>
    <row r="663" spans="5:5" x14ac:dyDescent="0.3">
      <c r="E663" s="79"/>
    </row>
    <row r="664" spans="5:5" x14ac:dyDescent="0.3">
      <c r="E664" s="79"/>
    </row>
    <row r="665" spans="5:5" x14ac:dyDescent="0.3">
      <c r="E665" s="79"/>
    </row>
    <row r="666" spans="5:5" x14ac:dyDescent="0.3">
      <c r="E666" s="79"/>
    </row>
    <row r="667" spans="5:5" x14ac:dyDescent="0.3">
      <c r="E667" s="79"/>
    </row>
    <row r="668" spans="5:5" x14ac:dyDescent="0.3">
      <c r="E668" s="79"/>
    </row>
    <row r="669" spans="5:5" x14ac:dyDescent="0.3">
      <c r="E669" s="79"/>
    </row>
    <row r="670" spans="5:5" x14ac:dyDescent="0.3">
      <c r="E670" s="79"/>
    </row>
    <row r="671" spans="5:5" x14ac:dyDescent="0.3">
      <c r="E671" s="79"/>
    </row>
    <row r="672" spans="5:5" x14ac:dyDescent="0.3">
      <c r="E672" s="79"/>
    </row>
    <row r="673" spans="5:5" x14ac:dyDescent="0.3">
      <c r="E673" s="79"/>
    </row>
    <row r="674" spans="5:5" x14ac:dyDescent="0.3">
      <c r="E674" s="79"/>
    </row>
    <row r="675" spans="5:5" x14ac:dyDescent="0.3">
      <c r="E675" s="79"/>
    </row>
    <row r="676" spans="5:5" x14ac:dyDescent="0.3">
      <c r="E676" s="79"/>
    </row>
    <row r="677" spans="5:5" x14ac:dyDescent="0.3">
      <c r="E677" s="79"/>
    </row>
    <row r="678" spans="5:5" x14ac:dyDescent="0.3">
      <c r="E678" s="79"/>
    </row>
    <row r="679" spans="5:5" x14ac:dyDescent="0.3">
      <c r="E679" s="79"/>
    </row>
    <row r="680" spans="5:5" x14ac:dyDescent="0.3">
      <c r="E680" s="79"/>
    </row>
    <row r="681" spans="5:5" x14ac:dyDescent="0.3">
      <c r="E681" s="79"/>
    </row>
    <row r="682" spans="5:5" x14ac:dyDescent="0.3">
      <c r="E682" s="79"/>
    </row>
    <row r="683" spans="5:5" x14ac:dyDescent="0.3">
      <c r="E683" s="79"/>
    </row>
    <row r="684" spans="5:5" x14ac:dyDescent="0.3">
      <c r="E684" s="79"/>
    </row>
    <row r="685" spans="5:5" x14ac:dyDescent="0.3">
      <c r="E685" s="79"/>
    </row>
    <row r="686" spans="5:5" x14ac:dyDescent="0.3">
      <c r="E686" s="79"/>
    </row>
    <row r="687" spans="5:5" x14ac:dyDescent="0.3">
      <c r="E687" s="79"/>
    </row>
    <row r="688" spans="5:5" x14ac:dyDescent="0.3">
      <c r="E688" s="79"/>
    </row>
    <row r="689" spans="5:5" x14ac:dyDescent="0.3">
      <c r="E689" s="79"/>
    </row>
    <row r="690" spans="5:5" x14ac:dyDescent="0.3">
      <c r="E690" s="79"/>
    </row>
    <row r="691" spans="5:5" x14ac:dyDescent="0.3">
      <c r="E691" s="79"/>
    </row>
    <row r="692" spans="5:5" x14ac:dyDescent="0.3">
      <c r="E692" s="79"/>
    </row>
    <row r="693" spans="5:5" x14ac:dyDescent="0.3">
      <c r="E693" s="79"/>
    </row>
    <row r="694" spans="5:5" x14ac:dyDescent="0.3">
      <c r="E694" s="79"/>
    </row>
    <row r="695" spans="5:5" x14ac:dyDescent="0.3">
      <c r="E695" s="79"/>
    </row>
    <row r="696" spans="5:5" x14ac:dyDescent="0.3">
      <c r="E696" s="79"/>
    </row>
    <row r="697" spans="5:5" x14ac:dyDescent="0.3">
      <c r="E697" s="79"/>
    </row>
    <row r="698" spans="5:5" x14ac:dyDescent="0.3">
      <c r="E698" s="79"/>
    </row>
    <row r="699" spans="5:5" x14ac:dyDescent="0.3">
      <c r="E699" s="79"/>
    </row>
    <row r="700" spans="5:5" x14ac:dyDescent="0.3">
      <c r="E700" s="79"/>
    </row>
    <row r="701" spans="5:5" x14ac:dyDescent="0.3">
      <c r="E701" s="79"/>
    </row>
    <row r="702" spans="5:5" x14ac:dyDescent="0.3">
      <c r="E702" s="79"/>
    </row>
    <row r="703" spans="5:5" x14ac:dyDescent="0.3">
      <c r="E703" s="79"/>
    </row>
    <row r="704" spans="5:5" x14ac:dyDescent="0.3">
      <c r="E704" s="79"/>
    </row>
    <row r="705" spans="5:5" x14ac:dyDescent="0.3">
      <c r="E705" s="79"/>
    </row>
    <row r="706" spans="5:5" x14ac:dyDescent="0.3">
      <c r="E706" s="79"/>
    </row>
    <row r="707" spans="5:5" x14ac:dyDescent="0.3">
      <c r="E707" s="79"/>
    </row>
    <row r="708" spans="5:5" x14ac:dyDescent="0.3">
      <c r="E708" s="79"/>
    </row>
    <row r="709" spans="5:5" x14ac:dyDescent="0.3">
      <c r="E709" s="79"/>
    </row>
    <row r="710" spans="5:5" x14ac:dyDescent="0.3">
      <c r="E710" s="79"/>
    </row>
    <row r="711" spans="5:5" x14ac:dyDescent="0.3">
      <c r="E711" s="79"/>
    </row>
    <row r="712" spans="5:5" x14ac:dyDescent="0.3">
      <c r="E712" s="79"/>
    </row>
    <row r="713" spans="5:5" x14ac:dyDescent="0.3">
      <c r="E713" s="79"/>
    </row>
    <row r="714" spans="5:5" x14ac:dyDescent="0.3">
      <c r="E714" s="79"/>
    </row>
    <row r="715" spans="5:5" x14ac:dyDescent="0.3">
      <c r="E715" s="79"/>
    </row>
    <row r="716" spans="5:5" x14ac:dyDescent="0.3">
      <c r="E716" s="79"/>
    </row>
    <row r="717" spans="5:5" x14ac:dyDescent="0.3">
      <c r="E717" s="79"/>
    </row>
    <row r="718" spans="5:5" x14ac:dyDescent="0.3">
      <c r="E718" s="79"/>
    </row>
    <row r="719" spans="5:5" x14ac:dyDescent="0.3">
      <c r="E719" s="79"/>
    </row>
    <row r="720" spans="5:5" x14ac:dyDescent="0.3">
      <c r="E720" s="79"/>
    </row>
    <row r="721" spans="5:5" x14ac:dyDescent="0.3">
      <c r="E721" s="79"/>
    </row>
    <row r="722" spans="5:5" x14ac:dyDescent="0.3">
      <c r="E722" s="79"/>
    </row>
    <row r="723" spans="5:5" x14ac:dyDescent="0.3">
      <c r="E723" s="79"/>
    </row>
    <row r="724" spans="5:5" x14ac:dyDescent="0.3">
      <c r="E724" s="79"/>
    </row>
    <row r="725" spans="5:5" x14ac:dyDescent="0.3">
      <c r="E725" s="79"/>
    </row>
    <row r="726" spans="5:5" x14ac:dyDescent="0.3">
      <c r="E726" s="79"/>
    </row>
    <row r="727" spans="5:5" x14ac:dyDescent="0.3">
      <c r="E727" s="79"/>
    </row>
    <row r="728" spans="5:5" x14ac:dyDescent="0.3">
      <c r="E728" s="79"/>
    </row>
    <row r="729" spans="5:5" x14ac:dyDescent="0.3">
      <c r="E729" s="79"/>
    </row>
    <row r="730" spans="5:5" x14ac:dyDescent="0.3">
      <c r="E730" s="79"/>
    </row>
    <row r="731" spans="5:5" x14ac:dyDescent="0.3">
      <c r="E731" s="79"/>
    </row>
    <row r="732" spans="5:5" x14ac:dyDescent="0.3">
      <c r="E732" s="79"/>
    </row>
    <row r="733" spans="5:5" x14ac:dyDescent="0.3">
      <c r="E733" s="79"/>
    </row>
    <row r="734" spans="5:5" x14ac:dyDescent="0.3">
      <c r="E734" s="79"/>
    </row>
    <row r="735" spans="5:5" x14ac:dyDescent="0.3">
      <c r="E735" s="79"/>
    </row>
    <row r="736" spans="5:5" x14ac:dyDescent="0.3">
      <c r="E736" s="79"/>
    </row>
    <row r="737" spans="5:5" x14ac:dyDescent="0.3">
      <c r="E737" s="79"/>
    </row>
    <row r="738" spans="5:5" x14ac:dyDescent="0.3">
      <c r="E738" s="79"/>
    </row>
    <row r="739" spans="5:5" x14ac:dyDescent="0.3">
      <c r="E739" s="79"/>
    </row>
    <row r="740" spans="5:5" x14ac:dyDescent="0.3">
      <c r="E740" s="79"/>
    </row>
    <row r="741" spans="5:5" x14ac:dyDescent="0.3">
      <c r="E741" s="79"/>
    </row>
    <row r="742" spans="5:5" x14ac:dyDescent="0.3">
      <c r="E742" s="79"/>
    </row>
    <row r="743" spans="5:5" x14ac:dyDescent="0.3">
      <c r="E743" s="79"/>
    </row>
    <row r="744" spans="5:5" x14ac:dyDescent="0.3">
      <c r="E744" s="79"/>
    </row>
    <row r="745" spans="5:5" x14ac:dyDescent="0.3">
      <c r="E745" s="79"/>
    </row>
    <row r="746" spans="5:5" x14ac:dyDescent="0.3">
      <c r="E746" s="79"/>
    </row>
    <row r="747" spans="5:5" x14ac:dyDescent="0.3">
      <c r="E747" s="79"/>
    </row>
    <row r="748" spans="5:5" x14ac:dyDescent="0.3">
      <c r="E748" s="79"/>
    </row>
    <row r="749" spans="5:5" x14ac:dyDescent="0.3">
      <c r="E749" s="79"/>
    </row>
    <row r="750" spans="5:5" x14ac:dyDescent="0.3">
      <c r="E750" s="79"/>
    </row>
    <row r="751" spans="5:5" x14ac:dyDescent="0.3">
      <c r="E751" s="79"/>
    </row>
    <row r="752" spans="5:5" x14ac:dyDescent="0.3">
      <c r="E752" s="79"/>
    </row>
    <row r="753" spans="5:5" x14ac:dyDescent="0.3">
      <c r="E753" s="79"/>
    </row>
    <row r="754" spans="5:5" x14ac:dyDescent="0.3">
      <c r="E754" s="79"/>
    </row>
    <row r="755" spans="5:5" x14ac:dyDescent="0.3">
      <c r="E755" s="79"/>
    </row>
    <row r="756" spans="5:5" x14ac:dyDescent="0.3">
      <c r="E756" s="79"/>
    </row>
    <row r="757" spans="5:5" x14ac:dyDescent="0.3">
      <c r="E757" s="79"/>
    </row>
    <row r="758" spans="5:5" x14ac:dyDescent="0.3">
      <c r="E758" s="79"/>
    </row>
    <row r="759" spans="5:5" x14ac:dyDescent="0.3">
      <c r="E759" s="79"/>
    </row>
    <row r="760" spans="5:5" x14ac:dyDescent="0.3">
      <c r="E760" s="79"/>
    </row>
    <row r="761" spans="5:5" x14ac:dyDescent="0.3">
      <c r="E761" s="79"/>
    </row>
    <row r="762" spans="5:5" x14ac:dyDescent="0.3">
      <c r="E762" s="79"/>
    </row>
    <row r="763" spans="5:5" x14ac:dyDescent="0.3">
      <c r="E763" s="79"/>
    </row>
    <row r="764" spans="5:5" x14ac:dyDescent="0.3">
      <c r="E764" s="79"/>
    </row>
    <row r="765" spans="5:5" x14ac:dyDescent="0.3">
      <c r="E765" s="79"/>
    </row>
    <row r="766" spans="5:5" x14ac:dyDescent="0.3">
      <c r="E766" s="79"/>
    </row>
    <row r="767" spans="5:5" x14ac:dyDescent="0.3">
      <c r="E767" s="79"/>
    </row>
    <row r="768" spans="5:5" x14ac:dyDescent="0.3">
      <c r="E768" s="79"/>
    </row>
    <row r="769" spans="5:5" x14ac:dyDescent="0.3">
      <c r="E769" s="79"/>
    </row>
    <row r="770" spans="5:5" x14ac:dyDescent="0.3">
      <c r="E770" s="79"/>
    </row>
    <row r="771" spans="5:5" x14ac:dyDescent="0.3">
      <c r="E771" s="79"/>
    </row>
    <row r="772" spans="5:5" x14ac:dyDescent="0.3">
      <c r="E772" s="79"/>
    </row>
    <row r="773" spans="5:5" x14ac:dyDescent="0.3">
      <c r="E773" s="79"/>
    </row>
    <row r="774" spans="5:5" x14ac:dyDescent="0.3">
      <c r="E774" s="79"/>
    </row>
    <row r="775" spans="5:5" x14ac:dyDescent="0.3">
      <c r="E775" s="79"/>
    </row>
    <row r="776" spans="5:5" x14ac:dyDescent="0.3">
      <c r="E776" s="79"/>
    </row>
    <row r="777" spans="5:5" x14ac:dyDescent="0.3">
      <c r="E777" s="79"/>
    </row>
    <row r="778" spans="5:5" x14ac:dyDescent="0.3">
      <c r="E778" s="79"/>
    </row>
    <row r="779" spans="5:5" x14ac:dyDescent="0.3">
      <c r="E779" s="79"/>
    </row>
    <row r="780" spans="5:5" x14ac:dyDescent="0.3">
      <c r="E780" s="79"/>
    </row>
    <row r="781" spans="5:5" x14ac:dyDescent="0.3">
      <c r="E781" s="79"/>
    </row>
    <row r="782" spans="5:5" x14ac:dyDescent="0.3">
      <c r="E782" s="79"/>
    </row>
    <row r="783" spans="5:5" x14ac:dyDescent="0.3">
      <c r="E783" s="79"/>
    </row>
    <row r="784" spans="5:5" x14ac:dyDescent="0.3">
      <c r="E784" s="79"/>
    </row>
    <row r="785" spans="5:5" x14ac:dyDescent="0.3">
      <c r="E785" s="79"/>
    </row>
    <row r="786" spans="5:5" x14ac:dyDescent="0.3">
      <c r="E786" s="79"/>
    </row>
    <row r="787" spans="5:5" x14ac:dyDescent="0.3">
      <c r="E787" s="79"/>
    </row>
    <row r="788" spans="5:5" x14ac:dyDescent="0.3">
      <c r="E788" s="79"/>
    </row>
    <row r="789" spans="5:5" x14ac:dyDescent="0.3">
      <c r="E789" s="79"/>
    </row>
    <row r="790" spans="5:5" x14ac:dyDescent="0.3">
      <c r="E790" s="79"/>
    </row>
    <row r="791" spans="5:5" x14ac:dyDescent="0.3">
      <c r="E791" s="79"/>
    </row>
    <row r="792" spans="5:5" x14ac:dyDescent="0.3">
      <c r="E792" s="79"/>
    </row>
    <row r="793" spans="5:5" x14ac:dyDescent="0.3">
      <c r="E793" s="79"/>
    </row>
    <row r="794" spans="5:5" x14ac:dyDescent="0.3">
      <c r="E794" s="79"/>
    </row>
    <row r="795" spans="5:5" x14ac:dyDescent="0.3">
      <c r="E795" s="79"/>
    </row>
    <row r="796" spans="5:5" x14ac:dyDescent="0.3">
      <c r="E796" s="79"/>
    </row>
    <row r="797" spans="5:5" x14ac:dyDescent="0.3">
      <c r="E797" s="79"/>
    </row>
    <row r="798" spans="5:5" x14ac:dyDescent="0.3">
      <c r="E798" s="79"/>
    </row>
    <row r="799" spans="5:5" x14ac:dyDescent="0.3">
      <c r="E799" s="79"/>
    </row>
    <row r="800" spans="5:5" x14ac:dyDescent="0.3">
      <c r="E800" s="79"/>
    </row>
    <row r="801" spans="5:5" x14ac:dyDescent="0.3">
      <c r="E801" s="79"/>
    </row>
    <row r="802" spans="5:5" x14ac:dyDescent="0.3">
      <c r="E802" s="79"/>
    </row>
    <row r="803" spans="5:5" x14ac:dyDescent="0.3">
      <c r="E803" s="79"/>
    </row>
    <row r="804" spans="5:5" x14ac:dyDescent="0.3">
      <c r="E804" s="79"/>
    </row>
    <row r="805" spans="5:5" x14ac:dyDescent="0.3">
      <c r="E805" s="79"/>
    </row>
    <row r="806" spans="5:5" x14ac:dyDescent="0.3">
      <c r="E806" s="79"/>
    </row>
    <row r="807" spans="5:5" x14ac:dyDescent="0.3">
      <c r="E807" s="79"/>
    </row>
    <row r="808" spans="5:5" x14ac:dyDescent="0.3">
      <c r="E808" s="79"/>
    </row>
    <row r="809" spans="5:5" x14ac:dyDescent="0.3">
      <c r="E809" s="79"/>
    </row>
    <row r="810" spans="5:5" x14ac:dyDescent="0.3">
      <c r="E810" s="79"/>
    </row>
    <row r="811" spans="5:5" x14ac:dyDescent="0.3">
      <c r="E811" s="79"/>
    </row>
    <row r="812" spans="5:5" x14ac:dyDescent="0.3">
      <c r="E812" s="79"/>
    </row>
    <row r="813" spans="5:5" x14ac:dyDescent="0.3">
      <c r="E813" s="79"/>
    </row>
    <row r="814" spans="5:5" x14ac:dyDescent="0.3">
      <c r="E814" s="79"/>
    </row>
    <row r="815" spans="5:5" x14ac:dyDescent="0.3">
      <c r="E815" s="79"/>
    </row>
    <row r="816" spans="5:5" x14ac:dyDescent="0.3">
      <c r="E816" s="79"/>
    </row>
    <row r="817" spans="5:5" x14ac:dyDescent="0.3">
      <c r="E817" s="79"/>
    </row>
    <row r="818" spans="5:5" x14ac:dyDescent="0.3">
      <c r="E818" s="79"/>
    </row>
    <row r="819" spans="5:5" x14ac:dyDescent="0.3">
      <c r="E819" s="79"/>
    </row>
    <row r="820" spans="5:5" x14ac:dyDescent="0.3">
      <c r="E820" s="79"/>
    </row>
    <row r="821" spans="5:5" x14ac:dyDescent="0.3">
      <c r="E821" s="79"/>
    </row>
    <row r="822" spans="5:5" x14ac:dyDescent="0.3">
      <c r="E822" s="79"/>
    </row>
    <row r="823" spans="5:5" x14ac:dyDescent="0.3">
      <c r="E823" s="79"/>
    </row>
    <row r="824" spans="5:5" x14ac:dyDescent="0.3">
      <c r="E824" s="79"/>
    </row>
    <row r="825" spans="5:5" x14ac:dyDescent="0.3">
      <c r="E825" s="79"/>
    </row>
    <row r="826" spans="5:5" x14ac:dyDescent="0.3">
      <c r="E826" s="79"/>
    </row>
    <row r="827" spans="5:5" x14ac:dyDescent="0.3">
      <c r="E827" s="79"/>
    </row>
    <row r="828" spans="5:5" x14ac:dyDescent="0.3">
      <c r="E828" s="79"/>
    </row>
    <row r="829" spans="5:5" x14ac:dyDescent="0.3">
      <c r="E829" s="79"/>
    </row>
    <row r="830" spans="5:5" x14ac:dyDescent="0.3">
      <c r="E830" s="79"/>
    </row>
    <row r="831" spans="5:5" x14ac:dyDescent="0.3">
      <c r="E831" s="79"/>
    </row>
    <row r="832" spans="5:5" x14ac:dyDescent="0.3">
      <c r="E832" s="79"/>
    </row>
    <row r="833" spans="5:5" x14ac:dyDescent="0.3">
      <c r="E833" s="79"/>
    </row>
    <row r="834" spans="5:5" x14ac:dyDescent="0.3">
      <c r="E834" s="79"/>
    </row>
    <row r="835" spans="5:5" x14ac:dyDescent="0.3">
      <c r="E835" s="79"/>
    </row>
    <row r="836" spans="5:5" x14ac:dyDescent="0.3">
      <c r="E836" s="79"/>
    </row>
    <row r="837" spans="5:5" x14ac:dyDescent="0.3">
      <c r="E837" s="79"/>
    </row>
    <row r="838" spans="5:5" x14ac:dyDescent="0.3">
      <c r="E838" s="79"/>
    </row>
    <row r="839" spans="5:5" x14ac:dyDescent="0.3">
      <c r="E839" s="79"/>
    </row>
    <row r="840" spans="5:5" x14ac:dyDescent="0.3">
      <c r="E840" s="79"/>
    </row>
    <row r="841" spans="5:5" x14ac:dyDescent="0.3">
      <c r="E841" s="79"/>
    </row>
    <row r="842" spans="5:5" x14ac:dyDescent="0.3">
      <c r="E842" s="79"/>
    </row>
    <row r="843" spans="5:5" x14ac:dyDescent="0.3">
      <c r="E843" s="79"/>
    </row>
    <row r="844" spans="5:5" x14ac:dyDescent="0.3">
      <c r="E844" s="79"/>
    </row>
    <row r="845" spans="5:5" x14ac:dyDescent="0.3">
      <c r="E845" s="79"/>
    </row>
    <row r="846" spans="5:5" x14ac:dyDescent="0.3">
      <c r="E846" s="79"/>
    </row>
    <row r="847" spans="5:5" x14ac:dyDescent="0.3">
      <c r="E847" s="79"/>
    </row>
    <row r="848" spans="5:5" x14ac:dyDescent="0.3">
      <c r="E848" s="79"/>
    </row>
    <row r="849" spans="5:5" x14ac:dyDescent="0.3">
      <c r="E849" s="79"/>
    </row>
    <row r="850" spans="5:5" x14ac:dyDescent="0.3">
      <c r="E850" s="79"/>
    </row>
    <row r="851" spans="5:5" x14ac:dyDescent="0.3">
      <c r="E851" s="79"/>
    </row>
    <row r="852" spans="5:5" x14ac:dyDescent="0.3">
      <c r="E852" s="79"/>
    </row>
    <row r="853" spans="5:5" x14ac:dyDescent="0.3">
      <c r="E853" s="79"/>
    </row>
    <row r="854" spans="5:5" x14ac:dyDescent="0.3">
      <c r="E854" s="79"/>
    </row>
    <row r="855" spans="5:5" x14ac:dyDescent="0.3">
      <c r="E855" s="79"/>
    </row>
    <row r="856" spans="5:5" x14ac:dyDescent="0.3">
      <c r="E856" s="79"/>
    </row>
    <row r="857" spans="5:5" x14ac:dyDescent="0.3">
      <c r="E857" s="79"/>
    </row>
    <row r="858" spans="5:5" x14ac:dyDescent="0.3">
      <c r="E858" s="79"/>
    </row>
    <row r="859" spans="5:5" x14ac:dyDescent="0.3">
      <c r="E859" s="79"/>
    </row>
    <row r="860" spans="5:5" x14ac:dyDescent="0.3">
      <c r="E860" s="79"/>
    </row>
    <row r="861" spans="5:5" x14ac:dyDescent="0.3">
      <c r="E861" s="79"/>
    </row>
    <row r="862" spans="5:5" x14ac:dyDescent="0.3">
      <c r="E862" s="79"/>
    </row>
    <row r="863" spans="5:5" x14ac:dyDescent="0.3">
      <c r="E863" s="79"/>
    </row>
    <row r="864" spans="5:5" x14ac:dyDescent="0.3">
      <c r="E864" s="79"/>
    </row>
    <row r="865" spans="5:5" x14ac:dyDescent="0.3">
      <c r="E865" s="79"/>
    </row>
    <row r="866" spans="5:5" x14ac:dyDescent="0.3">
      <c r="E866" s="79"/>
    </row>
    <row r="867" spans="5:5" x14ac:dyDescent="0.3">
      <c r="E867" s="79"/>
    </row>
    <row r="868" spans="5:5" x14ac:dyDescent="0.3">
      <c r="E868" s="79"/>
    </row>
    <row r="869" spans="5:5" x14ac:dyDescent="0.3">
      <c r="E869" s="79"/>
    </row>
    <row r="870" spans="5:5" x14ac:dyDescent="0.3">
      <c r="E870" s="79"/>
    </row>
    <row r="871" spans="5:5" x14ac:dyDescent="0.3">
      <c r="E871" s="79"/>
    </row>
    <row r="872" spans="5:5" x14ac:dyDescent="0.3">
      <c r="E872" s="79"/>
    </row>
    <row r="873" spans="5:5" x14ac:dyDescent="0.3">
      <c r="E873" s="79"/>
    </row>
    <row r="874" spans="5:5" x14ac:dyDescent="0.3">
      <c r="E874" s="79"/>
    </row>
    <row r="875" spans="5:5" x14ac:dyDescent="0.3">
      <c r="E875" s="79"/>
    </row>
    <row r="876" spans="5:5" x14ac:dyDescent="0.3">
      <c r="E876" s="79"/>
    </row>
    <row r="877" spans="5:5" x14ac:dyDescent="0.3">
      <c r="E877" s="79"/>
    </row>
    <row r="878" spans="5:5" x14ac:dyDescent="0.3">
      <c r="E878" s="79"/>
    </row>
    <row r="879" spans="5:5" x14ac:dyDescent="0.3">
      <c r="E879" s="79"/>
    </row>
    <row r="880" spans="5:5" x14ac:dyDescent="0.3">
      <c r="E880" s="79"/>
    </row>
    <row r="881" spans="5:5" x14ac:dyDescent="0.3">
      <c r="E881" s="79"/>
    </row>
    <row r="882" spans="5:5" x14ac:dyDescent="0.3">
      <c r="E882" s="79"/>
    </row>
    <row r="883" spans="5:5" x14ac:dyDescent="0.3">
      <c r="E883" s="79"/>
    </row>
    <row r="884" spans="5:5" x14ac:dyDescent="0.3">
      <c r="E884" s="79"/>
    </row>
    <row r="885" spans="5:5" x14ac:dyDescent="0.3">
      <c r="E885" s="79"/>
    </row>
    <row r="886" spans="5:5" x14ac:dyDescent="0.3">
      <c r="E886" s="79"/>
    </row>
    <row r="887" spans="5:5" x14ac:dyDescent="0.3">
      <c r="E887" s="79"/>
    </row>
    <row r="888" spans="5:5" x14ac:dyDescent="0.3">
      <c r="E888" s="79"/>
    </row>
    <row r="889" spans="5:5" x14ac:dyDescent="0.3">
      <c r="E889" s="79"/>
    </row>
    <row r="890" spans="5:5" x14ac:dyDescent="0.3">
      <c r="E890" s="79"/>
    </row>
    <row r="891" spans="5:5" x14ac:dyDescent="0.3">
      <c r="E891" s="79"/>
    </row>
    <row r="892" spans="5:5" x14ac:dyDescent="0.3">
      <c r="E892" s="79"/>
    </row>
    <row r="893" spans="5:5" x14ac:dyDescent="0.3">
      <c r="E893" s="79"/>
    </row>
    <row r="894" spans="5:5" x14ac:dyDescent="0.3">
      <c r="E894" s="79"/>
    </row>
    <row r="895" spans="5:5" x14ac:dyDescent="0.3">
      <c r="E895" s="79"/>
    </row>
    <row r="896" spans="5:5" x14ac:dyDescent="0.3">
      <c r="E896" s="79"/>
    </row>
    <row r="897" spans="5:5" x14ac:dyDescent="0.3">
      <c r="E897" s="79"/>
    </row>
    <row r="898" spans="5:5" x14ac:dyDescent="0.3">
      <c r="E898" s="79"/>
    </row>
    <row r="899" spans="5:5" x14ac:dyDescent="0.3">
      <c r="E899" s="79"/>
    </row>
    <row r="900" spans="5:5" x14ac:dyDescent="0.3">
      <c r="E900" s="79"/>
    </row>
    <row r="901" spans="5:5" x14ac:dyDescent="0.3">
      <c r="E901" s="79"/>
    </row>
    <row r="902" spans="5:5" x14ac:dyDescent="0.3">
      <c r="E902" s="79"/>
    </row>
    <row r="903" spans="5:5" x14ac:dyDescent="0.3">
      <c r="E903" s="79"/>
    </row>
    <row r="904" spans="5:5" x14ac:dyDescent="0.3">
      <c r="E904" s="79"/>
    </row>
    <row r="905" spans="5:5" x14ac:dyDescent="0.3">
      <c r="E905" s="79"/>
    </row>
    <row r="906" spans="5:5" x14ac:dyDescent="0.3">
      <c r="E906" s="79"/>
    </row>
    <row r="907" spans="5:5" x14ac:dyDescent="0.3">
      <c r="E907" s="79"/>
    </row>
    <row r="908" spans="5:5" x14ac:dyDescent="0.3">
      <c r="E908" s="79"/>
    </row>
    <row r="909" spans="5:5" x14ac:dyDescent="0.3">
      <c r="E909" s="79"/>
    </row>
    <row r="910" spans="5:5" x14ac:dyDescent="0.3">
      <c r="E910" s="79"/>
    </row>
    <row r="911" spans="5:5" x14ac:dyDescent="0.3">
      <c r="E911" s="79"/>
    </row>
    <row r="912" spans="5:5" x14ac:dyDescent="0.3">
      <c r="E912" s="79"/>
    </row>
    <row r="913" spans="5:5" x14ac:dyDescent="0.3">
      <c r="E913" s="79"/>
    </row>
    <row r="914" spans="5:5" x14ac:dyDescent="0.3">
      <c r="E914" s="79"/>
    </row>
    <row r="915" spans="5:5" x14ac:dyDescent="0.3">
      <c r="E915" s="79"/>
    </row>
    <row r="916" spans="5:5" x14ac:dyDescent="0.3">
      <c r="E916" s="79"/>
    </row>
    <row r="917" spans="5:5" x14ac:dyDescent="0.3">
      <c r="E917" s="79"/>
    </row>
    <row r="918" spans="5:5" x14ac:dyDescent="0.3">
      <c r="E918" s="79"/>
    </row>
    <row r="919" spans="5:5" x14ac:dyDescent="0.3">
      <c r="E919" s="79"/>
    </row>
    <row r="920" spans="5:5" x14ac:dyDescent="0.3">
      <c r="E920" s="79"/>
    </row>
    <row r="921" spans="5:5" x14ac:dyDescent="0.3">
      <c r="E921" s="79"/>
    </row>
    <row r="922" spans="5:5" x14ac:dyDescent="0.3">
      <c r="E922" s="79"/>
    </row>
    <row r="923" spans="5:5" x14ac:dyDescent="0.3">
      <c r="E923" s="79"/>
    </row>
    <row r="924" spans="5:5" x14ac:dyDescent="0.3">
      <c r="E924" s="79"/>
    </row>
    <row r="925" spans="5:5" x14ac:dyDescent="0.3">
      <c r="E925" s="79"/>
    </row>
    <row r="926" spans="5:5" x14ac:dyDescent="0.3">
      <c r="E926" s="79"/>
    </row>
    <row r="927" spans="5:5" x14ac:dyDescent="0.3">
      <c r="E927" s="79"/>
    </row>
    <row r="928" spans="5:5" x14ac:dyDescent="0.3">
      <c r="E928" s="79"/>
    </row>
    <row r="929" spans="5:5" x14ac:dyDescent="0.3">
      <c r="E929" s="79"/>
    </row>
    <row r="930" spans="5:5" x14ac:dyDescent="0.3">
      <c r="E930" s="79"/>
    </row>
    <row r="931" spans="5:5" x14ac:dyDescent="0.3">
      <c r="E931" s="79"/>
    </row>
    <row r="932" spans="5:5" x14ac:dyDescent="0.3">
      <c r="E932" s="79"/>
    </row>
    <row r="933" spans="5:5" x14ac:dyDescent="0.3">
      <c r="E933" s="79"/>
    </row>
    <row r="934" spans="5:5" x14ac:dyDescent="0.3">
      <c r="E934" s="79"/>
    </row>
    <row r="935" spans="5:5" x14ac:dyDescent="0.3">
      <c r="E935" s="79"/>
    </row>
    <row r="936" spans="5:5" x14ac:dyDescent="0.3">
      <c r="E936" s="79"/>
    </row>
    <row r="937" spans="5:5" x14ac:dyDescent="0.3">
      <c r="E937" s="79"/>
    </row>
    <row r="938" spans="5:5" x14ac:dyDescent="0.3">
      <c r="E938" s="79"/>
    </row>
    <row r="939" spans="5:5" x14ac:dyDescent="0.3">
      <c r="E939" s="79"/>
    </row>
    <row r="940" spans="5:5" x14ac:dyDescent="0.3">
      <c r="E940" s="79"/>
    </row>
    <row r="941" spans="5:5" x14ac:dyDescent="0.3">
      <c r="E941" s="79"/>
    </row>
    <row r="942" spans="5:5" x14ac:dyDescent="0.3">
      <c r="E942" s="79"/>
    </row>
    <row r="943" spans="5:5" x14ac:dyDescent="0.3">
      <c r="E943" s="79"/>
    </row>
    <row r="944" spans="5:5" x14ac:dyDescent="0.3">
      <c r="E944" s="79"/>
    </row>
    <row r="945" spans="5:5" x14ac:dyDescent="0.3">
      <c r="E945" s="79"/>
    </row>
    <row r="946" spans="5:5" x14ac:dyDescent="0.3">
      <c r="E946" s="79"/>
    </row>
    <row r="947" spans="5:5" x14ac:dyDescent="0.3">
      <c r="E947" s="79"/>
    </row>
    <row r="948" spans="5:5" x14ac:dyDescent="0.3">
      <c r="E948" s="79"/>
    </row>
    <row r="949" spans="5:5" x14ac:dyDescent="0.3">
      <c r="E949" s="79"/>
    </row>
    <row r="950" spans="5:5" x14ac:dyDescent="0.3">
      <c r="E950" s="79"/>
    </row>
    <row r="951" spans="5:5" x14ac:dyDescent="0.3">
      <c r="E951" s="79"/>
    </row>
    <row r="952" spans="5:5" x14ac:dyDescent="0.3">
      <c r="E952" s="79"/>
    </row>
    <row r="953" spans="5:5" x14ac:dyDescent="0.3">
      <c r="E953" s="79"/>
    </row>
    <row r="954" spans="5:5" x14ac:dyDescent="0.3">
      <c r="E954" s="79"/>
    </row>
    <row r="955" spans="5:5" x14ac:dyDescent="0.3">
      <c r="E955" s="79"/>
    </row>
    <row r="956" spans="5:5" x14ac:dyDescent="0.3">
      <c r="E956" s="79"/>
    </row>
    <row r="957" spans="5:5" x14ac:dyDescent="0.3">
      <c r="E957" s="79"/>
    </row>
    <row r="958" spans="5:5" x14ac:dyDescent="0.3">
      <c r="E958" s="79"/>
    </row>
    <row r="959" spans="5:5" x14ac:dyDescent="0.3">
      <c r="E959" s="79"/>
    </row>
    <row r="960" spans="5:5" x14ac:dyDescent="0.3">
      <c r="E960" s="79"/>
    </row>
    <row r="961" spans="5:5" x14ac:dyDescent="0.3">
      <c r="E961" s="79"/>
    </row>
    <row r="962" spans="5:5" x14ac:dyDescent="0.3">
      <c r="E962" s="79"/>
    </row>
    <row r="963" spans="5:5" x14ac:dyDescent="0.3">
      <c r="E963" s="79"/>
    </row>
    <row r="964" spans="5:5" x14ac:dyDescent="0.3">
      <c r="E964" s="79"/>
    </row>
    <row r="965" spans="5:5" x14ac:dyDescent="0.3">
      <c r="E965" s="79"/>
    </row>
    <row r="966" spans="5:5" x14ac:dyDescent="0.3">
      <c r="E966" s="79"/>
    </row>
    <row r="967" spans="5:5" x14ac:dyDescent="0.3">
      <c r="E967" s="79"/>
    </row>
    <row r="968" spans="5:5" x14ac:dyDescent="0.3">
      <c r="E968" s="79"/>
    </row>
    <row r="969" spans="5:5" x14ac:dyDescent="0.3">
      <c r="E969" s="79"/>
    </row>
    <row r="970" spans="5:5" x14ac:dyDescent="0.3">
      <c r="E970" s="79"/>
    </row>
    <row r="971" spans="5:5" x14ac:dyDescent="0.3">
      <c r="E971" s="79"/>
    </row>
    <row r="972" spans="5:5" x14ac:dyDescent="0.3">
      <c r="E972" s="79"/>
    </row>
    <row r="973" spans="5:5" x14ac:dyDescent="0.3">
      <c r="E973" s="79"/>
    </row>
    <row r="974" spans="5:5" x14ac:dyDescent="0.3">
      <c r="E974" s="79"/>
    </row>
    <row r="975" spans="5:5" x14ac:dyDescent="0.3">
      <c r="E975" s="79"/>
    </row>
    <row r="976" spans="5:5" x14ac:dyDescent="0.3">
      <c r="E976" s="79"/>
    </row>
    <row r="977" spans="5:5" x14ac:dyDescent="0.3">
      <c r="E977" s="79"/>
    </row>
    <row r="978" spans="5:5" x14ac:dyDescent="0.3">
      <c r="E978" s="79"/>
    </row>
    <row r="979" spans="5:5" x14ac:dyDescent="0.3">
      <c r="E979" s="79"/>
    </row>
    <row r="980" spans="5:5" x14ac:dyDescent="0.3">
      <c r="E980" s="79"/>
    </row>
    <row r="981" spans="5:5" x14ac:dyDescent="0.3">
      <c r="E981" s="79"/>
    </row>
    <row r="982" spans="5:5" x14ac:dyDescent="0.3">
      <c r="E982" s="79"/>
    </row>
    <row r="983" spans="5:5" x14ac:dyDescent="0.3">
      <c r="E983" s="79"/>
    </row>
    <row r="984" spans="5:5" x14ac:dyDescent="0.3">
      <c r="E984" s="79"/>
    </row>
    <row r="985" spans="5:5" x14ac:dyDescent="0.3">
      <c r="E985" s="79"/>
    </row>
    <row r="986" spans="5:5" x14ac:dyDescent="0.3">
      <c r="E986" s="79"/>
    </row>
    <row r="987" spans="5:5" x14ac:dyDescent="0.3">
      <c r="E987" s="79"/>
    </row>
    <row r="988" spans="5:5" x14ac:dyDescent="0.3">
      <c r="E988" s="79"/>
    </row>
    <row r="989" spans="5:5" x14ac:dyDescent="0.3">
      <c r="E989" s="79"/>
    </row>
    <row r="990" spans="5:5" x14ac:dyDescent="0.3">
      <c r="E990" s="79"/>
    </row>
    <row r="991" spans="5:5" x14ac:dyDescent="0.3">
      <c r="E991" s="79"/>
    </row>
    <row r="992" spans="5:5" x14ac:dyDescent="0.3">
      <c r="E992" s="79"/>
    </row>
    <row r="993" spans="5:5" x14ac:dyDescent="0.3">
      <c r="E993" s="79"/>
    </row>
    <row r="994" spans="5:5" x14ac:dyDescent="0.3">
      <c r="E994" s="79"/>
    </row>
    <row r="995" spans="5:5" x14ac:dyDescent="0.3">
      <c r="E995" s="79"/>
    </row>
    <row r="996" spans="5:5" x14ac:dyDescent="0.3">
      <c r="E996" s="79"/>
    </row>
    <row r="997" spans="5:5" x14ac:dyDescent="0.3">
      <c r="E997" s="79"/>
    </row>
    <row r="998" spans="5:5" x14ac:dyDescent="0.3">
      <c r="E998" s="79"/>
    </row>
    <row r="999" spans="5:5" x14ac:dyDescent="0.3">
      <c r="E999" s="79"/>
    </row>
    <row r="1000" spans="5:5" x14ac:dyDescent="0.3">
      <c r="E1000" s="79"/>
    </row>
    <row r="1001" spans="5:5" x14ac:dyDescent="0.3">
      <c r="E1001" s="79"/>
    </row>
    <row r="1002" spans="5:5" x14ac:dyDescent="0.3">
      <c r="E1002" s="79"/>
    </row>
    <row r="1003" spans="5:5" x14ac:dyDescent="0.3">
      <c r="E1003" s="79"/>
    </row>
    <row r="1004" spans="5:5" x14ac:dyDescent="0.3">
      <c r="E1004" s="79"/>
    </row>
    <row r="1005" spans="5:5" x14ac:dyDescent="0.3">
      <c r="E1005" s="79"/>
    </row>
    <row r="1006" spans="5:5" x14ac:dyDescent="0.3">
      <c r="E1006" s="79"/>
    </row>
    <row r="1007" spans="5:5" x14ac:dyDescent="0.3">
      <c r="E1007" s="79"/>
    </row>
    <row r="1008" spans="5:5" x14ac:dyDescent="0.3">
      <c r="E1008" s="79"/>
    </row>
    <row r="1009" spans="5:5" x14ac:dyDescent="0.3">
      <c r="E1009" s="79"/>
    </row>
    <row r="1010" spans="5:5" x14ac:dyDescent="0.3">
      <c r="E1010" s="79"/>
    </row>
    <row r="1011" spans="5:5" x14ac:dyDescent="0.3">
      <c r="E1011" s="79"/>
    </row>
    <row r="1012" spans="5:5" x14ac:dyDescent="0.3">
      <c r="E1012" s="79"/>
    </row>
    <row r="1013" spans="5:5" x14ac:dyDescent="0.3">
      <c r="E1013" s="79"/>
    </row>
    <row r="1014" spans="5:5" x14ac:dyDescent="0.3">
      <c r="E1014" s="79"/>
    </row>
    <row r="1015" spans="5:5" x14ac:dyDescent="0.3">
      <c r="E1015" s="79"/>
    </row>
    <row r="1016" spans="5:5" x14ac:dyDescent="0.3">
      <c r="E1016" s="79"/>
    </row>
    <row r="1017" spans="5:5" x14ac:dyDescent="0.3">
      <c r="E1017" s="79"/>
    </row>
    <row r="1018" spans="5:5" x14ac:dyDescent="0.3">
      <c r="E1018" s="79"/>
    </row>
    <row r="1019" spans="5:5" x14ac:dyDescent="0.3">
      <c r="E1019" s="79"/>
    </row>
    <row r="1020" spans="5:5" x14ac:dyDescent="0.3">
      <c r="E1020" s="79"/>
    </row>
    <row r="1021" spans="5:5" x14ac:dyDescent="0.3">
      <c r="E1021" s="79"/>
    </row>
    <row r="1022" spans="5:5" x14ac:dyDescent="0.3">
      <c r="E1022" s="79"/>
    </row>
    <row r="1023" spans="5:5" x14ac:dyDescent="0.3">
      <c r="E1023" s="79"/>
    </row>
    <row r="1024" spans="5:5" x14ac:dyDescent="0.3">
      <c r="E1024" s="79"/>
    </row>
    <row r="1025" spans="5:5" x14ac:dyDescent="0.3">
      <c r="E1025" s="79"/>
    </row>
    <row r="1026" spans="5:5" x14ac:dyDescent="0.3">
      <c r="E1026" s="79"/>
    </row>
    <row r="1027" spans="5:5" x14ac:dyDescent="0.3">
      <c r="E1027" s="79"/>
    </row>
    <row r="1028" spans="5:5" x14ac:dyDescent="0.3">
      <c r="E1028" s="79"/>
    </row>
    <row r="1029" spans="5:5" x14ac:dyDescent="0.3">
      <c r="E1029" s="79"/>
    </row>
    <row r="1030" spans="5:5" x14ac:dyDescent="0.3">
      <c r="E1030" s="79"/>
    </row>
    <row r="1031" spans="5:5" x14ac:dyDescent="0.3">
      <c r="E1031" s="79"/>
    </row>
    <row r="1032" spans="5:5" x14ac:dyDescent="0.3">
      <c r="E1032" s="79"/>
    </row>
    <row r="1033" spans="5:5" x14ac:dyDescent="0.3">
      <c r="E1033" s="79"/>
    </row>
    <row r="1034" spans="5:5" x14ac:dyDescent="0.3">
      <c r="E1034" s="79"/>
    </row>
    <row r="1035" spans="5:5" x14ac:dyDescent="0.3">
      <c r="E1035" s="79"/>
    </row>
    <row r="1036" spans="5:5" x14ac:dyDescent="0.3">
      <c r="E1036" s="79"/>
    </row>
    <row r="1037" spans="5:5" x14ac:dyDescent="0.3">
      <c r="E1037" s="79"/>
    </row>
    <row r="1038" spans="5:5" x14ac:dyDescent="0.3">
      <c r="E1038" s="79"/>
    </row>
    <row r="1039" spans="5:5" x14ac:dyDescent="0.3">
      <c r="E1039" s="79"/>
    </row>
    <row r="1040" spans="5:5" x14ac:dyDescent="0.3">
      <c r="E1040" s="79"/>
    </row>
    <row r="1041" spans="5:5" x14ac:dyDescent="0.3">
      <c r="E1041" s="79"/>
    </row>
    <row r="1042" spans="5:5" x14ac:dyDescent="0.3">
      <c r="E1042" s="79"/>
    </row>
    <row r="1043" spans="5:5" x14ac:dyDescent="0.3">
      <c r="E1043" s="79"/>
    </row>
    <row r="1044" spans="5:5" x14ac:dyDescent="0.3">
      <c r="E1044" s="79"/>
    </row>
    <row r="1045" spans="5:5" x14ac:dyDescent="0.3">
      <c r="E1045" s="79"/>
    </row>
    <row r="1046" spans="5:5" x14ac:dyDescent="0.3">
      <c r="E1046" s="79"/>
    </row>
    <row r="1047" spans="5:5" x14ac:dyDescent="0.3">
      <c r="E1047" s="79"/>
    </row>
    <row r="1048" spans="5:5" x14ac:dyDescent="0.3">
      <c r="E1048" s="79"/>
    </row>
    <row r="1049" spans="5:5" x14ac:dyDescent="0.3">
      <c r="E1049" s="79"/>
    </row>
    <row r="1050" spans="5:5" x14ac:dyDescent="0.3">
      <c r="E1050" s="79"/>
    </row>
    <row r="1051" spans="5:5" x14ac:dyDescent="0.3">
      <c r="E1051" s="79"/>
    </row>
    <row r="1052" spans="5:5" x14ac:dyDescent="0.3">
      <c r="E1052" s="79"/>
    </row>
    <row r="1053" spans="5:5" x14ac:dyDescent="0.3">
      <c r="E1053" s="79"/>
    </row>
    <row r="1054" spans="5:5" x14ac:dyDescent="0.3">
      <c r="E1054" s="79"/>
    </row>
    <row r="1055" spans="5:5" x14ac:dyDescent="0.3">
      <c r="E1055" s="79"/>
    </row>
    <row r="1056" spans="5:5" x14ac:dyDescent="0.3">
      <c r="E1056" s="79"/>
    </row>
    <row r="1057" spans="5:5" x14ac:dyDescent="0.3">
      <c r="E1057" s="79"/>
    </row>
    <row r="1058" spans="5:5" x14ac:dyDescent="0.3">
      <c r="E1058" s="79"/>
    </row>
    <row r="1059" spans="5:5" x14ac:dyDescent="0.3">
      <c r="E1059" s="79"/>
    </row>
    <row r="1060" spans="5:5" x14ac:dyDescent="0.3">
      <c r="E1060" s="79"/>
    </row>
    <row r="1061" spans="5:5" x14ac:dyDescent="0.3">
      <c r="E1061" s="79"/>
    </row>
    <row r="1062" spans="5:5" x14ac:dyDescent="0.3">
      <c r="E1062" s="79"/>
    </row>
    <row r="1063" spans="5:5" x14ac:dyDescent="0.3">
      <c r="E1063" s="79"/>
    </row>
    <row r="1064" spans="5:5" x14ac:dyDescent="0.3">
      <c r="E1064" s="79"/>
    </row>
    <row r="1065" spans="5:5" x14ac:dyDescent="0.3">
      <c r="E1065" s="79"/>
    </row>
    <row r="1066" spans="5:5" x14ac:dyDescent="0.3">
      <c r="E1066" s="79"/>
    </row>
    <row r="1067" spans="5:5" x14ac:dyDescent="0.3">
      <c r="E1067" s="79"/>
    </row>
    <row r="1068" spans="5:5" x14ac:dyDescent="0.3">
      <c r="E1068" s="79"/>
    </row>
    <row r="1069" spans="5:5" x14ac:dyDescent="0.3">
      <c r="E1069" s="79"/>
    </row>
    <row r="1070" spans="5:5" x14ac:dyDescent="0.3">
      <c r="E1070" s="79"/>
    </row>
    <row r="1071" spans="5:5" x14ac:dyDescent="0.3">
      <c r="E1071" s="79"/>
    </row>
    <row r="1072" spans="5:5" x14ac:dyDescent="0.3">
      <c r="E1072" s="79"/>
    </row>
    <row r="1073" spans="5:5" x14ac:dyDescent="0.3">
      <c r="E1073" s="79"/>
    </row>
    <row r="1074" spans="5:5" x14ac:dyDescent="0.3">
      <c r="E1074" s="79"/>
    </row>
    <row r="1075" spans="5:5" x14ac:dyDescent="0.3">
      <c r="E1075" s="79"/>
    </row>
    <row r="1076" spans="5:5" x14ac:dyDescent="0.3">
      <c r="E1076" s="79"/>
    </row>
    <row r="1077" spans="5:5" x14ac:dyDescent="0.3">
      <c r="E1077" s="79"/>
    </row>
    <row r="1078" spans="5:5" x14ac:dyDescent="0.3">
      <c r="E1078" s="79"/>
    </row>
    <row r="1079" spans="5:5" x14ac:dyDescent="0.3">
      <c r="E1079" s="79"/>
    </row>
    <row r="1080" spans="5:5" x14ac:dyDescent="0.3">
      <c r="E1080" s="79"/>
    </row>
    <row r="1081" spans="5:5" x14ac:dyDescent="0.3">
      <c r="E1081" s="79"/>
    </row>
    <row r="1082" spans="5:5" x14ac:dyDescent="0.3">
      <c r="E1082" s="79"/>
    </row>
    <row r="1083" spans="5:5" x14ac:dyDescent="0.3">
      <c r="E1083" s="79"/>
    </row>
    <row r="1084" spans="5:5" x14ac:dyDescent="0.3">
      <c r="E1084" s="79"/>
    </row>
    <row r="1085" spans="5:5" x14ac:dyDescent="0.3">
      <c r="E1085" s="79"/>
    </row>
    <row r="1086" spans="5:5" x14ac:dyDescent="0.3">
      <c r="E1086" s="79"/>
    </row>
    <row r="1087" spans="5:5" x14ac:dyDescent="0.3">
      <c r="E1087" s="79"/>
    </row>
    <row r="1088" spans="5:5" x14ac:dyDescent="0.3">
      <c r="E1088" s="79"/>
    </row>
    <row r="1089" spans="5:5" x14ac:dyDescent="0.3">
      <c r="E1089" s="79"/>
    </row>
    <row r="1090" spans="5:5" x14ac:dyDescent="0.3">
      <c r="E1090" s="79"/>
    </row>
    <row r="1091" spans="5:5" x14ac:dyDescent="0.3">
      <c r="E1091" s="79"/>
    </row>
    <row r="1092" spans="5:5" x14ac:dyDescent="0.3">
      <c r="E1092" s="79"/>
    </row>
    <row r="1093" spans="5:5" x14ac:dyDescent="0.3">
      <c r="E1093" s="79"/>
    </row>
    <row r="1094" spans="5:5" x14ac:dyDescent="0.3">
      <c r="E1094" s="79"/>
    </row>
    <row r="1095" spans="5:5" x14ac:dyDescent="0.3">
      <c r="E1095" s="79"/>
    </row>
    <row r="1096" spans="5:5" x14ac:dyDescent="0.3">
      <c r="E1096" s="79"/>
    </row>
    <row r="1097" spans="5:5" x14ac:dyDescent="0.3">
      <c r="E1097" s="79"/>
    </row>
    <row r="1098" spans="5:5" x14ac:dyDescent="0.3">
      <c r="E1098" s="79"/>
    </row>
    <row r="1099" spans="5:5" x14ac:dyDescent="0.3">
      <c r="E1099" s="79"/>
    </row>
    <row r="1100" spans="5:5" x14ac:dyDescent="0.3">
      <c r="E1100" s="79"/>
    </row>
    <row r="1101" spans="5:5" x14ac:dyDescent="0.3">
      <c r="E1101" s="79"/>
    </row>
    <row r="1102" spans="5:5" x14ac:dyDescent="0.3">
      <c r="E1102" s="79"/>
    </row>
    <row r="1103" spans="5:5" x14ac:dyDescent="0.3">
      <c r="E1103" s="79"/>
    </row>
    <row r="1104" spans="5:5" x14ac:dyDescent="0.3">
      <c r="E1104" s="79"/>
    </row>
    <row r="1105" spans="5:5" x14ac:dyDescent="0.3">
      <c r="E1105" s="79"/>
    </row>
    <row r="1106" spans="5:5" x14ac:dyDescent="0.3">
      <c r="E1106" s="79"/>
    </row>
    <row r="1107" spans="5:5" x14ac:dyDescent="0.3">
      <c r="E1107" s="79"/>
    </row>
    <row r="1108" spans="5:5" x14ac:dyDescent="0.3">
      <c r="E1108" s="79"/>
    </row>
    <row r="1109" spans="5:5" x14ac:dyDescent="0.3">
      <c r="E1109" s="79"/>
    </row>
    <row r="1110" spans="5:5" x14ac:dyDescent="0.3">
      <c r="E1110" s="79"/>
    </row>
    <row r="1111" spans="5:5" x14ac:dyDescent="0.3">
      <c r="E1111" s="79"/>
    </row>
    <row r="1112" spans="5:5" x14ac:dyDescent="0.3">
      <c r="E1112" s="79"/>
    </row>
    <row r="1113" spans="5:5" x14ac:dyDescent="0.3">
      <c r="E1113" s="79"/>
    </row>
    <row r="1114" spans="5:5" x14ac:dyDescent="0.3">
      <c r="E1114" s="79"/>
    </row>
    <row r="1115" spans="5:5" x14ac:dyDescent="0.3">
      <c r="E1115" s="79"/>
    </row>
    <row r="1116" spans="5:5" x14ac:dyDescent="0.3">
      <c r="E1116" s="79"/>
    </row>
    <row r="1117" spans="5:5" x14ac:dyDescent="0.3">
      <c r="E1117" s="79"/>
    </row>
    <row r="1118" spans="5:5" x14ac:dyDescent="0.3">
      <c r="E1118" s="79"/>
    </row>
    <row r="1119" spans="5:5" x14ac:dyDescent="0.3">
      <c r="E1119" s="79"/>
    </row>
    <row r="1120" spans="5:5" x14ac:dyDescent="0.3">
      <c r="E1120" s="79"/>
    </row>
    <row r="1121" spans="5:5" x14ac:dyDescent="0.3">
      <c r="E1121" s="79"/>
    </row>
    <row r="1122" spans="5:5" x14ac:dyDescent="0.3">
      <c r="E1122" s="79"/>
    </row>
    <row r="1123" spans="5:5" x14ac:dyDescent="0.3">
      <c r="E1123" s="79"/>
    </row>
    <row r="1124" spans="5:5" x14ac:dyDescent="0.3">
      <c r="E1124" s="79"/>
    </row>
    <row r="1125" spans="5:5" x14ac:dyDescent="0.3">
      <c r="E1125" s="79"/>
    </row>
    <row r="1126" spans="5:5" x14ac:dyDescent="0.3">
      <c r="E1126" s="79"/>
    </row>
    <row r="1127" spans="5:5" x14ac:dyDescent="0.3">
      <c r="E1127" s="79"/>
    </row>
    <row r="1128" spans="5:5" x14ac:dyDescent="0.3">
      <c r="E1128" s="79"/>
    </row>
    <row r="1129" spans="5:5" x14ac:dyDescent="0.3">
      <c r="E1129" s="79"/>
    </row>
    <row r="1130" spans="5:5" x14ac:dyDescent="0.3">
      <c r="E1130" s="79"/>
    </row>
    <row r="1131" spans="5:5" x14ac:dyDescent="0.3">
      <c r="E1131" s="79"/>
    </row>
    <row r="1132" spans="5:5" x14ac:dyDescent="0.3">
      <c r="E1132" s="79"/>
    </row>
    <row r="1133" spans="5:5" x14ac:dyDescent="0.3">
      <c r="E1133" s="79"/>
    </row>
    <row r="1134" spans="5:5" x14ac:dyDescent="0.3">
      <c r="E1134" s="79"/>
    </row>
    <row r="1135" spans="5:5" x14ac:dyDescent="0.3">
      <c r="E1135" s="79"/>
    </row>
    <row r="1136" spans="5:5" x14ac:dyDescent="0.3">
      <c r="E1136" s="79"/>
    </row>
    <row r="1137" spans="5:5" x14ac:dyDescent="0.3">
      <c r="E1137" s="79"/>
    </row>
    <row r="1138" spans="5:5" x14ac:dyDescent="0.3">
      <c r="E1138" s="79"/>
    </row>
    <row r="1139" spans="5:5" x14ac:dyDescent="0.3">
      <c r="E1139" s="79"/>
    </row>
    <row r="1140" spans="5:5" x14ac:dyDescent="0.3">
      <c r="E1140" s="79"/>
    </row>
    <row r="1141" spans="5:5" x14ac:dyDescent="0.3">
      <c r="E1141" s="79"/>
    </row>
    <row r="1142" spans="5:5" x14ac:dyDescent="0.3">
      <c r="E1142" s="79"/>
    </row>
    <row r="1143" spans="5:5" x14ac:dyDescent="0.3">
      <c r="E1143" s="79"/>
    </row>
    <row r="1144" spans="5:5" x14ac:dyDescent="0.3">
      <c r="E1144" s="79"/>
    </row>
    <row r="1145" spans="5:5" x14ac:dyDescent="0.3">
      <c r="E1145" s="79"/>
    </row>
    <row r="1146" spans="5:5" x14ac:dyDescent="0.3">
      <c r="E1146" s="79"/>
    </row>
    <row r="1147" spans="5:5" x14ac:dyDescent="0.3">
      <c r="E1147" s="79"/>
    </row>
    <row r="1148" spans="5:5" x14ac:dyDescent="0.3">
      <c r="E1148" s="79"/>
    </row>
    <row r="1149" spans="5:5" x14ac:dyDescent="0.3">
      <c r="E1149" s="79"/>
    </row>
    <row r="1150" spans="5:5" x14ac:dyDescent="0.3">
      <c r="E1150" s="79"/>
    </row>
    <row r="1151" spans="5:5" x14ac:dyDescent="0.3">
      <c r="E1151" s="79"/>
    </row>
    <row r="1152" spans="5:5" x14ac:dyDescent="0.3">
      <c r="E1152" s="79"/>
    </row>
    <row r="1153" spans="5:5" x14ac:dyDescent="0.3">
      <c r="E1153" s="79"/>
    </row>
    <row r="1154" spans="5:5" x14ac:dyDescent="0.3">
      <c r="E1154" s="79"/>
    </row>
    <row r="1155" spans="5:5" x14ac:dyDescent="0.3">
      <c r="E1155" s="79"/>
    </row>
    <row r="1156" spans="5:5" x14ac:dyDescent="0.3">
      <c r="E1156" s="79"/>
    </row>
    <row r="1157" spans="5:5" x14ac:dyDescent="0.3">
      <c r="E1157" s="79"/>
    </row>
    <row r="1158" spans="5:5" x14ac:dyDescent="0.3">
      <c r="E1158" s="79"/>
    </row>
    <row r="1159" spans="5:5" x14ac:dyDescent="0.3">
      <c r="E1159" s="79"/>
    </row>
    <row r="1160" spans="5:5" x14ac:dyDescent="0.3">
      <c r="E1160" s="79"/>
    </row>
    <row r="1161" spans="5:5" x14ac:dyDescent="0.3">
      <c r="E1161" s="79"/>
    </row>
    <row r="1162" spans="5:5" x14ac:dyDescent="0.3">
      <c r="E1162" s="79"/>
    </row>
    <row r="1163" spans="5:5" x14ac:dyDescent="0.3">
      <c r="E1163" s="79"/>
    </row>
    <row r="1164" spans="5:5" x14ac:dyDescent="0.3">
      <c r="E1164" s="79"/>
    </row>
    <row r="1165" spans="5:5" x14ac:dyDescent="0.3">
      <c r="E1165" s="79"/>
    </row>
    <row r="1166" spans="5:5" x14ac:dyDescent="0.3">
      <c r="E1166" s="79"/>
    </row>
    <row r="1167" spans="5:5" x14ac:dyDescent="0.3">
      <c r="E1167" s="79"/>
    </row>
    <row r="1168" spans="5:5" x14ac:dyDescent="0.3">
      <c r="E1168" s="79"/>
    </row>
    <row r="1169" spans="5:5" x14ac:dyDescent="0.3">
      <c r="E1169" s="79"/>
    </row>
    <row r="1170" spans="5:5" x14ac:dyDescent="0.3">
      <c r="E1170" s="79"/>
    </row>
    <row r="1171" spans="5:5" x14ac:dyDescent="0.3">
      <c r="E1171" s="79"/>
    </row>
    <row r="1172" spans="5:5" x14ac:dyDescent="0.3">
      <c r="E1172" s="79"/>
    </row>
    <row r="1173" spans="5:5" x14ac:dyDescent="0.3">
      <c r="E1173" s="79"/>
    </row>
    <row r="1174" spans="5:5" x14ac:dyDescent="0.3">
      <c r="E1174" s="79"/>
    </row>
    <row r="1175" spans="5:5" x14ac:dyDescent="0.3">
      <c r="E1175" s="79"/>
    </row>
    <row r="1176" spans="5:5" x14ac:dyDescent="0.3">
      <c r="E1176" s="79"/>
    </row>
    <row r="1177" spans="5:5" x14ac:dyDescent="0.3">
      <c r="E1177" s="79"/>
    </row>
    <row r="1178" spans="5:5" x14ac:dyDescent="0.3">
      <c r="E1178" s="79"/>
    </row>
    <row r="1179" spans="5:5" x14ac:dyDescent="0.3">
      <c r="E1179" s="79"/>
    </row>
    <row r="1180" spans="5:5" x14ac:dyDescent="0.3">
      <c r="E1180" s="79"/>
    </row>
    <row r="1181" spans="5:5" x14ac:dyDescent="0.3">
      <c r="E1181" s="79"/>
    </row>
    <row r="1182" spans="5:5" x14ac:dyDescent="0.3">
      <c r="E1182" s="79"/>
    </row>
    <row r="1183" spans="5:5" x14ac:dyDescent="0.3">
      <c r="E1183" s="79"/>
    </row>
    <row r="1184" spans="5:5" x14ac:dyDescent="0.3">
      <c r="E1184" s="79"/>
    </row>
    <row r="1185" spans="5:5" x14ac:dyDescent="0.3">
      <c r="E1185" s="79"/>
    </row>
    <row r="1186" spans="5:5" x14ac:dyDescent="0.3">
      <c r="E1186" s="79"/>
    </row>
    <row r="1187" spans="5:5" x14ac:dyDescent="0.3">
      <c r="E1187" s="79"/>
    </row>
    <row r="1188" spans="5:5" x14ac:dyDescent="0.3">
      <c r="E1188" s="79"/>
    </row>
    <row r="1189" spans="5:5" x14ac:dyDescent="0.3">
      <c r="E1189" s="79"/>
    </row>
    <row r="1190" spans="5:5" x14ac:dyDescent="0.3">
      <c r="E1190" s="79"/>
    </row>
    <row r="1191" spans="5:5" x14ac:dyDescent="0.3">
      <c r="E1191" s="79"/>
    </row>
    <row r="1192" spans="5:5" x14ac:dyDescent="0.3">
      <c r="E1192" s="79"/>
    </row>
    <row r="1193" spans="5:5" x14ac:dyDescent="0.3">
      <c r="E1193" s="79"/>
    </row>
    <row r="1194" spans="5:5" x14ac:dyDescent="0.3">
      <c r="E1194" s="79"/>
    </row>
    <row r="1195" spans="5:5" x14ac:dyDescent="0.3">
      <c r="E1195" s="79"/>
    </row>
    <row r="1196" spans="5:5" x14ac:dyDescent="0.3">
      <c r="E1196" s="79"/>
    </row>
    <row r="1197" spans="5:5" x14ac:dyDescent="0.3">
      <c r="E1197" s="79"/>
    </row>
    <row r="1198" spans="5:5" x14ac:dyDescent="0.3">
      <c r="E1198" s="79"/>
    </row>
    <row r="1199" spans="5:5" x14ac:dyDescent="0.3">
      <c r="E1199" s="79"/>
    </row>
    <row r="1200" spans="5:5" x14ac:dyDescent="0.3">
      <c r="E1200" s="79"/>
    </row>
    <row r="1201" spans="5:5" x14ac:dyDescent="0.3">
      <c r="E1201" s="79"/>
    </row>
    <row r="1202" spans="5:5" x14ac:dyDescent="0.3">
      <c r="E1202" s="79"/>
    </row>
    <row r="1203" spans="5:5" x14ac:dyDescent="0.3">
      <c r="E1203" s="79"/>
    </row>
    <row r="1204" spans="5:5" x14ac:dyDescent="0.3">
      <c r="E1204" s="79"/>
    </row>
    <row r="1205" spans="5:5" x14ac:dyDescent="0.3">
      <c r="E1205" s="79"/>
    </row>
    <row r="1206" spans="5:5" x14ac:dyDescent="0.3">
      <c r="E1206" s="79"/>
    </row>
    <row r="1207" spans="5:5" x14ac:dyDescent="0.3">
      <c r="E1207" s="79"/>
    </row>
    <row r="1208" spans="5:5" x14ac:dyDescent="0.3">
      <c r="E1208" s="79"/>
    </row>
    <row r="1209" spans="5:5" x14ac:dyDescent="0.3">
      <c r="E1209" s="79"/>
    </row>
    <row r="1210" spans="5:5" x14ac:dyDescent="0.3">
      <c r="E1210" s="79"/>
    </row>
    <row r="1211" spans="5:5" x14ac:dyDescent="0.3">
      <c r="E1211" s="79"/>
    </row>
    <row r="1212" spans="5:5" x14ac:dyDescent="0.3">
      <c r="E1212" s="79"/>
    </row>
    <row r="1213" spans="5:5" x14ac:dyDescent="0.3">
      <c r="E1213" s="79"/>
    </row>
    <row r="1214" spans="5:5" x14ac:dyDescent="0.3">
      <c r="E1214" s="79"/>
    </row>
    <row r="1215" spans="5:5" x14ac:dyDescent="0.3">
      <c r="E1215" s="79"/>
    </row>
    <row r="1216" spans="5:5" x14ac:dyDescent="0.3">
      <c r="E1216" s="79"/>
    </row>
    <row r="1217" spans="5:5" x14ac:dyDescent="0.3">
      <c r="E1217" s="79"/>
    </row>
    <row r="1218" spans="5:5" x14ac:dyDescent="0.3">
      <c r="E1218" s="79"/>
    </row>
    <row r="1219" spans="5:5" x14ac:dyDescent="0.3">
      <c r="E1219" s="79"/>
    </row>
    <row r="1220" spans="5:5" x14ac:dyDescent="0.3">
      <c r="E1220" s="79"/>
    </row>
    <row r="1221" spans="5:5" x14ac:dyDescent="0.3">
      <c r="E1221" s="79"/>
    </row>
    <row r="1222" spans="5:5" x14ac:dyDescent="0.3">
      <c r="E1222" s="79"/>
    </row>
    <row r="1223" spans="5:5" x14ac:dyDescent="0.3">
      <c r="E1223" s="79"/>
    </row>
    <row r="1224" spans="5:5" x14ac:dyDescent="0.3">
      <c r="E1224" s="79"/>
    </row>
    <row r="1225" spans="5:5" x14ac:dyDescent="0.3">
      <c r="E1225" s="79"/>
    </row>
    <row r="1226" spans="5:5" x14ac:dyDescent="0.3">
      <c r="E1226" s="79"/>
    </row>
    <row r="1227" spans="5:5" x14ac:dyDescent="0.3">
      <c r="E1227" s="79"/>
    </row>
    <row r="1228" spans="5:5" x14ac:dyDescent="0.3">
      <c r="E1228" s="79"/>
    </row>
    <row r="1229" spans="5:5" x14ac:dyDescent="0.3">
      <c r="E1229" s="79"/>
    </row>
    <row r="1230" spans="5:5" x14ac:dyDescent="0.3">
      <c r="E1230" s="79"/>
    </row>
    <row r="1231" spans="5:5" x14ac:dyDescent="0.3">
      <c r="E1231" s="79"/>
    </row>
    <row r="1232" spans="5:5" x14ac:dyDescent="0.3">
      <c r="E1232" s="79"/>
    </row>
    <row r="1233" spans="5:5" x14ac:dyDescent="0.3">
      <c r="E1233" s="79"/>
    </row>
    <row r="1234" spans="5:5" x14ac:dyDescent="0.3">
      <c r="E1234" s="79"/>
    </row>
    <row r="1235" spans="5:5" x14ac:dyDescent="0.3">
      <c r="E1235" s="79"/>
    </row>
    <row r="1236" spans="5:5" x14ac:dyDescent="0.3">
      <c r="E1236" s="79"/>
    </row>
    <row r="1237" spans="5:5" x14ac:dyDescent="0.3">
      <c r="E1237" s="79"/>
    </row>
    <row r="1238" spans="5:5" x14ac:dyDescent="0.3">
      <c r="E1238" s="79"/>
    </row>
    <row r="1239" spans="5:5" x14ac:dyDescent="0.3">
      <c r="E1239" s="79"/>
    </row>
    <row r="1240" spans="5:5" x14ac:dyDescent="0.3">
      <c r="E1240" s="79"/>
    </row>
    <row r="1241" spans="5:5" x14ac:dyDescent="0.3">
      <c r="E1241" s="79"/>
    </row>
    <row r="1242" spans="5:5" x14ac:dyDescent="0.3">
      <c r="E1242" s="79"/>
    </row>
    <row r="1243" spans="5:5" x14ac:dyDescent="0.3">
      <c r="E1243" s="79"/>
    </row>
    <row r="1244" spans="5:5" x14ac:dyDescent="0.3">
      <c r="E1244" s="79"/>
    </row>
    <row r="1245" spans="5:5" x14ac:dyDescent="0.3">
      <c r="E1245" s="79"/>
    </row>
    <row r="1246" spans="5:5" x14ac:dyDescent="0.3">
      <c r="E1246" s="79"/>
    </row>
    <row r="1247" spans="5:5" x14ac:dyDescent="0.3">
      <c r="E1247" s="79"/>
    </row>
    <row r="1248" spans="5:5" x14ac:dyDescent="0.3">
      <c r="E1248" s="79"/>
    </row>
    <row r="1249" spans="5:5" x14ac:dyDescent="0.3">
      <c r="E1249" s="79"/>
    </row>
    <row r="1250" spans="5:5" x14ac:dyDescent="0.3">
      <c r="E1250" s="79"/>
    </row>
    <row r="1251" spans="5:5" x14ac:dyDescent="0.3">
      <c r="E1251" s="79"/>
    </row>
    <row r="1252" spans="5:5" x14ac:dyDescent="0.3">
      <c r="E1252" s="79"/>
    </row>
    <row r="1253" spans="5:5" x14ac:dyDescent="0.3">
      <c r="E1253" s="79"/>
    </row>
    <row r="1254" spans="5:5" x14ac:dyDescent="0.3">
      <c r="E1254" s="79"/>
    </row>
    <row r="1255" spans="5:5" x14ac:dyDescent="0.3">
      <c r="E1255" s="79"/>
    </row>
    <row r="1256" spans="5:5" x14ac:dyDescent="0.3">
      <c r="E1256" s="79"/>
    </row>
    <row r="1257" spans="5:5" x14ac:dyDescent="0.3">
      <c r="E1257" s="79"/>
    </row>
    <row r="1258" spans="5:5" x14ac:dyDescent="0.3">
      <c r="E1258" s="79"/>
    </row>
    <row r="1259" spans="5:5" x14ac:dyDescent="0.3">
      <c r="E1259" s="79"/>
    </row>
    <row r="1260" spans="5:5" x14ac:dyDescent="0.3">
      <c r="E1260" s="79"/>
    </row>
    <row r="1261" spans="5:5" x14ac:dyDescent="0.3">
      <c r="E1261" s="79"/>
    </row>
    <row r="1262" spans="5:5" x14ac:dyDescent="0.3">
      <c r="E1262" s="79"/>
    </row>
    <row r="1263" spans="5:5" x14ac:dyDescent="0.3">
      <c r="E1263" s="79"/>
    </row>
    <row r="1264" spans="5:5" x14ac:dyDescent="0.3">
      <c r="E1264" s="79"/>
    </row>
    <row r="1265" spans="5:5" x14ac:dyDescent="0.3">
      <c r="E1265" s="79"/>
    </row>
    <row r="1266" spans="5:5" x14ac:dyDescent="0.3">
      <c r="E1266" s="79"/>
    </row>
    <row r="1267" spans="5:5" x14ac:dyDescent="0.3">
      <c r="E1267" s="79"/>
    </row>
    <row r="1268" spans="5:5" x14ac:dyDescent="0.3">
      <c r="E1268" s="79"/>
    </row>
    <row r="1269" spans="5:5" x14ac:dyDescent="0.3">
      <c r="E1269" s="79"/>
    </row>
    <row r="1270" spans="5:5" x14ac:dyDescent="0.3">
      <c r="E1270" s="79"/>
    </row>
    <row r="1271" spans="5:5" x14ac:dyDescent="0.3">
      <c r="E1271" s="79"/>
    </row>
    <row r="1272" spans="5:5" x14ac:dyDescent="0.3">
      <c r="E1272" s="79"/>
    </row>
    <row r="1273" spans="5:5" x14ac:dyDescent="0.3">
      <c r="E1273" s="79"/>
    </row>
    <row r="1274" spans="5:5" x14ac:dyDescent="0.3">
      <c r="E1274" s="79"/>
    </row>
    <row r="1275" spans="5:5" x14ac:dyDescent="0.3">
      <c r="E1275" s="79"/>
    </row>
    <row r="1276" spans="5:5" x14ac:dyDescent="0.3">
      <c r="E1276" s="79"/>
    </row>
    <row r="1277" spans="5:5" x14ac:dyDescent="0.3">
      <c r="E1277" s="79"/>
    </row>
    <row r="1278" spans="5:5" x14ac:dyDescent="0.3">
      <c r="E1278" s="79"/>
    </row>
    <row r="1279" spans="5:5" x14ac:dyDescent="0.3">
      <c r="E1279" s="79"/>
    </row>
    <row r="1280" spans="5:5" x14ac:dyDescent="0.3">
      <c r="E1280" s="79"/>
    </row>
    <row r="1281" spans="5:5" x14ac:dyDescent="0.3">
      <c r="E1281" s="79"/>
    </row>
    <row r="1282" spans="5:5" x14ac:dyDescent="0.3">
      <c r="E1282" s="79"/>
    </row>
    <row r="1283" spans="5:5" x14ac:dyDescent="0.3">
      <c r="E1283" s="79"/>
    </row>
    <row r="1284" spans="5:5" x14ac:dyDescent="0.3">
      <c r="E1284" s="79"/>
    </row>
    <row r="1285" spans="5:5" x14ac:dyDescent="0.3">
      <c r="E1285" s="79"/>
    </row>
    <row r="1286" spans="5:5" x14ac:dyDescent="0.3">
      <c r="E1286" s="79"/>
    </row>
    <row r="1287" spans="5:5" x14ac:dyDescent="0.3">
      <c r="E1287" s="79"/>
    </row>
    <row r="1288" spans="5:5" x14ac:dyDescent="0.3">
      <c r="E1288" s="79"/>
    </row>
    <row r="1289" spans="5:5" x14ac:dyDescent="0.3">
      <c r="E1289" s="79"/>
    </row>
    <row r="1290" spans="5:5" x14ac:dyDescent="0.3">
      <c r="E1290" s="79"/>
    </row>
    <row r="1291" spans="5:5" x14ac:dyDescent="0.3">
      <c r="E1291" s="79"/>
    </row>
    <row r="1292" spans="5:5" x14ac:dyDescent="0.3">
      <c r="E1292" s="79"/>
    </row>
    <row r="1293" spans="5:5" x14ac:dyDescent="0.3">
      <c r="E1293" s="79"/>
    </row>
    <row r="1294" spans="5:5" x14ac:dyDescent="0.3">
      <c r="E1294" s="79"/>
    </row>
    <row r="1295" spans="5:5" x14ac:dyDescent="0.3">
      <c r="E1295" s="79"/>
    </row>
    <row r="1296" spans="5:5" x14ac:dyDescent="0.3">
      <c r="E1296" s="79"/>
    </row>
    <row r="1297" spans="5:5" x14ac:dyDescent="0.3">
      <c r="E1297" s="79"/>
    </row>
    <row r="1298" spans="5:5" x14ac:dyDescent="0.3">
      <c r="E1298" s="79"/>
    </row>
    <row r="1299" spans="5:5" x14ac:dyDescent="0.3">
      <c r="E1299" s="79"/>
    </row>
    <row r="1300" spans="5:5" x14ac:dyDescent="0.3">
      <c r="E1300" s="79"/>
    </row>
    <row r="1301" spans="5:5" x14ac:dyDescent="0.3">
      <c r="E1301" s="79"/>
    </row>
    <row r="1302" spans="5:5" x14ac:dyDescent="0.3">
      <c r="E1302" s="79"/>
    </row>
    <row r="1303" spans="5:5" x14ac:dyDescent="0.3">
      <c r="E1303" s="79"/>
    </row>
    <row r="1304" spans="5:5" x14ac:dyDescent="0.3">
      <c r="E1304" s="79"/>
    </row>
    <row r="1305" spans="5:5" x14ac:dyDescent="0.3">
      <c r="E1305" s="79"/>
    </row>
    <row r="1306" spans="5:5" x14ac:dyDescent="0.3">
      <c r="E1306" s="79"/>
    </row>
    <row r="1307" spans="5:5" x14ac:dyDescent="0.3">
      <c r="E1307" s="79"/>
    </row>
    <row r="1308" spans="5:5" x14ac:dyDescent="0.3">
      <c r="E1308" s="79"/>
    </row>
    <row r="1309" spans="5:5" x14ac:dyDescent="0.3">
      <c r="E1309" s="79"/>
    </row>
    <row r="1310" spans="5:5" x14ac:dyDescent="0.3">
      <c r="E1310" s="79"/>
    </row>
    <row r="1311" spans="5:5" x14ac:dyDescent="0.3">
      <c r="E1311" s="79"/>
    </row>
    <row r="1312" spans="5:5" x14ac:dyDescent="0.3">
      <c r="E1312" s="79"/>
    </row>
    <row r="1313" spans="5:5" x14ac:dyDescent="0.3">
      <c r="E1313" s="79"/>
    </row>
    <row r="1314" spans="5:5" x14ac:dyDescent="0.3">
      <c r="E1314" s="79"/>
    </row>
    <row r="1315" spans="5:5" x14ac:dyDescent="0.3">
      <c r="E1315" s="79"/>
    </row>
    <row r="1316" spans="5:5" x14ac:dyDescent="0.3">
      <c r="E1316" s="79"/>
    </row>
    <row r="1317" spans="5:5" x14ac:dyDescent="0.3">
      <c r="E1317" s="79"/>
    </row>
    <row r="1318" spans="5:5" x14ac:dyDescent="0.3">
      <c r="E1318" s="79"/>
    </row>
    <row r="1319" spans="5:5" x14ac:dyDescent="0.3">
      <c r="E1319" s="79"/>
    </row>
    <row r="1320" spans="5:5" x14ac:dyDescent="0.3">
      <c r="E1320" s="79"/>
    </row>
    <row r="1321" spans="5:5" x14ac:dyDescent="0.3">
      <c r="E1321" s="79"/>
    </row>
    <row r="1322" spans="5:5" x14ac:dyDescent="0.3">
      <c r="E1322" s="79"/>
    </row>
    <row r="1323" spans="5:5" x14ac:dyDescent="0.3">
      <c r="E1323" s="79"/>
    </row>
    <row r="1324" spans="5:5" x14ac:dyDescent="0.3">
      <c r="E1324" s="79"/>
    </row>
    <row r="1325" spans="5:5" x14ac:dyDescent="0.3">
      <c r="E1325" s="79"/>
    </row>
    <row r="1326" spans="5:5" x14ac:dyDescent="0.3">
      <c r="E1326" s="79"/>
    </row>
    <row r="1327" spans="5:5" x14ac:dyDescent="0.3">
      <c r="E1327" s="79"/>
    </row>
    <row r="1328" spans="5:5" x14ac:dyDescent="0.3">
      <c r="E1328" s="79"/>
    </row>
    <row r="1329" spans="5:5" x14ac:dyDescent="0.3">
      <c r="E1329" s="79"/>
    </row>
    <row r="1330" spans="5:5" x14ac:dyDescent="0.3">
      <c r="E1330" s="79"/>
    </row>
    <row r="1331" spans="5:5" x14ac:dyDescent="0.3">
      <c r="E1331" s="79"/>
    </row>
    <row r="1332" spans="5:5" x14ac:dyDescent="0.3">
      <c r="E1332" s="79"/>
    </row>
    <row r="1333" spans="5:5" x14ac:dyDescent="0.3">
      <c r="E1333" s="79"/>
    </row>
    <row r="1334" spans="5:5" x14ac:dyDescent="0.3">
      <c r="E1334" s="79"/>
    </row>
    <row r="1335" spans="5:5" x14ac:dyDescent="0.3">
      <c r="E1335" s="79"/>
    </row>
    <row r="1336" spans="5:5" x14ac:dyDescent="0.3">
      <c r="E1336" s="79"/>
    </row>
    <row r="1337" spans="5:5" x14ac:dyDescent="0.3">
      <c r="E1337" s="79"/>
    </row>
    <row r="1338" spans="5:5" x14ac:dyDescent="0.3">
      <c r="E1338" s="79"/>
    </row>
    <row r="1339" spans="5:5" x14ac:dyDescent="0.3">
      <c r="E1339" s="79"/>
    </row>
    <row r="1340" spans="5:5" x14ac:dyDescent="0.3">
      <c r="E1340" s="79"/>
    </row>
    <row r="1341" spans="5:5" x14ac:dyDescent="0.3">
      <c r="E1341" s="79"/>
    </row>
    <row r="1342" spans="5:5" x14ac:dyDescent="0.3">
      <c r="E1342" s="79"/>
    </row>
    <row r="1343" spans="5:5" x14ac:dyDescent="0.3">
      <c r="E1343" s="79"/>
    </row>
    <row r="1344" spans="5:5" x14ac:dyDescent="0.3">
      <c r="E1344" s="79"/>
    </row>
    <row r="1345" spans="5:5" x14ac:dyDescent="0.3">
      <c r="E1345" s="79"/>
    </row>
    <row r="1346" spans="5:5" x14ac:dyDescent="0.3">
      <c r="E1346" s="79"/>
    </row>
    <row r="1347" spans="5:5" x14ac:dyDescent="0.3">
      <c r="E1347" s="79"/>
    </row>
    <row r="1348" spans="5:5" x14ac:dyDescent="0.3">
      <c r="E1348" s="79"/>
    </row>
    <row r="1349" spans="5:5" x14ac:dyDescent="0.3">
      <c r="E1349" s="79"/>
    </row>
    <row r="1350" spans="5:5" x14ac:dyDescent="0.3">
      <c r="E1350" s="79"/>
    </row>
    <row r="1351" spans="5:5" x14ac:dyDescent="0.3">
      <c r="E1351" s="79"/>
    </row>
    <row r="1352" spans="5:5" x14ac:dyDescent="0.3">
      <c r="E1352" s="79"/>
    </row>
    <row r="1353" spans="5:5" x14ac:dyDescent="0.3">
      <c r="E1353" s="79"/>
    </row>
    <row r="1354" spans="5:5" x14ac:dyDescent="0.3">
      <c r="E1354" s="79"/>
    </row>
    <row r="1355" spans="5:5" x14ac:dyDescent="0.3">
      <c r="E1355" s="79"/>
    </row>
    <row r="1356" spans="5:5" x14ac:dyDescent="0.3">
      <c r="E1356" s="79"/>
    </row>
    <row r="1357" spans="5:5" x14ac:dyDescent="0.3">
      <c r="E1357" s="79"/>
    </row>
    <row r="1358" spans="5:5" x14ac:dyDescent="0.3">
      <c r="E1358" s="79"/>
    </row>
    <row r="1359" spans="5:5" x14ac:dyDescent="0.3">
      <c r="E1359" s="79"/>
    </row>
    <row r="1360" spans="5:5" x14ac:dyDescent="0.3">
      <c r="E1360" s="79"/>
    </row>
    <row r="1361" spans="5:5" x14ac:dyDescent="0.3">
      <c r="E1361" s="79"/>
    </row>
    <row r="1362" spans="5:5" x14ac:dyDescent="0.3">
      <c r="E1362" s="79"/>
    </row>
    <row r="1363" spans="5:5" x14ac:dyDescent="0.3">
      <c r="E1363" s="79"/>
    </row>
    <row r="1364" spans="5:5" x14ac:dyDescent="0.3">
      <c r="E1364" s="79"/>
    </row>
    <row r="1365" spans="5:5" x14ac:dyDescent="0.3">
      <c r="E1365" s="79"/>
    </row>
    <row r="1366" spans="5:5" x14ac:dyDescent="0.3">
      <c r="E1366" s="79"/>
    </row>
    <row r="1367" spans="5:5" x14ac:dyDescent="0.3">
      <c r="E1367" s="79"/>
    </row>
    <row r="1368" spans="5:5" x14ac:dyDescent="0.3">
      <c r="E1368" s="79"/>
    </row>
    <row r="1369" spans="5:5" x14ac:dyDescent="0.3">
      <c r="E1369" s="79"/>
    </row>
    <row r="1370" spans="5:5" x14ac:dyDescent="0.3">
      <c r="E1370" s="79"/>
    </row>
    <row r="1371" spans="5:5" x14ac:dyDescent="0.3">
      <c r="E1371" s="79"/>
    </row>
    <row r="1372" spans="5:5" x14ac:dyDescent="0.3">
      <c r="E1372" s="79"/>
    </row>
    <row r="1373" spans="5:5" x14ac:dyDescent="0.3">
      <c r="E1373" s="79"/>
    </row>
    <row r="1374" spans="5:5" x14ac:dyDescent="0.3">
      <c r="E1374" s="79"/>
    </row>
    <row r="1375" spans="5:5" x14ac:dyDescent="0.3">
      <c r="E1375" s="79"/>
    </row>
    <row r="1376" spans="5:5" x14ac:dyDescent="0.3">
      <c r="E1376" s="79"/>
    </row>
    <row r="1377" spans="5:5" x14ac:dyDescent="0.3">
      <c r="E1377" s="79"/>
    </row>
    <row r="1378" spans="5:5" x14ac:dyDescent="0.3">
      <c r="E1378" s="79"/>
    </row>
    <row r="1379" spans="5:5" x14ac:dyDescent="0.3">
      <c r="E1379" s="79"/>
    </row>
    <row r="1380" spans="5:5" x14ac:dyDescent="0.3">
      <c r="E1380" s="79"/>
    </row>
    <row r="1381" spans="5:5" x14ac:dyDescent="0.3">
      <c r="E1381" s="79"/>
    </row>
    <row r="1382" spans="5:5" x14ac:dyDescent="0.3">
      <c r="E1382" s="79"/>
    </row>
    <row r="1383" spans="5:5" x14ac:dyDescent="0.3">
      <c r="E1383" s="79"/>
    </row>
    <row r="1384" spans="5:5" x14ac:dyDescent="0.3">
      <c r="E1384" s="79"/>
    </row>
    <row r="1385" spans="5:5" x14ac:dyDescent="0.3">
      <c r="E1385" s="79"/>
    </row>
    <row r="1386" spans="5:5" x14ac:dyDescent="0.3">
      <c r="E1386" s="79"/>
    </row>
    <row r="1387" spans="5:5" x14ac:dyDescent="0.3">
      <c r="E1387" s="79"/>
    </row>
    <row r="1388" spans="5:5" x14ac:dyDescent="0.3">
      <c r="E1388" s="79"/>
    </row>
    <row r="1389" spans="5:5" x14ac:dyDescent="0.3">
      <c r="E1389" s="79"/>
    </row>
    <row r="1390" spans="5:5" x14ac:dyDescent="0.3">
      <c r="E1390" s="79"/>
    </row>
    <row r="1391" spans="5:5" x14ac:dyDescent="0.3">
      <c r="E1391" s="79"/>
    </row>
    <row r="1392" spans="5:5" x14ac:dyDescent="0.3">
      <c r="E1392" s="79"/>
    </row>
    <row r="1393" spans="5:5" x14ac:dyDescent="0.3">
      <c r="E1393" s="79"/>
    </row>
    <row r="1394" spans="5:5" x14ac:dyDescent="0.3">
      <c r="E1394" s="79"/>
    </row>
    <row r="1395" spans="5:5" x14ac:dyDescent="0.3">
      <c r="E1395" s="79"/>
    </row>
    <row r="1396" spans="5:5" x14ac:dyDescent="0.3">
      <c r="E1396" s="79"/>
    </row>
    <row r="1397" spans="5:5" x14ac:dyDescent="0.3">
      <c r="E1397" s="79"/>
    </row>
    <row r="1398" spans="5:5" x14ac:dyDescent="0.3">
      <c r="E1398" s="79"/>
    </row>
    <row r="1399" spans="5:5" x14ac:dyDescent="0.3">
      <c r="E1399" s="79"/>
    </row>
    <row r="1400" spans="5:5" x14ac:dyDescent="0.3">
      <c r="E1400" s="79"/>
    </row>
    <row r="1401" spans="5:5" x14ac:dyDescent="0.3">
      <c r="E1401" s="79"/>
    </row>
    <row r="1402" spans="5:5" x14ac:dyDescent="0.3">
      <c r="E1402" s="79"/>
    </row>
    <row r="1403" spans="5:5" x14ac:dyDescent="0.3">
      <c r="E1403" s="79"/>
    </row>
    <row r="1404" spans="5:5" x14ac:dyDescent="0.3">
      <c r="E1404" s="79"/>
    </row>
    <row r="1405" spans="5:5" x14ac:dyDescent="0.3">
      <c r="E1405" s="79"/>
    </row>
    <row r="1406" spans="5:5" x14ac:dyDescent="0.3">
      <c r="E1406" s="79"/>
    </row>
    <row r="1407" spans="5:5" x14ac:dyDescent="0.3">
      <c r="E1407" s="79"/>
    </row>
    <row r="1408" spans="5:5" x14ac:dyDescent="0.3">
      <c r="E1408" s="79"/>
    </row>
    <row r="1409" spans="5:5" x14ac:dyDescent="0.3">
      <c r="E1409" s="79"/>
    </row>
    <row r="1410" spans="5:5" x14ac:dyDescent="0.3">
      <c r="E1410" s="79"/>
    </row>
    <row r="1411" spans="5:5" x14ac:dyDescent="0.3">
      <c r="E1411" s="79"/>
    </row>
    <row r="1412" spans="5:5" x14ac:dyDescent="0.3">
      <c r="E1412" s="79"/>
    </row>
    <row r="1413" spans="5:5" x14ac:dyDescent="0.3">
      <c r="E1413" s="79"/>
    </row>
    <row r="1414" spans="5:5" x14ac:dyDescent="0.3">
      <c r="E1414" s="79"/>
    </row>
    <row r="1415" spans="5:5" x14ac:dyDescent="0.3">
      <c r="E1415" s="79"/>
    </row>
    <row r="1416" spans="5:5" x14ac:dyDescent="0.3">
      <c r="E1416" s="79"/>
    </row>
    <row r="1417" spans="5:5" x14ac:dyDescent="0.3">
      <c r="E1417" s="79"/>
    </row>
    <row r="1418" spans="5:5" x14ac:dyDescent="0.3">
      <c r="E1418" s="79"/>
    </row>
    <row r="1419" spans="5:5" x14ac:dyDescent="0.3">
      <c r="E1419" s="79"/>
    </row>
    <row r="1420" spans="5:5" x14ac:dyDescent="0.3">
      <c r="E1420" s="79"/>
    </row>
    <row r="1421" spans="5:5" x14ac:dyDescent="0.3">
      <c r="E1421" s="79"/>
    </row>
    <row r="1422" spans="5:5" x14ac:dyDescent="0.3">
      <c r="E1422" s="79"/>
    </row>
    <row r="1423" spans="5:5" x14ac:dyDescent="0.3">
      <c r="E1423" s="79"/>
    </row>
    <row r="1424" spans="5:5" x14ac:dyDescent="0.3">
      <c r="E1424" s="79"/>
    </row>
    <row r="1425" spans="5:5" x14ac:dyDescent="0.3">
      <c r="E1425" s="79"/>
    </row>
    <row r="1426" spans="5:5" x14ac:dyDescent="0.3">
      <c r="E1426" s="79"/>
    </row>
    <row r="1427" spans="5:5" x14ac:dyDescent="0.3">
      <c r="E1427" s="79"/>
    </row>
    <row r="1428" spans="5:5" x14ac:dyDescent="0.3">
      <c r="E1428" s="79"/>
    </row>
    <row r="1429" spans="5:5" x14ac:dyDescent="0.3">
      <c r="E1429" s="79"/>
    </row>
    <row r="1430" spans="5:5" x14ac:dyDescent="0.3">
      <c r="E1430" s="79"/>
    </row>
    <row r="1431" spans="5:5" x14ac:dyDescent="0.3">
      <c r="E1431" s="79"/>
    </row>
    <row r="1432" spans="5:5" x14ac:dyDescent="0.3">
      <c r="E1432" s="79"/>
    </row>
    <row r="1433" spans="5:5" x14ac:dyDescent="0.3">
      <c r="E1433" s="79"/>
    </row>
    <row r="1434" spans="5:5" x14ac:dyDescent="0.3">
      <c r="E1434" s="79"/>
    </row>
    <row r="1435" spans="5:5" x14ac:dyDescent="0.3">
      <c r="E1435" s="79"/>
    </row>
    <row r="1436" spans="5:5" x14ac:dyDescent="0.3">
      <c r="E1436" s="79"/>
    </row>
    <row r="1437" spans="5:5" x14ac:dyDescent="0.3">
      <c r="E1437" s="79"/>
    </row>
    <row r="1438" spans="5:5" x14ac:dyDescent="0.3">
      <c r="E1438" s="79"/>
    </row>
    <row r="1439" spans="5:5" x14ac:dyDescent="0.3">
      <c r="E1439" s="79"/>
    </row>
    <row r="1440" spans="5:5" x14ac:dyDescent="0.3">
      <c r="E1440" s="79"/>
    </row>
    <row r="1441" spans="5:5" x14ac:dyDescent="0.3">
      <c r="E1441" s="79"/>
    </row>
    <row r="1442" spans="5:5" x14ac:dyDescent="0.3">
      <c r="E1442" s="79"/>
    </row>
    <row r="1443" spans="5:5" x14ac:dyDescent="0.3">
      <c r="E1443" s="79"/>
    </row>
    <row r="1444" spans="5:5" x14ac:dyDescent="0.3">
      <c r="E1444" s="79"/>
    </row>
    <row r="1445" spans="5:5" x14ac:dyDescent="0.3">
      <c r="E1445" s="79"/>
    </row>
    <row r="1446" spans="5:5" x14ac:dyDescent="0.3">
      <c r="E1446" s="79"/>
    </row>
    <row r="1447" spans="5:5" x14ac:dyDescent="0.3">
      <c r="E1447" s="79"/>
    </row>
    <row r="1448" spans="5:5" x14ac:dyDescent="0.3">
      <c r="E1448" s="79"/>
    </row>
    <row r="1449" spans="5:5" x14ac:dyDescent="0.3">
      <c r="E1449" s="79"/>
    </row>
    <row r="1450" spans="5:5" x14ac:dyDescent="0.3">
      <c r="E1450" s="79"/>
    </row>
    <row r="1451" spans="5:5" x14ac:dyDescent="0.3">
      <c r="E1451" s="79"/>
    </row>
    <row r="1452" spans="5:5" x14ac:dyDescent="0.3">
      <c r="E1452" s="79"/>
    </row>
    <row r="1453" spans="5:5" x14ac:dyDescent="0.3">
      <c r="E1453" s="79"/>
    </row>
    <row r="1454" spans="5:5" x14ac:dyDescent="0.3">
      <c r="E1454" s="79"/>
    </row>
    <row r="1455" spans="5:5" x14ac:dyDescent="0.3">
      <c r="E1455" s="79"/>
    </row>
    <row r="1456" spans="5:5" x14ac:dyDescent="0.3">
      <c r="E1456" s="79"/>
    </row>
    <row r="1457" spans="5:5" x14ac:dyDescent="0.3">
      <c r="E1457" s="79"/>
    </row>
    <row r="1458" spans="5:5" x14ac:dyDescent="0.3">
      <c r="E1458" s="79"/>
    </row>
    <row r="1459" spans="5:5" x14ac:dyDescent="0.3">
      <c r="E1459" s="79"/>
    </row>
    <row r="1460" spans="5:5" x14ac:dyDescent="0.3">
      <c r="E1460" s="79"/>
    </row>
    <row r="1461" spans="5:5" x14ac:dyDescent="0.3">
      <c r="E1461" s="79"/>
    </row>
    <row r="1462" spans="5:5" x14ac:dyDescent="0.3">
      <c r="E1462" s="79"/>
    </row>
    <row r="1463" spans="5:5" x14ac:dyDescent="0.3">
      <c r="E1463" s="79"/>
    </row>
    <row r="1464" spans="5:5" x14ac:dyDescent="0.3">
      <c r="E1464" s="79"/>
    </row>
    <row r="1465" spans="5:5" x14ac:dyDescent="0.3">
      <c r="E1465" s="79"/>
    </row>
    <row r="1466" spans="5:5" x14ac:dyDescent="0.3">
      <c r="E1466" s="79"/>
    </row>
    <row r="1467" spans="5:5" x14ac:dyDescent="0.3">
      <c r="E1467" s="79"/>
    </row>
    <row r="1468" spans="5:5" x14ac:dyDescent="0.3">
      <c r="E1468" s="79"/>
    </row>
    <row r="1469" spans="5:5" x14ac:dyDescent="0.3">
      <c r="E1469" s="79"/>
    </row>
    <row r="1470" spans="5:5" x14ac:dyDescent="0.3">
      <c r="E1470" s="79"/>
    </row>
    <row r="1471" spans="5:5" x14ac:dyDescent="0.3">
      <c r="E1471" s="79"/>
    </row>
    <row r="1472" spans="5:5" x14ac:dyDescent="0.3">
      <c r="E1472" s="79"/>
    </row>
    <row r="1473" spans="5:5" x14ac:dyDescent="0.3">
      <c r="E1473" s="79"/>
    </row>
    <row r="1474" spans="5:5" x14ac:dyDescent="0.3">
      <c r="E1474" s="79"/>
    </row>
    <row r="1475" spans="5:5" x14ac:dyDescent="0.3">
      <c r="E1475" s="79"/>
    </row>
    <row r="1476" spans="5:5" x14ac:dyDescent="0.3">
      <c r="E1476" s="79"/>
    </row>
    <row r="1477" spans="5:5" x14ac:dyDescent="0.3">
      <c r="E1477" s="79"/>
    </row>
    <row r="1478" spans="5:5" x14ac:dyDescent="0.3">
      <c r="E1478" s="79"/>
    </row>
    <row r="1479" spans="5:5" x14ac:dyDescent="0.3">
      <c r="E1479" s="79"/>
    </row>
    <row r="1480" spans="5:5" x14ac:dyDescent="0.3">
      <c r="E1480" s="79"/>
    </row>
    <row r="1481" spans="5:5" x14ac:dyDescent="0.3">
      <c r="E1481" s="79"/>
    </row>
    <row r="1482" spans="5:5" x14ac:dyDescent="0.3">
      <c r="E1482" s="79"/>
    </row>
    <row r="1483" spans="5:5" x14ac:dyDescent="0.3">
      <c r="E1483" s="79"/>
    </row>
    <row r="1484" spans="5:5" x14ac:dyDescent="0.3">
      <c r="E1484" s="79"/>
    </row>
    <row r="1485" spans="5:5" x14ac:dyDescent="0.3">
      <c r="E1485" s="79"/>
    </row>
    <row r="1486" spans="5:5" x14ac:dyDescent="0.3">
      <c r="E1486" s="79"/>
    </row>
    <row r="1487" spans="5:5" x14ac:dyDescent="0.3">
      <c r="E1487" s="79"/>
    </row>
    <row r="1488" spans="5:5" x14ac:dyDescent="0.3">
      <c r="E1488" s="79"/>
    </row>
    <row r="1489" spans="5:5" x14ac:dyDescent="0.3">
      <c r="E1489" s="79"/>
    </row>
    <row r="1490" spans="5:5" x14ac:dyDescent="0.3">
      <c r="E1490" s="79"/>
    </row>
    <row r="1491" spans="5:5" x14ac:dyDescent="0.3">
      <c r="E1491" s="79"/>
    </row>
    <row r="1492" spans="5:5" x14ac:dyDescent="0.3">
      <c r="E1492" s="79"/>
    </row>
    <row r="1493" spans="5:5" x14ac:dyDescent="0.3">
      <c r="E1493" s="79"/>
    </row>
    <row r="1494" spans="5:5" x14ac:dyDescent="0.3">
      <c r="E1494" s="79"/>
    </row>
    <row r="1495" spans="5:5" x14ac:dyDescent="0.3">
      <c r="E1495" s="79"/>
    </row>
    <row r="1496" spans="5:5" x14ac:dyDescent="0.3">
      <c r="E1496" s="79"/>
    </row>
    <row r="1497" spans="5:5" x14ac:dyDescent="0.3">
      <c r="E1497" s="79"/>
    </row>
    <row r="1498" spans="5:5" x14ac:dyDescent="0.3">
      <c r="E1498" s="79"/>
    </row>
    <row r="1499" spans="5:5" x14ac:dyDescent="0.3">
      <c r="E1499" s="79"/>
    </row>
    <row r="1500" spans="5:5" x14ac:dyDescent="0.3">
      <c r="E1500" s="79"/>
    </row>
    <row r="1501" spans="5:5" x14ac:dyDescent="0.3">
      <c r="E1501" s="79"/>
    </row>
    <row r="1502" spans="5:5" x14ac:dyDescent="0.3">
      <c r="E1502" s="79"/>
    </row>
    <row r="1503" spans="5:5" x14ac:dyDescent="0.3">
      <c r="E1503" s="79"/>
    </row>
    <row r="1504" spans="5:5" x14ac:dyDescent="0.3">
      <c r="E1504" s="79"/>
    </row>
    <row r="1505" spans="5:5" x14ac:dyDescent="0.3">
      <c r="E1505" s="79"/>
    </row>
    <row r="1506" spans="5:5" x14ac:dyDescent="0.3">
      <c r="E1506" s="79"/>
    </row>
    <row r="1507" spans="5:5" x14ac:dyDescent="0.3">
      <c r="E1507" s="79"/>
    </row>
    <row r="1508" spans="5:5" x14ac:dyDescent="0.3">
      <c r="E1508" s="79"/>
    </row>
    <row r="1509" spans="5:5" x14ac:dyDescent="0.3">
      <c r="E1509" s="79"/>
    </row>
    <row r="1510" spans="5:5" x14ac:dyDescent="0.3">
      <c r="E1510" s="79"/>
    </row>
    <row r="1511" spans="5:5" x14ac:dyDescent="0.3">
      <c r="E1511" s="79"/>
    </row>
    <row r="1512" spans="5:5" x14ac:dyDescent="0.3">
      <c r="E1512" s="79"/>
    </row>
    <row r="1513" spans="5:5" x14ac:dyDescent="0.3">
      <c r="E1513" s="79"/>
    </row>
    <row r="1514" spans="5:5" x14ac:dyDescent="0.3">
      <c r="E1514" s="79"/>
    </row>
    <row r="1515" spans="5:5" x14ac:dyDescent="0.3">
      <c r="E1515" s="79"/>
    </row>
    <row r="1516" spans="5:5" x14ac:dyDescent="0.3">
      <c r="E1516" s="79"/>
    </row>
    <row r="1517" spans="5:5" x14ac:dyDescent="0.3">
      <c r="E1517" s="79"/>
    </row>
    <row r="1518" spans="5:5" x14ac:dyDescent="0.3">
      <c r="E1518" s="79"/>
    </row>
    <row r="1519" spans="5:5" x14ac:dyDescent="0.3">
      <c r="E1519" s="79"/>
    </row>
    <row r="1520" spans="5:5" x14ac:dyDescent="0.3">
      <c r="E1520" s="79"/>
    </row>
    <row r="1521" spans="5:5" x14ac:dyDescent="0.3">
      <c r="E1521" s="79"/>
    </row>
    <row r="1522" spans="5:5" x14ac:dyDescent="0.3">
      <c r="E1522" s="79"/>
    </row>
    <row r="1523" spans="5:5" x14ac:dyDescent="0.3">
      <c r="E1523" s="79"/>
    </row>
    <row r="1524" spans="5:5" x14ac:dyDescent="0.3">
      <c r="E1524" s="79"/>
    </row>
    <row r="1525" spans="5:5" x14ac:dyDescent="0.3">
      <c r="E1525" s="79"/>
    </row>
    <row r="1526" spans="5:5" x14ac:dyDescent="0.3">
      <c r="E1526" s="79"/>
    </row>
    <row r="1527" spans="5:5" x14ac:dyDescent="0.3">
      <c r="E1527" s="79"/>
    </row>
    <row r="1528" spans="5:5" x14ac:dyDescent="0.3">
      <c r="E1528" s="79"/>
    </row>
    <row r="1529" spans="5:5" x14ac:dyDescent="0.3">
      <c r="E1529" s="79"/>
    </row>
    <row r="1530" spans="5:5" x14ac:dyDescent="0.3">
      <c r="E1530" s="79"/>
    </row>
    <row r="1531" spans="5:5" x14ac:dyDescent="0.3">
      <c r="E1531" s="79"/>
    </row>
    <row r="1532" spans="5:5" x14ac:dyDescent="0.3">
      <c r="E1532" s="79"/>
    </row>
    <row r="1533" spans="5:5" x14ac:dyDescent="0.3">
      <c r="E1533" s="79"/>
    </row>
    <row r="1534" spans="5:5" x14ac:dyDescent="0.3">
      <c r="E1534" s="79"/>
    </row>
    <row r="1535" spans="5:5" x14ac:dyDescent="0.3">
      <c r="E1535" s="79"/>
    </row>
    <row r="1536" spans="5:5" x14ac:dyDescent="0.3">
      <c r="E1536" s="79"/>
    </row>
    <row r="1537" spans="5:5" x14ac:dyDescent="0.3">
      <c r="E1537" s="79"/>
    </row>
    <row r="1538" spans="5:5" x14ac:dyDescent="0.3">
      <c r="E1538" s="79"/>
    </row>
    <row r="1539" spans="5:5" x14ac:dyDescent="0.3">
      <c r="E1539" s="79"/>
    </row>
    <row r="1540" spans="5:5" x14ac:dyDescent="0.3">
      <c r="E1540" s="79"/>
    </row>
    <row r="1541" spans="5:5" x14ac:dyDescent="0.3">
      <c r="E1541" s="79"/>
    </row>
    <row r="1542" spans="5:5" x14ac:dyDescent="0.3">
      <c r="E1542" s="79"/>
    </row>
    <row r="1543" spans="5:5" x14ac:dyDescent="0.3">
      <c r="E1543" s="79"/>
    </row>
    <row r="1544" spans="5:5" x14ac:dyDescent="0.3">
      <c r="E1544" s="79"/>
    </row>
    <row r="1545" spans="5:5" x14ac:dyDescent="0.3">
      <c r="E1545" s="79"/>
    </row>
    <row r="1546" spans="5:5" x14ac:dyDescent="0.3">
      <c r="E1546" s="79"/>
    </row>
    <row r="1547" spans="5:5" x14ac:dyDescent="0.3">
      <c r="E1547" s="79"/>
    </row>
    <row r="1548" spans="5:5" x14ac:dyDescent="0.3">
      <c r="E1548" s="79"/>
    </row>
    <row r="1549" spans="5:5" x14ac:dyDescent="0.3">
      <c r="E1549" s="79"/>
    </row>
    <row r="1550" spans="5:5" x14ac:dyDescent="0.3">
      <c r="E1550" s="79"/>
    </row>
    <row r="1551" spans="5:5" x14ac:dyDescent="0.3">
      <c r="E1551" s="79"/>
    </row>
    <row r="1552" spans="5:5" x14ac:dyDescent="0.3">
      <c r="E1552" s="79"/>
    </row>
    <row r="1553" spans="5:5" x14ac:dyDescent="0.3">
      <c r="E1553" s="79"/>
    </row>
    <row r="1554" spans="5:5" x14ac:dyDescent="0.3">
      <c r="E1554" s="79"/>
    </row>
    <row r="1555" spans="5:5" x14ac:dyDescent="0.3">
      <c r="E1555" s="79"/>
    </row>
    <row r="1556" spans="5:5" x14ac:dyDescent="0.3">
      <c r="E1556" s="79"/>
    </row>
    <row r="1557" spans="5:5" x14ac:dyDescent="0.3">
      <c r="E1557" s="79"/>
    </row>
    <row r="1558" spans="5:5" x14ac:dyDescent="0.3">
      <c r="E1558" s="79"/>
    </row>
    <row r="1559" spans="5:5" x14ac:dyDescent="0.3">
      <c r="E1559" s="79"/>
    </row>
    <row r="1560" spans="5:5" x14ac:dyDescent="0.3">
      <c r="E1560" s="79"/>
    </row>
    <row r="1561" spans="5:5" x14ac:dyDescent="0.3">
      <c r="E1561" s="79"/>
    </row>
    <row r="1562" spans="5:5" x14ac:dyDescent="0.3">
      <c r="E1562" s="79"/>
    </row>
    <row r="1563" spans="5:5" x14ac:dyDescent="0.3">
      <c r="E1563" s="79"/>
    </row>
    <row r="1564" spans="5:5" x14ac:dyDescent="0.3">
      <c r="E1564" s="79"/>
    </row>
    <row r="1565" spans="5:5" x14ac:dyDescent="0.3">
      <c r="E1565" s="79"/>
    </row>
    <row r="1566" spans="5:5" x14ac:dyDescent="0.3">
      <c r="E1566" s="79"/>
    </row>
    <row r="1567" spans="5:5" x14ac:dyDescent="0.3">
      <c r="E1567" s="79"/>
    </row>
    <row r="1568" spans="5:5" x14ac:dyDescent="0.3">
      <c r="E1568" s="79"/>
    </row>
    <row r="1569" spans="5:5" x14ac:dyDescent="0.3">
      <c r="E1569" s="79"/>
    </row>
    <row r="1570" spans="5:5" x14ac:dyDescent="0.3">
      <c r="E1570" s="79"/>
    </row>
    <row r="1571" spans="5:5" x14ac:dyDescent="0.3">
      <c r="E1571" s="79"/>
    </row>
    <row r="1572" spans="5:5" x14ac:dyDescent="0.3">
      <c r="E1572" s="79"/>
    </row>
    <row r="1573" spans="5:5" x14ac:dyDescent="0.3">
      <c r="E1573" s="79"/>
    </row>
    <row r="1574" spans="5:5" x14ac:dyDescent="0.3">
      <c r="E1574" s="79"/>
    </row>
    <row r="1575" spans="5:5" x14ac:dyDescent="0.3">
      <c r="E1575" s="79"/>
    </row>
    <row r="1576" spans="5:5" x14ac:dyDescent="0.3">
      <c r="E1576" s="79"/>
    </row>
    <row r="1577" spans="5:5" x14ac:dyDescent="0.3">
      <c r="E1577" s="79"/>
    </row>
    <row r="1578" spans="5:5" x14ac:dyDescent="0.3">
      <c r="E1578" s="79"/>
    </row>
    <row r="1579" spans="5:5" x14ac:dyDescent="0.3">
      <c r="E1579" s="79"/>
    </row>
    <row r="1580" spans="5:5" x14ac:dyDescent="0.3">
      <c r="E1580" s="79"/>
    </row>
    <row r="1581" spans="5:5" x14ac:dyDescent="0.3">
      <c r="E1581" s="79"/>
    </row>
    <row r="1582" spans="5:5" x14ac:dyDescent="0.3">
      <c r="E1582" s="79"/>
    </row>
    <row r="1583" spans="5:5" x14ac:dyDescent="0.3">
      <c r="E1583" s="79"/>
    </row>
    <row r="1584" spans="5:5" x14ac:dyDescent="0.3">
      <c r="E1584" s="79"/>
    </row>
    <row r="1585" spans="5:5" x14ac:dyDescent="0.3">
      <c r="E1585" s="79"/>
    </row>
    <row r="1586" spans="5:5" x14ac:dyDescent="0.3">
      <c r="E1586" s="79"/>
    </row>
    <row r="1587" spans="5:5" x14ac:dyDescent="0.3">
      <c r="E1587" s="79"/>
    </row>
    <row r="1588" spans="5:5" x14ac:dyDescent="0.3">
      <c r="E1588" s="79"/>
    </row>
    <row r="1589" spans="5:5" x14ac:dyDescent="0.3">
      <c r="E1589" s="79"/>
    </row>
    <row r="1590" spans="5:5" x14ac:dyDescent="0.3">
      <c r="E1590" s="79"/>
    </row>
    <row r="1591" spans="5:5" x14ac:dyDescent="0.3">
      <c r="E1591" s="79"/>
    </row>
    <row r="1592" spans="5:5" x14ac:dyDescent="0.3">
      <c r="E1592" s="79"/>
    </row>
    <row r="1593" spans="5:5" x14ac:dyDescent="0.3">
      <c r="E1593" s="79"/>
    </row>
    <row r="1594" spans="5:5" x14ac:dyDescent="0.3">
      <c r="E1594" s="79"/>
    </row>
    <row r="1595" spans="5:5" x14ac:dyDescent="0.3">
      <c r="E1595" s="79"/>
    </row>
    <row r="1596" spans="5:5" x14ac:dyDescent="0.3">
      <c r="E1596" s="79"/>
    </row>
    <row r="1597" spans="5:5" x14ac:dyDescent="0.3">
      <c r="E1597" s="79"/>
    </row>
    <row r="1598" spans="5:5" x14ac:dyDescent="0.3">
      <c r="E1598" s="79"/>
    </row>
    <row r="1599" spans="5:5" x14ac:dyDescent="0.3">
      <c r="E1599" s="79"/>
    </row>
    <row r="1600" spans="5:5" x14ac:dyDescent="0.3">
      <c r="E1600" s="79"/>
    </row>
    <row r="1601" spans="5:5" x14ac:dyDescent="0.3">
      <c r="E1601" s="79"/>
    </row>
    <row r="1602" spans="5:5" x14ac:dyDescent="0.3">
      <c r="E1602" s="79"/>
    </row>
    <row r="1603" spans="5:5" x14ac:dyDescent="0.3">
      <c r="E1603" s="79"/>
    </row>
    <row r="1604" spans="5:5" x14ac:dyDescent="0.3">
      <c r="E1604" s="79"/>
    </row>
    <row r="1605" spans="5:5" x14ac:dyDescent="0.3">
      <c r="E1605" s="79"/>
    </row>
    <row r="1606" spans="5:5" x14ac:dyDescent="0.3">
      <c r="E1606" s="79"/>
    </row>
    <row r="1607" spans="5:5" x14ac:dyDescent="0.3">
      <c r="E1607" s="79"/>
    </row>
    <row r="1608" spans="5:5" x14ac:dyDescent="0.3">
      <c r="E1608" s="79"/>
    </row>
    <row r="1609" spans="5:5" x14ac:dyDescent="0.3">
      <c r="E1609" s="79"/>
    </row>
    <row r="1610" spans="5:5" x14ac:dyDescent="0.3">
      <c r="E1610" s="79"/>
    </row>
    <row r="1611" spans="5:5" x14ac:dyDescent="0.3">
      <c r="E1611" s="79"/>
    </row>
    <row r="1612" spans="5:5" x14ac:dyDescent="0.3">
      <c r="E1612" s="79"/>
    </row>
    <row r="1613" spans="5:5" x14ac:dyDescent="0.3">
      <c r="E1613" s="79"/>
    </row>
    <row r="1614" spans="5:5" x14ac:dyDescent="0.3">
      <c r="E1614" s="79"/>
    </row>
    <row r="1615" spans="5:5" x14ac:dyDescent="0.3">
      <c r="E1615" s="79"/>
    </row>
    <row r="1616" spans="5:5" x14ac:dyDescent="0.3">
      <c r="E1616" s="79"/>
    </row>
    <row r="1617" spans="5:5" x14ac:dyDescent="0.3">
      <c r="E1617" s="79"/>
    </row>
    <row r="1618" spans="5:5" x14ac:dyDescent="0.3">
      <c r="E1618" s="79"/>
    </row>
    <row r="1619" spans="5:5" x14ac:dyDescent="0.3">
      <c r="E1619" s="79"/>
    </row>
    <row r="1620" spans="5:5" x14ac:dyDescent="0.3">
      <c r="E1620" s="79"/>
    </row>
    <row r="1621" spans="5:5" x14ac:dyDescent="0.3">
      <c r="E1621" s="79"/>
    </row>
    <row r="1622" spans="5:5" x14ac:dyDescent="0.3">
      <c r="E1622" s="79"/>
    </row>
    <row r="1623" spans="5:5" x14ac:dyDescent="0.3">
      <c r="E1623" s="79"/>
    </row>
    <row r="1624" spans="5:5" x14ac:dyDescent="0.3">
      <c r="E1624" s="79"/>
    </row>
    <row r="1625" spans="5:5" x14ac:dyDescent="0.3">
      <c r="E1625" s="79"/>
    </row>
    <row r="1626" spans="5:5" x14ac:dyDescent="0.3">
      <c r="E1626" s="79"/>
    </row>
    <row r="1627" spans="5:5" x14ac:dyDescent="0.3">
      <c r="E1627" s="79"/>
    </row>
    <row r="1628" spans="5:5" x14ac:dyDescent="0.3">
      <c r="E1628" s="79"/>
    </row>
    <row r="1629" spans="5:5" x14ac:dyDescent="0.3">
      <c r="E1629" s="79"/>
    </row>
    <row r="1630" spans="5:5" x14ac:dyDescent="0.3">
      <c r="E1630" s="79"/>
    </row>
    <row r="1631" spans="5:5" x14ac:dyDescent="0.3">
      <c r="E1631" s="79"/>
    </row>
    <row r="1632" spans="5:5" x14ac:dyDescent="0.3">
      <c r="E1632" s="79"/>
    </row>
    <row r="1633" spans="5:5" x14ac:dyDescent="0.3">
      <c r="E1633" s="79"/>
    </row>
    <row r="1634" spans="5:5" x14ac:dyDescent="0.3">
      <c r="E1634" s="79"/>
    </row>
    <row r="1635" spans="5:5" x14ac:dyDescent="0.3">
      <c r="E1635" s="79"/>
    </row>
    <row r="1636" spans="5:5" x14ac:dyDescent="0.3">
      <c r="E1636" s="79"/>
    </row>
    <row r="1637" spans="5:5" x14ac:dyDescent="0.3">
      <c r="E1637" s="79"/>
    </row>
    <row r="1638" spans="5:5" x14ac:dyDescent="0.3">
      <c r="E1638" s="79"/>
    </row>
    <row r="1639" spans="5:5" x14ac:dyDescent="0.3">
      <c r="E1639" s="79"/>
    </row>
    <row r="1640" spans="5:5" x14ac:dyDescent="0.3">
      <c r="E1640" s="79"/>
    </row>
    <row r="1641" spans="5:5" x14ac:dyDescent="0.3">
      <c r="E1641" s="79"/>
    </row>
    <row r="1642" spans="5:5" x14ac:dyDescent="0.3">
      <c r="E1642" s="79"/>
    </row>
    <row r="1643" spans="5:5" x14ac:dyDescent="0.3">
      <c r="E1643" s="79"/>
    </row>
    <row r="1644" spans="5:5" x14ac:dyDescent="0.3">
      <c r="E1644" s="79"/>
    </row>
    <row r="1645" spans="5:5" x14ac:dyDescent="0.3">
      <c r="E1645" s="79"/>
    </row>
    <row r="1646" spans="5:5" x14ac:dyDescent="0.3">
      <c r="E1646" s="79"/>
    </row>
    <row r="1647" spans="5:5" x14ac:dyDescent="0.3">
      <c r="E1647" s="79"/>
    </row>
    <row r="1648" spans="5:5" x14ac:dyDescent="0.3">
      <c r="E1648" s="79"/>
    </row>
    <row r="1649" spans="5:5" x14ac:dyDescent="0.3">
      <c r="E1649" s="79"/>
    </row>
    <row r="1650" spans="5:5" x14ac:dyDescent="0.3">
      <c r="E1650" s="79"/>
    </row>
    <row r="1651" spans="5:5" x14ac:dyDescent="0.3">
      <c r="E1651" s="79"/>
    </row>
    <row r="1652" spans="5:5" x14ac:dyDescent="0.3">
      <c r="E1652" s="79"/>
    </row>
    <row r="1653" spans="5:5" x14ac:dyDescent="0.3">
      <c r="E1653" s="79"/>
    </row>
    <row r="1654" spans="5:5" x14ac:dyDescent="0.3">
      <c r="E1654" s="79"/>
    </row>
    <row r="1655" spans="5:5" x14ac:dyDescent="0.3">
      <c r="E1655" s="79"/>
    </row>
    <row r="1656" spans="5:5" x14ac:dyDescent="0.3">
      <c r="E1656" s="79"/>
    </row>
    <row r="1657" spans="5:5" x14ac:dyDescent="0.3">
      <c r="E1657" s="79"/>
    </row>
    <row r="1658" spans="5:5" x14ac:dyDescent="0.3">
      <c r="E1658" s="79"/>
    </row>
    <row r="1659" spans="5:5" x14ac:dyDescent="0.3">
      <c r="E1659" s="79"/>
    </row>
    <row r="1660" spans="5:5" x14ac:dyDescent="0.3">
      <c r="E1660" s="79"/>
    </row>
    <row r="1661" spans="5:5" x14ac:dyDescent="0.3">
      <c r="E1661" s="79"/>
    </row>
    <row r="1662" spans="5:5" x14ac:dyDescent="0.3">
      <c r="E1662" s="79"/>
    </row>
    <row r="1663" spans="5:5" x14ac:dyDescent="0.3">
      <c r="E1663" s="79"/>
    </row>
    <row r="1664" spans="5:5" x14ac:dyDescent="0.3">
      <c r="E1664" s="79"/>
    </row>
    <row r="1665" spans="5:5" x14ac:dyDescent="0.3">
      <c r="E1665" s="79"/>
    </row>
    <row r="1666" spans="5:5" x14ac:dyDescent="0.3">
      <c r="E1666" s="79"/>
    </row>
    <row r="1667" spans="5:5" x14ac:dyDescent="0.3">
      <c r="E1667" s="79"/>
    </row>
    <row r="1668" spans="5:5" x14ac:dyDescent="0.3">
      <c r="E1668" s="79"/>
    </row>
    <row r="1669" spans="5:5" x14ac:dyDescent="0.3">
      <c r="E1669" s="79"/>
    </row>
    <row r="1670" spans="5:5" x14ac:dyDescent="0.3">
      <c r="E1670" s="79"/>
    </row>
    <row r="1671" spans="5:5" x14ac:dyDescent="0.3">
      <c r="E1671" s="79"/>
    </row>
    <row r="1672" spans="5:5" x14ac:dyDescent="0.3">
      <c r="E1672" s="79"/>
    </row>
    <row r="1673" spans="5:5" x14ac:dyDescent="0.3">
      <c r="E1673" s="79"/>
    </row>
    <row r="1674" spans="5:5" x14ac:dyDescent="0.3">
      <c r="E1674" s="79"/>
    </row>
    <row r="1675" spans="5:5" x14ac:dyDescent="0.3">
      <c r="E1675" s="79"/>
    </row>
    <row r="1676" spans="5:5" x14ac:dyDescent="0.3">
      <c r="E1676" s="79"/>
    </row>
    <row r="1677" spans="5:5" x14ac:dyDescent="0.3">
      <c r="E1677" s="79"/>
    </row>
    <row r="1678" spans="5:5" x14ac:dyDescent="0.3">
      <c r="E1678" s="79"/>
    </row>
    <row r="1679" spans="5:5" x14ac:dyDescent="0.3">
      <c r="E1679" s="79"/>
    </row>
    <row r="1680" spans="5:5" x14ac:dyDescent="0.3">
      <c r="E1680" s="79"/>
    </row>
    <row r="1681" spans="5:5" x14ac:dyDescent="0.3">
      <c r="E1681" s="79"/>
    </row>
    <row r="1682" spans="5:5" x14ac:dyDescent="0.3">
      <c r="E1682" s="79"/>
    </row>
    <row r="1683" spans="5:5" x14ac:dyDescent="0.3">
      <c r="E1683" s="79"/>
    </row>
    <row r="1684" spans="5:5" x14ac:dyDescent="0.3">
      <c r="E1684" s="79"/>
    </row>
    <row r="1685" spans="5:5" x14ac:dyDescent="0.3">
      <c r="E1685" s="79"/>
    </row>
    <row r="1686" spans="5:5" x14ac:dyDescent="0.3">
      <c r="E1686" s="79"/>
    </row>
    <row r="1687" spans="5:5" x14ac:dyDescent="0.3">
      <c r="E1687" s="79"/>
    </row>
    <row r="1688" spans="5:5" x14ac:dyDescent="0.3">
      <c r="E1688" s="79"/>
    </row>
    <row r="1689" spans="5:5" x14ac:dyDescent="0.3">
      <c r="E1689" s="79"/>
    </row>
    <row r="1690" spans="5:5" x14ac:dyDescent="0.3">
      <c r="E1690" s="79"/>
    </row>
    <row r="1691" spans="5:5" x14ac:dyDescent="0.3">
      <c r="E1691" s="79"/>
    </row>
    <row r="1692" spans="5:5" x14ac:dyDescent="0.3">
      <c r="E1692" s="79"/>
    </row>
    <row r="1693" spans="5:5" x14ac:dyDescent="0.3">
      <c r="E1693" s="79"/>
    </row>
    <row r="1694" spans="5:5" x14ac:dyDescent="0.3">
      <c r="E1694" s="79"/>
    </row>
    <row r="1695" spans="5:5" x14ac:dyDescent="0.3">
      <c r="E1695" s="79"/>
    </row>
    <row r="1696" spans="5:5" x14ac:dyDescent="0.3">
      <c r="E1696" s="79"/>
    </row>
    <row r="1697" spans="5:5" x14ac:dyDescent="0.3">
      <c r="E1697" s="79"/>
    </row>
    <row r="1698" spans="5:5" x14ac:dyDescent="0.3">
      <c r="E1698" s="79"/>
    </row>
    <row r="1699" spans="5:5" x14ac:dyDescent="0.3">
      <c r="E1699" s="79"/>
    </row>
    <row r="1700" spans="5:5" x14ac:dyDescent="0.3">
      <c r="E1700" s="79"/>
    </row>
    <row r="1701" spans="5:5" x14ac:dyDescent="0.3">
      <c r="E1701" s="79"/>
    </row>
    <row r="1702" spans="5:5" x14ac:dyDescent="0.3">
      <c r="E1702" s="79"/>
    </row>
    <row r="1703" spans="5:5" x14ac:dyDescent="0.3">
      <c r="E1703" s="79"/>
    </row>
    <row r="1704" spans="5:5" x14ac:dyDescent="0.3">
      <c r="E1704" s="79"/>
    </row>
    <row r="1705" spans="5:5" x14ac:dyDescent="0.3">
      <c r="E1705" s="79"/>
    </row>
    <row r="1706" spans="5:5" x14ac:dyDescent="0.3">
      <c r="E1706" s="79"/>
    </row>
    <row r="1707" spans="5:5" x14ac:dyDescent="0.3">
      <c r="E1707" s="79"/>
    </row>
    <row r="1708" spans="5:5" x14ac:dyDescent="0.3">
      <c r="E1708" s="79"/>
    </row>
    <row r="1709" spans="5:5" x14ac:dyDescent="0.3">
      <c r="E1709" s="79"/>
    </row>
    <row r="1710" spans="5:5" x14ac:dyDescent="0.3">
      <c r="E1710" s="79"/>
    </row>
    <row r="1711" spans="5:5" x14ac:dyDescent="0.3">
      <c r="E1711" s="79"/>
    </row>
    <row r="1712" spans="5:5" x14ac:dyDescent="0.3">
      <c r="E1712" s="79"/>
    </row>
    <row r="1713" spans="5:5" x14ac:dyDescent="0.3">
      <c r="E1713" s="79"/>
    </row>
    <row r="1714" spans="5:5" x14ac:dyDescent="0.3">
      <c r="E1714" s="79"/>
    </row>
    <row r="1715" spans="5:5" x14ac:dyDescent="0.3">
      <c r="E1715" s="79"/>
    </row>
    <row r="1716" spans="5:5" x14ac:dyDescent="0.3">
      <c r="E1716" s="79"/>
    </row>
    <row r="1717" spans="5:5" x14ac:dyDescent="0.3">
      <c r="E1717" s="79"/>
    </row>
    <row r="1718" spans="5:5" x14ac:dyDescent="0.3">
      <c r="E1718" s="79"/>
    </row>
    <row r="1719" spans="5:5" x14ac:dyDescent="0.3">
      <c r="E1719" s="79"/>
    </row>
    <row r="1720" spans="5:5" x14ac:dyDescent="0.3">
      <c r="E1720" s="79"/>
    </row>
    <row r="1721" spans="5:5" x14ac:dyDescent="0.3">
      <c r="E1721" s="79"/>
    </row>
    <row r="1722" spans="5:5" x14ac:dyDescent="0.3">
      <c r="E1722" s="79"/>
    </row>
    <row r="1723" spans="5:5" x14ac:dyDescent="0.3">
      <c r="E1723" s="79"/>
    </row>
    <row r="1724" spans="5:5" x14ac:dyDescent="0.3">
      <c r="E1724" s="79"/>
    </row>
    <row r="1725" spans="5:5" x14ac:dyDescent="0.3">
      <c r="E1725" s="79"/>
    </row>
    <row r="1726" spans="5:5" x14ac:dyDescent="0.3">
      <c r="E1726" s="79"/>
    </row>
    <row r="1727" spans="5:5" x14ac:dyDescent="0.3">
      <c r="E1727" s="79"/>
    </row>
    <row r="1728" spans="5:5" x14ac:dyDescent="0.3">
      <c r="E1728" s="79"/>
    </row>
    <row r="1729" spans="5:5" x14ac:dyDescent="0.3">
      <c r="E1729" s="79"/>
    </row>
    <row r="1730" spans="5:5" x14ac:dyDescent="0.3">
      <c r="E1730" s="79"/>
    </row>
    <row r="1731" spans="5:5" x14ac:dyDescent="0.3">
      <c r="E1731" s="79"/>
    </row>
    <row r="1732" spans="5:5" x14ac:dyDescent="0.3">
      <c r="E1732" s="79"/>
    </row>
    <row r="1733" spans="5:5" x14ac:dyDescent="0.3">
      <c r="E1733" s="79"/>
    </row>
    <row r="1734" spans="5:5" x14ac:dyDescent="0.3">
      <c r="E1734" s="79"/>
    </row>
    <row r="1735" spans="5:5" x14ac:dyDescent="0.3">
      <c r="E1735" s="79"/>
    </row>
    <row r="1736" spans="5:5" x14ac:dyDescent="0.3">
      <c r="E1736" s="79"/>
    </row>
    <row r="1737" spans="5:5" x14ac:dyDescent="0.3">
      <c r="E1737" s="79"/>
    </row>
    <row r="1738" spans="5:5" x14ac:dyDescent="0.3">
      <c r="E1738" s="79"/>
    </row>
    <row r="1739" spans="5:5" x14ac:dyDescent="0.3">
      <c r="E1739" s="79"/>
    </row>
    <row r="1740" spans="5:5" x14ac:dyDescent="0.3">
      <c r="E1740" s="79"/>
    </row>
    <row r="1741" spans="5:5" x14ac:dyDescent="0.3">
      <c r="E1741" s="79"/>
    </row>
    <row r="1742" spans="5:5" x14ac:dyDescent="0.3">
      <c r="E1742" s="79"/>
    </row>
    <row r="1743" spans="5:5" x14ac:dyDescent="0.3">
      <c r="E1743" s="79"/>
    </row>
    <row r="1744" spans="5:5" x14ac:dyDescent="0.3">
      <c r="E1744" s="79"/>
    </row>
    <row r="1745" spans="5:5" x14ac:dyDescent="0.3">
      <c r="E1745" s="79"/>
    </row>
    <row r="1746" spans="5:5" x14ac:dyDescent="0.3">
      <c r="E1746" s="79"/>
    </row>
    <row r="1747" spans="5:5" x14ac:dyDescent="0.3">
      <c r="E1747" s="79"/>
    </row>
    <row r="1748" spans="5:5" x14ac:dyDescent="0.3">
      <c r="E1748" s="79"/>
    </row>
    <row r="1749" spans="5:5" x14ac:dyDescent="0.3">
      <c r="E1749" s="79"/>
    </row>
    <row r="1750" spans="5:5" x14ac:dyDescent="0.3">
      <c r="E1750" s="79"/>
    </row>
    <row r="1751" spans="5:5" x14ac:dyDescent="0.3">
      <c r="E1751" s="79"/>
    </row>
    <row r="1752" spans="5:5" x14ac:dyDescent="0.3">
      <c r="E1752" s="79"/>
    </row>
    <row r="1753" spans="5:5" x14ac:dyDescent="0.3">
      <c r="E1753" s="79"/>
    </row>
    <row r="1754" spans="5:5" x14ac:dyDescent="0.3">
      <c r="E1754" s="79"/>
    </row>
    <row r="1755" spans="5:5" x14ac:dyDescent="0.3">
      <c r="E1755" s="79"/>
    </row>
    <row r="1756" spans="5:5" x14ac:dyDescent="0.3">
      <c r="E1756" s="79"/>
    </row>
    <row r="1757" spans="5:5" x14ac:dyDescent="0.3">
      <c r="E1757" s="79"/>
    </row>
    <row r="1758" spans="5:5" x14ac:dyDescent="0.3">
      <c r="E1758" s="79"/>
    </row>
    <row r="1759" spans="5:5" x14ac:dyDescent="0.3">
      <c r="E1759" s="79"/>
    </row>
    <row r="1760" spans="5:5" x14ac:dyDescent="0.3">
      <c r="E1760" s="79"/>
    </row>
    <row r="1761" spans="5:5" x14ac:dyDescent="0.3">
      <c r="E1761" s="79"/>
    </row>
    <row r="1762" spans="5:5" x14ac:dyDescent="0.3">
      <c r="E1762" s="79"/>
    </row>
    <row r="1763" spans="5:5" x14ac:dyDescent="0.3">
      <c r="E1763" s="79"/>
    </row>
    <row r="1764" spans="5:5" x14ac:dyDescent="0.3">
      <c r="E1764" s="79"/>
    </row>
    <row r="1765" spans="5:5" x14ac:dyDescent="0.3">
      <c r="E1765" s="79"/>
    </row>
    <row r="1766" spans="5:5" x14ac:dyDescent="0.3">
      <c r="E1766" s="79"/>
    </row>
    <row r="1767" spans="5:5" x14ac:dyDescent="0.3">
      <c r="E1767" s="79"/>
    </row>
    <row r="1768" spans="5:5" x14ac:dyDescent="0.3">
      <c r="E1768" s="79"/>
    </row>
    <row r="1769" spans="5:5" x14ac:dyDescent="0.3">
      <c r="E1769" s="79"/>
    </row>
    <row r="1770" spans="5:5" x14ac:dyDescent="0.3">
      <c r="E1770" s="79"/>
    </row>
    <row r="1771" spans="5:5" x14ac:dyDescent="0.3">
      <c r="E1771" s="79"/>
    </row>
    <row r="1772" spans="5:5" x14ac:dyDescent="0.3">
      <c r="E1772" s="79"/>
    </row>
    <row r="1773" spans="5:5" x14ac:dyDescent="0.3">
      <c r="E1773" s="79"/>
    </row>
    <row r="1774" spans="5:5" x14ac:dyDescent="0.3">
      <c r="E1774" s="79"/>
    </row>
    <row r="1775" spans="5:5" x14ac:dyDescent="0.3">
      <c r="E1775" s="79"/>
    </row>
    <row r="1776" spans="5:5" x14ac:dyDescent="0.3">
      <c r="E1776" s="79"/>
    </row>
    <row r="1777" spans="5:5" x14ac:dyDescent="0.3">
      <c r="E1777" s="79"/>
    </row>
    <row r="1778" spans="5:5" x14ac:dyDescent="0.3">
      <c r="E1778" s="79"/>
    </row>
  </sheetData>
  <sheetProtection formatCells="0" formatColumns="0" formatRows="0" autoFilter="0" pivotTables="0"/>
  <autoFilter ref="A3:BC490" xr:uid="{D4CB9851-B93B-4E4D-ADDB-D526BA725746}"/>
  <mergeCells count="5">
    <mergeCell ref="M1:U1"/>
    <mergeCell ref="W1:AF1"/>
    <mergeCell ref="AH1:AP1"/>
    <mergeCell ref="AR1:AZ1"/>
    <mergeCell ref="BC1:BC2"/>
  </mergeCells>
  <conditionalFormatting sqref="AH4:AP99840">
    <cfRule type="containsText" dxfId="12" priority="7" operator="containsText" text="Over">
      <formula>NOT(ISERROR(SEARCH("Over",AH4)))</formula>
    </cfRule>
    <cfRule type="containsText" dxfId="11" priority="8" operator="containsText" text="Correct">
      <formula>NOT(ISERROR(SEARCH("Correct",AH4)))</formula>
    </cfRule>
    <cfRule type="containsText" dxfId="10" priority="9" operator="containsText" text="Short">
      <formula>NOT(ISERROR(SEARCH("Short",AH4)))</formula>
    </cfRule>
  </conditionalFormatting>
  <conditionalFormatting sqref="X1048417:X1048576">
    <cfRule type="expression" dxfId="9" priority="14" stopIfTrue="1">
      <formula>TRUE</formula>
    </cfRule>
  </conditionalFormatting>
  <conditionalFormatting sqref="N1048417:N1048576">
    <cfRule type="expression" dxfId="8" priority="15" stopIfTrue="1">
      <formula>TRUE</formula>
    </cfRule>
  </conditionalFormatting>
  <conditionalFormatting sqref="G1 G3:G1048576">
    <cfRule type="duplicateValues" dxfId="7" priority="1"/>
  </conditionalFormatting>
  <conditionalFormatting sqref="Y1048522:Y1048576">
    <cfRule type="expression" dxfId="6" priority="16" stopIfTrue="1">
      <formula>TRUE</formula>
    </cfRule>
  </conditionalFormatting>
  <conditionalFormatting sqref="O1048522:O1048576">
    <cfRule type="expression" dxfId="5" priority="17" stopIfTrue="1">
      <formula>TRUE</formula>
    </cfRule>
  </conditionalFormatting>
  <conditionalFormatting sqref="Y1048507">
    <cfRule type="expression" dxfId="4" priority="18" stopIfTrue="1">
      <formula>TRUE</formula>
    </cfRule>
  </conditionalFormatting>
  <conditionalFormatting sqref="O1048507">
    <cfRule type="expression" dxfId="3" priority="19" stopIfTrue="1">
      <formula>TRUE</formula>
    </cfRule>
  </conditionalFormatting>
  <pageMargins left="0.7" right="0.7" top="0.75" bottom="0.75" header="0.3" footer="0.3"/>
  <pageSetup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8A1B4-62AB-46DE-9693-26622AB6D6D5}">
  <sheetPr codeName="Sheet2">
    <tabColor rgb="FF92D050"/>
  </sheetPr>
  <dimension ref="A1:S1682"/>
  <sheetViews>
    <sheetView workbookViewId="0"/>
  </sheetViews>
  <sheetFormatPr defaultRowHeight="14.4" x14ac:dyDescent="0.3"/>
  <cols>
    <col min="1" max="1" width="12.33203125" bestFit="1" customWidth="1"/>
    <col min="2" max="2" width="39.77734375" bestFit="1" customWidth="1"/>
    <col min="3" max="3" width="11.88671875" bestFit="1" customWidth="1"/>
    <col min="4" max="4" width="5.109375" bestFit="1" customWidth="1"/>
    <col min="5" max="5" width="14.44140625" bestFit="1" customWidth="1"/>
    <col min="6" max="6" width="8.21875" bestFit="1" customWidth="1"/>
    <col min="7" max="7" width="16.88671875" bestFit="1" customWidth="1"/>
    <col min="8" max="8" width="11.44140625" bestFit="1" customWidth="1"/>
    <col min="9" max="9" width="11.21875" bestFit="1" customWidth="1"/>
    <col min="10" max="10" width="6.6640625" bestFit="1" customWidth="1"/>
    <col min="11" max="11" width="6.33203125" bestFit="1" customWidth="1"/>
    <col min="12" max="12" width="20.44140625" style="32" customWidth="1"/>
    <col min="13" max="13" width="10.5546875" bestFit="1" customWidth="1"/>
    <col min="14" max="14" width="11.88671875" bestFit="1" customWidth="1"/>
    <col min="15" max="15" width="19.5546875" customWidth="1"/>
    <col min="16" max="16" width="1.88671875" style="34" customWidth="1"/>
    <col min="17" max="17" width="12.21875" customWidth="1"/>
    <col min="18" max="18" width="49.33203125" bestFit="1" customWidth="1"/>
    <col min="19" max="19" width="15.77734375" bestFit="1" customWidth="1"/>
  </cols>
  <sheetData>
    <row r="1" spans="1:19" s="45" customFormat="1" ht="43.2" x14ac:dyDescent="0.3">
      <c r="A1" s="42" t="s">
        <v>50</v>
      </c>
      <c r="B1" s="42" t="s">
        <v>59</v>
      </c>
      <c r="C1" s="42" t="s">
        <v>64</v>
      </c>
      <c r="D1" s="42" t="s">
        <v>52</v>
      </c>
      <c r="E1" s="42" t="s">
        <v>65</v>
      </c>
      <c r="F1" s="43" t="s">
        <v>66</v>
      </c>
      <c r="G1" s="42" t="s">
        <v>56</v>
      </c>
      <c r="H1" s="42" t="s">
        <v>61</v>
      </c>
      <c r="I1" s="42" t="s">
        <v>67</v>
      </c>
      <c r="J1" s="43" t="s">
        <v>68</v>
      </c>
      <c r="K1" s="43" t="s">
        <v>69</v>
      </c>
      <c r="L1" s="44" t="s">
        <v>60</v>
      </c>
      <c r="M1" s="42" t="s">
        <v>55</v>
      </c>
      <c r="N1" s="42" t="s">
        <v>70</v>
      </c>
      <c r="O1" s="42" t="s">
        <v>71</v>
      </c>
      <c r="P1" s="136" t="s">
        <v>82</v>
      </c>
      <c r="Q1" s="39" t="s">
        <v>76</v>
      </c>
      <c r="R1" s="39" t="s">
        <v>58</v>
      </c>
      <c r="S1" s="39" t="s">
        <v>95</v>
      </c>
    </row>
    <row r="2" spans="1:19" x14ac:dyDescent="0.3">
      <c r="A2" s="27">
        <v>10001003</v>
      </c>
      <c r="B2" s="27" t="s">
        <v>89</v>
      </c>
      <c r="C2" s="27">
        <v>4500866</v>
      </c>
      <c r="D2" s="27">
        <v>1000</v>
      </c>
      <c r="E2" s="27" t="s">
        <v>53</v>
      </c>
      <c r="F2" s="27" t="s">
        <v>63</v>
      </c>
      <c r="G2" s="27">
        <v>4900029931</v>
      </c>
      <c r="H2" s="27" t="s">
        <v>54</v>
      </c>
      <c r="I2" s="28">
        <v>45300</v>
      </c>
      <c r="J2" s="27" t="s">
        <v>72</v>
      </c>
      <c r="K2" s="29">
        <v>-1</v>
      </c>
      <c r="L2" s="31">
        <v>1680000720549</v>
      </c>
      <c r="M2" s="28">
        <v>45300</v>
      </c>
      <c r="N2" s="30">
        <v>0.40491898148147998</v>
      </c>
      <c r="O2" s="27" t="s">
        <v>194</v>
      </c>
      <c r="P2" s="137"/>
      <c r="Q2" t="str">
        <f>IFERROR(IF((_xlfn.XLOOKUP(A2,'Set of Installation'!A:A,'Set of Installation'!C:C)+1)&gt;ABS(K2),"OK","Overusage"),"")</f>
        <v/>
      </c>
      <c r="R2" t="str">
        <f>_xlfn.XLOOKUP(C2,'Checking(ZSERIALS)'!E:E,'Checking(ZSERIALS)'!F:F)</f>
        <v>CHRISTBELLA CONSTRUCTION MANAGEMENT</v>
      </c>
    </row>
    <row r="3" spans="1:19" x14ac:dyDescent="0.3">
      <c r="A3" s="27">
        <v>10001003</v>
      </c>
      <c r="B3" s="27" t="s">
        <v>89</v>
      </c>
      <c r="C3" s="27">
        <v>4500866</v>
      </c>
      <c r="D3" s="27">
        <v>1000</v>
      </c>
      <c r="E3" s="27" t="s">
        <v>53</v>
      </c>
      <c r="F3" s="27" t="s">
        <v>63</v>
      </c>
      <c r="G3" s="27">
        <v>4900013012</v>
      </c>
      <c r="H3" s="27" t="s">
        <v>54</v>
      </c>
      <c r="I3" s="28">
        <v>45296</v>
      </c>
      <c r="J3" s="27" t="s">
        <v>72</v>
      </c>
      <c r="K3" s="29">
        <v>-1</v>
      </c>
      <c r="L3" s="31">
        <v>1680000708409</v>
      </c>
      <c r="M3" s="28">
        <v>45296</v>
      </c>
      <c r="N3" s="30">
        <v>0.53752314814815005</v>
      </c>
      <c r="O3" s="27" t="s">
        <v>128</v>
      </c>
      <c r="P3" s="137"/>
      <c r="Q3" t="str">
        <f>IFERROR(IF((_xlfn.XLOOKUP(A3,'Set of Installation'!A:A,'Set of Installation'!C:C)+1)&gt;ABS(K3),"OK","Overusage"),"")</f>
        <v/>
      </c>
      <c r="R3" t="str">
        <f>_xlfn.XLOOKUP(C3,'Checking(ZSERIALS)'!E:E,'Checking(ZSERIALS)'!F:F)</f>
        <v>CHRISTBELLA CONSTRUCTION MANAGEMENT</v>
      </c>
    </row>
    <row r="4" spans="1:19" x14ac:dyDescent="0.3">
      <c r="A4" s="27">
        <v>10001003</v>
      </c>
      <c r="B4" s="27" t="s">
        <v>89</v>
      </c>
      <c r="C4" s="27">
        <v>4500866</v>
      </c>
      <c r="D4" s="27">
        <v>1000</v>
      </c>
      <c r="E4" s="27" t="s">
        <v>53</v>
      </c>
      <c r="F4" s="27" t="s">
        <v>63</v>
      </c>
      <c r="G4" s="27">
        <v>4900008762</v>
      </c>
      <c r="H4" s="27" t="s">
        <v>54</v>
      </c>
      <c r="I4" s="28">
        <v>45295</v>
      </c>
      <c r="J4" s="27" t="s">
        <v>72</v>
      </c>
      <c r="K4" s="29">
        <v>-1</v>
      </c>
      <c r="L4" s="31">
        <v>1680000692316</v>
      </c>
      <c r="M4" s="28">
        <v>45295</v>
      </c>
      <c r="N4" s="30">
        <v>0.61111111111111005</v>
      </c>
      <c r="O4" s="27" t="s">
        <v>113</v>
      </c>
      <c r="P4" s="137"/>
      <c r="Q4" t="str">
        <f>IFERROR(IF((_xlfn.XLOOKUP(A4,'Set of Installation'!A:A,'Set of Installation'!C:C)+1)&gt;ABS(K4),"OK","Overusage"),"")</f>
        <v/>
      </c>
      <c r="R4" t="str">
        <f>_xlfn.XLOOKUP(C4,'Checking(ZSERIALS)'!E:E,'Checking(ZSERIALS)'!F:F)</f>
        <v>CHRISTBELLA CONSTRUCTION MANAGEMENT</v>
      </c>
    </row>
    <row r="5" spans="1:19" x14ac:dyDescent="0.3">
      <c r="A5" s="27">
        <v>10001003</v>
      </c>
      <c r="B5" s="27" t="s">
        <v>89</v>
      </c>
      <c r="C5" s="27">
        <v>4500866</v>
      </c>
      <c r="D5" s="27">
        <v>1000</v>
      </c>
      <c r="E5" s="27" t="s">
        <v>53</v>
      </c>
      <c r="F5" s="27" t="s">
        <v>63</v>
      </c>
      <c r="G5" s="27">
        <v>4900140957</v>
      </c>
      <c r="H5" s="27" t="s">
        <v>54</v>
      </c>
      <c r="I5" s="28">
        <v>45291</v>
      </c>
      <c r="J5" s="27" t="s">
        <v>72</v>
      </c>
      <c r="K5" s="29">
        <v>-1</v>
      </c>
      <c r="L5" s="31">
        <v>1680000701780</v>
      </c>
      <c r="M5" s="28">
        <v>45291</v>
      </c>
      <c r="N5" s="30">
        <v>0.52074074074073995</v>
      </c>
      <c r="O5" s="27" t="s">
        <v>395</v>
      </c>
      <c r="P5" s="137"/>
      <c r="Q5" t="str">
        <f>IFERROR(IF((_xlfn.XLOOKUP(A5,'Set of Installation'!A:A,'Set of Installation'!C:C)+1)&gt;ABS(K5),"OK","Overusage"),"")</f>
        <v/>
      </c>
      <c r="R5" t="str">
        <f>_xlfn.XLOOKUP(C5,'Checking(ZSERIALS)'!E:E,'Checking(ZSERIALS)'!F:F)</f>
        <v>CHRISTBELLA CONSTRUCTION MANAGEMENT</v>
      </c>
    </row>
    <row r="6" spans="1:19" x14ac:dyDescent="0.3">
      <c r="A6" s="27">
        <v>10001003</v>
      </c>
      <c r="B6" s="27" t="s">
        <v>89</v>
      </c>
      <c r="C6" s="27">
        <v>4500866</v>
      </c>
      <c r="D6" s="27">
        <v>1000</v>
      </c>
      <c r="E6" s="27" t="s">
        <v>53</v>
      </c>
      <c r="F6" s="27" t="s">
        <v>63</v>
      </c>
      <c r="G6" s="27">
        <v>4900141173</v>
      </c>
      <c r="H6" s="27" t="s">
        <v>54</v>
      </c>
      <c r="I6" s="28">
        <v>45291</v>
      </c>
      <c r="J6" s="27" t="s">
        <v>72</v>
      </c>
      <c r="K6" s="29">
        <v>-1</v>
      </c>
      <c r="L6" s="31">
        <v>1680000703178</v>
      </c>
      <c r="M6" s="28">
        <v>45291</v>
      </c>
      <c r="N6" s="30">
        <v>0.56798611111110997</v>
      </c>
      <c r="O6" s="27" t="s">
        <v>398</v>
      </c>
      <c r="P6" s="137"/>
      <c r="Q6" t="str">
        <f>IFERROR(IF((_xlfn.XLOOKUP(A6,'Set of Installation'!A:A,'Set of Installation'!C:C)+1)&gt;ABS(K6),"OK","Overusage"),"")</f>
        <v/>
      </c>
      <c r="R6" t="str">
        <f>_xlfn.XLOOKUP(C6,'Checking(ZSERIALS)'!E:E,'Checking(ZSERIALS)'!F:F)</f>
        <v>CHRISTBELLA CONSTRUCTION MANAGEMENT</v>
      </c>
    </row>
    <row r="7" spans="1:19" x14ac:dyDescent="0.3">
      <c r="A7" s="27">
        <v>10001003</v>
      </c>
      <c r="B7" s="27" t="s">
        <v>89</v>
      </c>
      <c r="C7" s="27">
        <v>4500866</v>
      </c>
      <c r="D7" s="27">
        <v>1000</v>
      </c>
      <c r="E7" s="27" t="s">
        <v>53</v>
      </c>
      <c r="F7" s="27" t="s">
        <v>63</v>
      </c>
      <c r="G7" s="27">
        <v>4900141376</v>
      </c>
      <c r="H7" s="27" t="s">
        <v>54</v>
      </c>
      <c r="I7" s="28">
        <v>45291</v>
      </c>
      <c r="J7" s="27" t="s">
        <v>72</v>
      </c>
      <c r="K7" s="29">
        <v>-1</v>
      </c>
      <c r="L7" s="31">
        <v>1680000703147</v>
      </c>
      <c r="M7" s="28">
        <v>45291</v>
      </c>
      <c r="N7" s="30">
        <v>0.62630787037036995</v>
      </c>
      <c r="O7" s="27" t="s">
        <v>401</v>
      </c>
      <c r="P7" s="137"/>
      <c r="Q7" t="str">
        <f>IFERROR(IF((_xlfn.XLOOKUP(A7,'Set of Installation'!A:A,'Set of Installation'!C:C)+1)&gt;ABS(K7),"OK","Overusage"),"")</f>
        <v/>
      </c>
      <c r="R7" t="str">
        <f>_xlfn.XLOOKUP(C7,'Checking(ZSERIALS)'!E:E,'Checking(ZSERIALS)'!F:F)</f>
        <v>CHRISTBELLA CONSTRUCTION MANAGEMENT</v>
      </c>
    </row>
    <row r="8" spans="1:19" x14ac:dyDescent="0.3">
      <c r="A8" s="27">
        <v>10001003</v>
      </c>
      <c r="B8" s="27" t="s">
        <v>89</v>
      </c>
      <c r="C8" s="27">
        <v>4500866</v>
      </c>
      <c r="D8" s="27">
        <v>1000</v>
      </c>
      <c r="E8" s="27" t="s">
        <v>53</v>
      </c>
      <c r="F8" s="27" t="s">
        <v>63</v>
      </c>
      <c r="G8" s="27">
        <v>4900141415</v>
      </c>
      <c r="H8" s="27" t="s">
        <v>54</v>
      </c>
      <c r="I8" s="28">
        <v>45291</v>
      </c>
      <c r="J8" s="27" t="s">
        <v>72</v>
      </c>
      <c r="K8" s="29">
        <v>-1</v>
      </c>
      <c r="L8" s="31">
        <v>1680000704326</v>
      </c>
      <c r="M8" s="28">
        <v>45291</v>
      </c>
      <c r="N8" s="30">
        <v>0.64157407407406997</v>
      </c>
      <c r="O8" s="27" t="s">
        <v>404</v>
      </c>
      <c r="P8" s="137"/>
      <c r="Q8" t="str">
        <f>IFERROR(IF((_xlfn.XLOOKUP(A8,'Set of Installation'!A:A,'Set of Installation'!C:C)+1)&gt;ABS(K8),"OK","Overusage"),"")</f>
        <v/>
      </c>
      <c r="R8" t="str">
        <f>_xlfn.XLOOKUP(C8,'Checking(ZSERIALS)'!E:E,'Checking(ZSERIALS)'!F:F)</f>
        <v>CHRISTBELLA CONSTRUCTION MANAGEMENT</v>
      </c>
    </row>
    <row r="9" spans="1:19" x14ac:dyDescent="0.3">
      <c r="A9" s="27">
        <v>10001003</v>
      </c>
      <c r="B9" s="27" t="s">
        <v>89</v>
      </c>
      <c r="C9" s="27">
        <v>4500866</v>
      </c>
      <c r="D9" s="27">
        <v>1000</v>
      </c>
      <c r="E9" s="27" t="s">
        <v>53</v>
      </c>
      <c r="F9" s="27" t="s">
        <v>63</v>
      </c>
      <c r="G9" s="27">
        <v>4900137895</v>
      </c>
      <c r="H9" s="27" t="s">
        <v>54</v>
      </c>
      <c r="I9" s="28">
        <v>45290</v>
      </c>
      <c r="J9" s="27" t="s">
        <v>72</v>
      </c>
      <c r="K9" s="29">
        <v>-1</v>
      </c>
      <c r="L9" s="31">
        <v>1680000698603</v>
      </c>
      <c r="M9" s="28">
        <v>45290</v>
      </c>
      <c r="N9" s="30">
        <v>0.62631944444443999</v>
      </c>
      <c r="O9" s="27" t="s">
        <v>380</v>
      </c>
      <c r="P9" s="137"/>
      <c r="Q9" t="str">
        <f>IFERROR(IF((_xlfn.XLOOKUP(A9,'Set of Installation'!A:A,'Set of Installation'!C:C)+1)&gt;ABS(K9),"OK","Overusage"),"")</f>
        <v/>
      </c>
      <c r="R9" t="str">
        <f>_xlfn.XLOOKUP(C9,'Checking(ZSERIALS)'!E:E,'Checking(ZSERIALS)'!F:F)</f>
        <v>CHRISTBELLA CONSTRUCTION MANAGEMENT</v>
      </c>
    </row>
    <row r="10" spans="1:19" x14ac:dyDescent="0.3">
      <c r="A10" s="27">
        <v>10001003</v>
      </c>
      <c r="B10" s="27" t="s">
        <v>89</v>
      </c>
      <c r="C10" s="27">
        <v>4500866</v>
      </c>
      <c r="D10" s="27">
        <v>1000</v>
      </c>
      <c r="E10" s="27" t="s">
        <v>53</v>
      </c>
      <c r="F10" s="27" t="s">
        <v>63</v>
      </c>
      <c r="G10" s="27">
        <v>4900138145</v>
      </c>
      <c r="H10" s="27" t="s">
        <v>54</v>
      </c>
      <c r="I10" s="28">
        <v>45290</v>
      </c>
      <c r="J10" s="27" t="s">
        <v>72</v>
      </c>
      <c r="K10" s="29">
        <v>-1</v>
      </c>
      <c r="L10" s="31">
        <v>1680000697080</v>
      </c>
      <c r="M10" s="28">
        <v>45290</v>
      </c>
      <c r="N10" s="30">
        <v>0.64994212962963005</v>
      </c>
      <c r="O10" s="27" t="s">
        <v>383</v>
      </c>
      <c r="P10" s="137"/>
      <c r="Q10" t="str">
        <f>IFERROR(IF((_xlfn.XLOOKUP(A10,'Set of Installation'!A:A,'Set of Installation'!C:C)+1)&gt;ABS(K10),"OK","Overusage"),"")</f>
        <v/>
      </c>
      <c r="R10" t="str">
        <f>_xlfn.XLOOKUP(C10,'Checking(ZSERIALS)'!E:E,'Checking(ZSERIALS)'!F:F)</f>
        <v>CHRISTBELLA CONSTRUCTION MANAGEMENT</v>
      </c>
    </row>
    <row r="11" spans="1:19" x14ac:dyDescent="0.3">
      <c r="A11" s="27">
        <v>10001003</v>
      </c>
      <c r="B11" s="27" t="s">
        <v>89</v>
      </c>
      <c r="C11" s="27">
        <v>4500866</v>
      </c>
      <c r="D11" s="27">
        <v>1000</v>
      </c>
      <c r="E11" s="27" t="s">
        <v>53</v>
      </c>
      <c r="F11" s="27" t="s">
        <v>63</v>
      </c>
      <c r="G11" s="27">
        <v>4900136769</v>
      </c>
      <c r="H11" s="27" t="s">
        <v>54</v>
      </c>
      <c r="I11" s="28">
        <v>45290</v>
      </c>
      <c r="J11" s="27" t="s">
        <v>72</v>
      </c>
      <c r="K11" s="29">
        <v>-1</v>
      </c>
      <c r="L11" s="31">
        <v>1680000697589</v>
      </c>
      <c r="M11" s="28">
        <v>45290</v>
      </c>
      <c r="N11" s="30">
        <v>0.48327546296295998</v>
      </c>
      <c r="O11" s="27" t="s">
        <v>377</v>
      </c>
      <c r="P11" s="137"/>
      <c r="Q11" t="str">
        <f>IFERROR(IF((_xlfn.XLOOKUP(A11,'Set of Installation'!A:A,'Set of Installation'!C:C)+1)&gt;ABS(K11),"OK","Overusage"),"")</f>
        <v/>
      </c>
      <c r="R11" t="str">
        <f>_xlfn.XLOOKUP(C11,'Checking(ZSERIALS)'!E:E,'Checking(ZSERIALS)'!F:F)</f>
        <v>CHRISTBELLA CONSTRUCTION MANAGEMENT</v>
      </c>
    </row>
    <row r="12" spans="1:19" x14ac:dyDescent="0.3">
      <c r="A12" s="27">
        <v>10001003</v>
      </c>
      <c r="B12" s="27" t="s">
        <v>89</v>
      </c>
      <c r="C12" s="27">
        <v>4500866</v>
      </c>
      <c r="D12" s="27">
        <v>1000</v>
      </c>
      <c r="E12" s="27" t="s">
        <v>53</v>
      </c>
      <c r="F12" s="27" t="s">
        <v>63</v>
      </c>
      <c r="G12" s="27">
        <v>4900139036</v>
      </c>
      <c r="H12" s="27" t="s">
        <v>54</v>
      </c>
      <c r="I12" s="28">
        <v>45290</v>
      </c>
      <c r="J12" s="27" t="s">
        <v>72</v>
      </c>
      <c r="K12" s="29">
        <v>-1</v>
      </c>
      <c r="L12" s="31">
        <v>1680000700557</v>
      </c>
      <c r="M12" s="28">
        <v>45290</v>
      </c>
      <c r="N12" s="30">
        <v>0.74017361111111002</v>
      </c>
      <c r="O12" s="27" t="s">
        <v>386</v>
      </c>
      <c r="P12" s="137"/>
      <c r="Q12" t="str">
        <f>IFERROR(IF((_xlfn.XLOOKUP(A12,'Set of Installation'!A:A,'Set of Installation'!C:C)+1)&gt;ABS(K12),"OK","Overusage"),"")</f>
        <v/>
      </c>
      <c r="R12" t="str">
        <f>_xlfn.XLOOKUP(C12,'Checking(ZSERIALS)'!E:E,'Checking(ZSERIALS)'!F:F)</f>
        <v>CHRISTBELLA CONSTRUCTION MANAGEMENT</v>
      </c>
    </row>
    <row r="13" spans="1:19" x14ac:dyDescent="0.3">
      <c r="A13" s="27">
        <v>10001003</v>
      </c>
      <c r="B13" s="27" t="s">
        <v>89</v>
      </c>
      <c r="C13" s="27">
        <v>4500866</v>
      </c>
      <c r="D13" s="27">
        <v>1000</v>
      </c>
      <c r="E13" s="27" t="s">
        <v>53</v>
      </c>
      <c r="F13" s="27" t="s">
        <v>63</v>
      </c>
      <c r="G13" s="27">
        <v>4900140011</v>
      </c>
      <c r="H13" s="27" t="s">
        <v>54</v>
      </c>
      <c r="I13" s="28">
        <v>45290</v>
      </c>
      <c r="J13" s="27" t="s">
        <v>72</v>
      </c>
      <c r="K13" s="29">
        <v>-1</v>
      </c>
      <c r="L13" s="31">
        <v>1680000701541</v>
      </c>
      <c r="M13" s="28">
        <v>45290</v>
      </c>
      <c r="N13" s="30">
        <v>0.92768518518519005</v>
      </c>
      <c r="O13" s="27" t="s">
        <v>389</v>
      </c>
      <c r="P13" s="137"/>
      <c r="Q13" t="str">
        <f>IFERROR(IF((_xlfn.XLOOKUP(A13,'Set of Installation'!A:A,'Set of Installation'!C:C)+1)&gt;ABS(K13),"OK","Overusage"),"")</f>
        <v/>
      </c>
      <c r="R13" t="str">
        <f>_xlfn.XLOOKUP(C13,'Checking(ZSERIALS)'!E:E,'Checking(ZSERIALS)'!F:F)</f>
        <v>CHRISTBELLA CONSTRUCTION MANAGEMENT</v>
      </c>
    </row>
    <row r="14" spans="1:19" x14ac:dyDescent="0.3">
      <c r="A14" s="27">
        <v>10001003</v>
      </c>
      <c r="B14" s="27" t="s">
        <v>89</v>
      </c>
      <c r="C14" s="27">
        <v>4500866</v>
      </c>
      <c r="D14" s="27">
        <v>1000</v>
      </c>
      <c r="E14" s="27" t="s">
        <v>53</v>
      </c>
      <c r="F14" s="27" t="s">
        <v>63</v>
      </c>
      <c r="G14" s="27">
        <v>4900134949</v>
      </c>
      <c r="H14" s="27" t="s">
        <v>54</v>
      </c>
      <c r="I14" s="28">
        <v>45289</v>
      </c>
      <c r="J14" s="27" t="s">
        <v>72</v>
      </c>
      <c r="K14" s="29">
        <v>-1</v>
      </c>
      <c r="L14" s="31">
        <v>1680000697821</v>
      </c>
      <c r="M14" s="28">
        <v>45289</v>
      </c>
      <c r="N14" s="30">
        <v>0.80824074074074004</v>
      </c>
      <c r="O14" s="27" t="s">
        <v>374</v>
      </c>
      <c r="P14" s="137"/>
      <c r="Q14" t="str">
        <f>IFERROR(IF((_xlfn.XLOOKUP(A14,'Set of Installation'!A:A,'Set of Installation'!C:C)+1)&gt;ABS(K14),"OK","Overusage"),"")</f>
        <v/>
      </c>
      <c r="R14" t="str">
        <f>_xlfn.XLOOKUP(C14,'Checking(ZSERIALS)'!E:E,'Checking(ZSERIALS)'!F:F)</f>
        <v>CHRISTBELLA CONSTRUCTION MANAGEMENT</v>
      </c>
    </row>
    <row r="15" spans="1:19" x14ac:dyDescent="0.3">
      <c r="A15" s="27">
        <v>10001003</v>
      </c>
      <c r="B15" s="27" t="s">
        <v>89</v>
      </c>
      <c r="C15" s="27">
        <v>4500866</v>
      </c>
      <c r="D15" s="27">
        <v>1000</v>
      </c>
      <c r="E15" s="27" t="s">
        <v>53</v>
      </c>
      <c r="F15" s="27" t="s">
        <v>63</v>
      </c>
      <c r="G15" s="27">
        <v>4900134872</v>
      </c>
      <c r="H15" s="27" t="s">
        <v>101</v>
      </c>
      <c r="I15" s="28">
        <v>45289</v>
      </c>
      <c r="J15" s="27" t="s">
        <v>72</v>
      </c>
      <c r="K15" s="29">
        <v>-1</v>
      </c>
      <c r="L15" s="31" t="s">
        <v>103</v>
      </c>
      <c r="M15" s="28">
        <v>45289</v>
      </c>
      <c r="N15" s="30">
        <v>0.79364583333333005</v>
      </c>
      <c r="O15" s="27" t="s">
        <v>102</v>
      </c>
      <c r="P15" s="137"/>
      <c r="Q15" t="str">
        <f>IFERROR(IF((_xlfn.XLOOKUP(A15,'Set of Installation'!A:A,'Set of Installation'!C:C)+1)&gt;ABS(K15),"OK","Overusage"),"")</f>
        <v/>
      </c>
      <c r="R15" t="str">
        <f>_xlfn.XLOOKUP(C15,'Checking(ZSERIALS)'!E:E,'Checking(ZSERIALS)'!F:F)</f>
        <v>CHRISTBELLA CONSTRUCTION MANAGEMENT</v>
      </c>
    </row>
    <row r="16" spans="1:19" x14ac:dyDescent="0.3">
      <c r="A16" s="27">
        <v>10001003</v>
      </c>
      <c r="B16" s="27" t="s">
        <v>89</v>
      </c>
      <c r="C16" s="27">
        <v>4500866</v>
      </c>
      <c r="D16" s="27">
        <v>1000</v>
      </c>
      <c r="E16" s="27" t="s">
        <v>53</v>
      </c>
      <c r="F16" s="27" t="s">
        <v>63</v>
      </c>
      <c r="G16" s="27">
        <v>4900129297</v>
      </c>
      <c r="H16" s="27" t="s">
        <v>54</v>
      </c>
      <c r="I16" s="28">
        <v>45288</v>
      </c>
      <c r="J16" s="27" t="s">
        <v>72</v>
      </c>
      <c r="K16" s="29">
        <v>-1</v>
      </c>
      <c r="L16" s="31">
        <v>1680000696970</v>
      </c>
      <c r="M16" s="28">
        <v>45288</v>
      </c>
      <c r="N16" s="30">
        <v>0.70821759259258998</v>
      </c>
      <c r="O16" s="27" t="s">
        <v>357</v>
      </c>
      <c r="P16" s="137"/>
      <c r="Q16" t="str">
        <f>IFERROR(IF((_xlfn.XLOOKUP(A16,'Set of Installation'!A:A,'Set of Installation'!C:C)+1)&gt;ABS(K16),"OK","Overusage"),"")</f>
        <v/>
      </c>
      <c r="R16" t="str">
        <f>_xlfn.XLOOKUP(C16,'Checking(ZSERIALS)'!E:E,'Checking(ZSERIALS)'!F:F)</f>
        <v>CHRISTBELLA CONSTRUCTION MANAGEMENT</v>
      </c>
    </row>
    <row r="17" spans="1:18" x14ac:dyDescent="0.3">
      <c r="A17" s="27">
        <v>10001003</v>
      </c>
      <c r="B17" s="27" t="s">
        <v>89</v>
      </c>
      <c r="C17" s="27">
        <v>4500866</v>
      </c>
      <c r="D17" s="27">
        <v>1000</v>
      </c>
      <c r="E17" s="27" t="s">
        <v>53</v>
      </c>
      <c r="F17" s="27" t="s">
        <v>63</v>
      </c>
      <c r="G17" s="27">
        <v>4900129225</v>
      </c>
      <c r="H17" s="27" t="s">
        <v>54</v>
      </c>
      <c r="I17" s="28">
        <v>45288</v>
      </c>
      <c r="J17" s="27" t="s">
        <v>72</v>
      </c>
      <c r="K17" s="29">
        <v>-1</v>
      </c>
      <c r="L17" s="31">
        <v>1680000696047</v>
      </c>
      <c r="M17" s="28">
        <v>45288</v>
      </c>
      <c r="N17" s="30">
        <v>0.69991898148148002</v>
      </c>
      <c r="O17" s="27" t="s">
        <v>354</v>
      </c>
      <c r="P17" s="137"/>
      <c r="Q17" t="str">
        <f>IFERROR(IF((_xlfn.XLOOKUP(A17,'Set of Installation'!A:A,'Set of Installation'!C:C)+1)&gt;ABS(K17),"OK","Overusage"),"")</f>
        <v/>
      </c>
      <c r="R17" t="str">
        <f>_xlfn.XLOOKUP(C17,'Checking(ZSERIALS)'!E:E,'Checking(ZSERIALS)'!F:F)</f>
        <v>CHRISTBELLA CONSTRUCTION MANAGEMENT</v>
      </c>
    </row>
    <row r="18" spans="1:18" x14ac:dyDescent="0.3">
      <c r="A18" s="27">
        <v>10001003</v>
      </c>
      <c r="B18" s="27" t="s">
        <v>89</v>
      </c>
      <c r="C18" s="27">
        <v>4500866</v>
      </c>
      <c r="D18" s="27">
        <v>1000</v>
      </c>
      <c r="E18" s="27" t="s">
        <v>53</v>
      </c>
      <c r="F18" s="27" t="s">
        <v>63</v>
      </c>
      <c r="G18" s="27">
        <v>4900129136</v>
      </c>
      <c r="H18" s="27" t="s">
        <v>54</v>
      </c>
      <c r="I18" s="28">
        <v>45288</v>
      </c>
      <c r="J18" s="27" t="s">
        <v>72</v>
      </c>
      <c r="K18" s="29">
        <v>-1</v>
      </c>
      <c r="L18" s="31">
        <v>1680000242746</v>
      </c>
      <c r="M18" s="28">
        <v>45288</v>
      </c>
      <c r="N18" s="30">
        <v>0.69295138888888996</v>
      </c>
      <c r="O18" s="27">
        <v>10996682679</v>
      </c>
      <c r="P18" s="137"/>
      <c r="Q18" t="str">
        <f>IFERROR(IF((_xlfn.XLOOKUP(A18,'Set of Installation'!A:A,'Set of Installation'!C:C)+1)&gt;ABS(K18),"OK","Overusage"),"")</f>
        <v/>
      </c>
      <c r="R18" t="str">
        <f>_xlfn.XLOOKUP(C18,'Checking(ZSERIALS)'!E:E,'Checking(ZSERIALS)'!F:F)</f>
        <v>CHRISTBELLA CONSTRUCTION MANAGEMENT</v>
      </c>
    </row>
    <row r="19" spans="1:18" x14ac:dyDescent="0.3">
      <c r="A19" s="27">
        <v>10001003</v>
      </c>
      <c r="B19" s="27" t="s">
        <v>89</v>
      </c>
      <c r="C19" s="27">
        <v>4500866</v>
      </c>
      <c r="D19" s="27">
        <v>1000</v>
      </c>
      <c r="E19" s="27" t="s">
        <v>53</v>
      </c>
      <c r="F19" s="27" t="s">
        <v>63</v>
      </c>
      <c r="G19" s="27">
        <v>4900126967</v>
      </c>
      <c r="H19" s="27" t="s">
        <v>54</v>
      </c>
      <c r="I19" s="28">
        <v>45288</v>
      </c>
      <c r="J19" s="27" t="s">
        <v>72</v>
      </c>
      <c r="K19" s="29">
        <v>-1</v>
      </c>
      <c r="L19" s="31">
        <v>1680000695397</v>
      </c>
      <c r="M19" s="28">
        <v>45288</v>
      </c>
      <c r="N19" s="30">
        <v>0.43184027777778</v>
      </c>
      <c r="O19" s="27" t="s">
        <v>343</v>
      </c>
      <c r="P19" s="137"/>
      <c r="Q19" t="str">
        <f>IFERROR(IF((_xlfn.XLOOKUP(A19,'Set of Installation'!A:A,'Set of Installation'!C:C)+1)&gt;ABS(K19),"OK","Overusage"),"")</f>
        <v/>
      </c>
      <c r="R19" t="str">
        <f>_xlfn.XLOOKUP(C19,'Checking(ZSERIALS)'!E:E,'Checking(ZSERIALS)'!F:F)</f>
        <v>CHRISTBELLA CONSTRUCTION MANAGEMENT</v>
      </c>
    </row>
    <row r="20" spans="1:18" x14ac:dyDescent="0.3">
      <c r="A20" s="27">
        <v>10001035</v>
      </c>
      <c r="B20" s="27" t="s">
        <v>90</v>
      </c>
      <c r="C20" s="27">
        <v>4500866</v>
      </c>
      <c r="D20" s="27">
        <v>1000</v>
      </c>
      <c r="E20" s="27" t="s">
        <v>53</v>
      </c>
      <c r="F20" s="27" t="s">
        <v>63</v>
      </c>
      <c r="G20" s="27">
        <v>4900065491</v>
      </c>
      <c r="H20" s="27" t="s">
        <v>54</v>
      </c>
      <c r="I20" s="28">
        <v>45307</v>
      </c>
      <c r="J20" s="27" t="s">
        <v>72</v>
      </c>
      <c r="K20" s="29">
        <v>-1</v>
      </c>
      <c r="L20" s="31">
        <v>1680000745079</v>
      </c>
      <c r="M20" s="28">
        <v>45307</v>
      </c>
      <c r="N20" s="30">
        <v>0.54667824074074001</v>
      </c>
      <c r="O20" s="27" t="s">
        <v>329</v>
      </c>
      <c r="P20" s="137"/>
      <c r="Q20" t="str">
        <f>IFERROR(IF((_xlfn.XLOOKUP(A20,'Set of Installation'!A:A,'Set of Installation'!C:C)+1)&gt;ABS(K20),"OK","Overusage"),"")</f>
        <v/>
      </c>
      <c r="R20" t="str">
        <f>_xlfn.XLOOKUP(C20,'Checking(ZSERIALS)'!E:E,'Checking(ZSERIALS)'!F:F)</f>
        <v>CHRISTBELLA CONSTRUCTION MANAGEMENT</v>
      </c>
    </row>
    <row r="21" spans="1:18" x14ac:dyDescent="0.3">
      <c r="A21" s="27">
        <v>10001035</v>
      </c>
      <c r="B21" s="27" t="s">
        <v>90</v>
      </c>
      <c r="C21" s="27">
        <v>4500866</v>
      </c>
      <c r="D21" s="27">
        <v>1000</v>
      </c>
      <c r="E21" s="27" t="s">
        <v>53</v>
      </c>
      <c r="F21" s="27" t="s">
        <v>63</v>
      </c>
      <c r="G21" s="27">
        <v>4900065057</v>
      </c>
      <c r="H21" s="27" t="s">
        <v>54</v>
      </c>
      <c r="I21" s="28">
        <v>45307</v>
      </c>
      <c r="J21" s="27" t="s">
        <v>72</v>
      </c>
      <c r="K21" s="29">
        <v>-1</v>
      </c>
      <c r="L21" s="31">
        <v>1680000745056</v>
      </c>
      <c r="M21" s="28">
        <v>45307</v>
      </c>
      <c r="N21" s="30">
        <v>0.49393518518518997</v>
      </c>
      <c r="O21" s="27" t="s">
        <v>326</v>
      </c>
      <c r="P21" s="137"/>
      <c r="Q21" t="str">
        <f>IFERROR(IF((_xlfn.XLOOKUP(A21,'Set of Installation'!A:A,'Set of Installation'!C:C)+1)&gt;ABS(K21),"OK","Overusage"),"")</f>
        <v/>
      </c>
      <c r="R21" t="str">
        <f>_xlfn.XLOOKUP(C21,'Checking(ZSERIALS)'!E:E,'Checking(ZSERIALS)'!F:F)</f>
        <v>CHRISTBELLA CONSTRUCTION MANAGEMENT</v>
      </c>
    </row>
    <row r="22" spans="1:18" x14ac:dyDescent="0.3">
      <c r="A22" s="27">
        <v>10001035</v>
      </c>
      <c r="B22" s="27" t="s">
        <v>90</v>
      </c>
      <c r="C22" s="27">
        <v>4500866</v>
      </c>
      <c r="D22" s="27">
        <v>1000</v>
      </c>
      <c r="E22" s="27" t="s">
        <v>53</v>
      </c>
      <c r="F22" s="27" t="s">
        <v>63</v>
      </c>
      <c r="G22" s="27">
        <v>4900060841</v>
      </c>
      <c r="H22" s="27" t="s">
        <v>54</v>
      </c>
      <c r="I22" s="28">
        <v>45306</v>
      </c>
      <c r="J22" s="27" t="s">
        <v>72</v>
      </c>
      <c r="K22" s="29">
        <v>-1</v>
      </c>
      <c r="L22" s="31">
        <v>1680000742601</v>
      </c>
      <c r="M22" s="28">
        <v>45306</v>
      </c>
      <c r="N22" s="30">
        <v>0.59667824074074005</v>
      </c>
      <c r="O22" s="27" t="s">
        <v>308</v>
      </c>
      <c r="P22" s="137"/>
      <c r="Q22" t="str">
        <f>IFERROR(IF((_xlfn.XLOOKUP(A22,'Set of Installation'!A:A,'Set of Installation'!C:C)+1)&gt;ABS(K22),"OK","Overusage"),"")</f>
        <v/>
      </c>
      <c r="R22" t="str">
        <f>_xlfn.XLOOKUP(C22,'Checking(ZSERIALS)'!E:E,'Checking(ZSERIALS)'!F:F)</f>
        <v>CHRISTBELLA CONSTRUCTION MANAGEMENT</v>
      </c>
    </row>
    <row r="23" spans="1:18" x14ac:dyDescent="0.3">
      <c r="A23" s="27">
        <v>10001035</v>
      </c>
      <c r="B23" s="27" t="s">
        <v>90</v>
      </c>
      <c r="C23" s="27">
        <v>4500866</v>
      </c>
      <c r="D23" s="27">
        <v>1000</v>
      </c>
      <c r="E23" s="27" t="s">
        <v>53</v>
      </c>
      <c r="F23" s="27" t="s">
        <v>63</v>
      </c>
      <c r="G23" s="27">
        <v>4900061189</v>
      </c>
      <c r="H23" s="27" t="s">
        <v>54</v>
      </c>
      <c r="I23" s="28">
        <v>45306</v>
      </c>
      <c r="J23" s="27" t="s">
        <v>72</v>
      </c>
      <c r="K23" s="29">
        <v>-1</v>
      </c>
      <c r="L23" s="31">
        <v>1680000740302</v>
      </c>
      <c r="M23" s="28">
        <v>45306</v>
      </c>
      <c r="N23" s="30">
        <v>0.63283564814814997</v>
      </c>
      <c r="O23" s="27" t="s">
        <v>311</v>
      </c>
      <c r="P23" s="137"/>
      <c r="Q23" t="str">
        <f>IFERROR(IF((_xlfn.XLOOKUP(A23,'Set of Installation'!A:A,'Set of Installation'!C:C)+1)&gt;ABS(K23),"OK","Overusage"),"")</f>
        <v/>
      </c>
      <c r="R23" t="str">
        <f>_xlfn.XLOOKUP(C23,'Checking(ZSERIALS)'!E:E,'Checking(ZSERIALS)'!F:F)</f>
        <v>CHRISTBELLA CONSTRUCTION MANAGEMENT</v>
      </c>
    </row>
    <row r="24" spans="1:18" x14ac:dyDescent="0.3">
      <c r="A24" s="27">
        <v>10001035</v>
      </c>
      <c r="B24" s="27" t="s">
        <v>90</v>
      </c>
      <c r="C24" s="27">
        <v>4500866</v>
      </c>
      <c r="D24" s="27">
        <v>1000</v>
      </c>
      <c r="E24" s="27" t="s">
        <v>53</v>
      </c>
      <c r="F24" s="27" t="s">
        <v>63</v>
      </c>
      <c r="G24" s="27">
        <v>4900061361</v>
      </c>
      <c r="H24" s="27" t="s">
        <v>54</v>
      </c>
      <c r="I24" s="28">
        <v>45306</v>
      </c>
      <c r="J24" s="27" t="s">
        <v>72</v>
      </c>
      <c r="K24" s="29">
        <v>-1</v>
      </c>
      <c r="L24" s="31">
        <v>1680000740804</v>
      </c>
      <c r="M24" s="28">
        <v>45306</v>
      </c>
      <c r="N24" s="30">
        <v>0.64531249999999996</v>
      </c>
      <c r="O24" s="27" t="s">
        <v>314</v>
      </c>
      <c r="P24" s="137"/>
      <c r="Q24" t="str">
        <f>IFERROR(IF((_xlfn.XLOOKUP(A24,'Set of Installation'!A:A,'Set of Installation'!C:C)+1)&gt;ABS(K24),"OK","Overusage"),"")</f>
        <v/>
      </c>
      <c r="R24" t="str">
        <f>_xlfn.XLOOKUP(C24,'Checking(ZSERIALS)'!E:E,'Checking(ZSERIALS)'!F:F)</f>
        <v>CHRISTBELLA CONSTRUCTION MANAGEMENT</v>
      </c>
    </row>
    <row r="25" spans="1:18" x14ac:dyDescent="0.3">
      <c r="A25" s="27">
        <v>10001035</v>
      </c>
      <c r="B25" s="27" t="s">
        <v>90</v>
      </c>
      <c r="C25" s="27">
        <v>4500866</v>
      </c>
      <c r="D25" s="27">
        <v>1000</v>
      </c>
      <c r="E25" s="27" t="s">
        <v>53</v>
      </c>
      <c r="F25" s="27" t="s">
        <v>63</v>
      </c>
      <c r="G25" s="27">
        <v>4900061599</v>
      </c>
      <c r="H25" s="27" t="s">
        <v>54</v>
      </c>
      <c r="I25" s="28">
        <v>45306</v>
      </c>
      <c r="J25" s="27" t="s">
        <v>72</v>
      </c>
      <c r="K25" s="29">
        <v>-1</v>
      </c>
      <c r="L25" s="31">
        <v>1680000743530</v>
      </c>
      <c r="M25" s="28">
        <v>45306</v>
      </c>
      <c r="N25" s="30">
        <v>0.66474537037036996</v>
      </c>
      <c r="O25" s="27" t="s">
        <v>317</v>
      </c>
      <c r="P25" s="137"/>
      <c r="Q25" t="str">
        <f>IFERROR(IF((_xlfn.XLOOKUP(A25,'Set of Installation'!A:A,'Set of Installation'!C:C)+1)&gt;ABS(K25),"OK","Overusage"),"")</f>
        <v/>
      </c>
      <c r="R25" t="str">
        <f>_xlfn.XLOOKUP(C25,'Checking(ZSERIALS)'!E:E,'Checking(ZSERIALS)'!F:F)</f>
        <v>CHRISTBELLA CONSTRUCTION MANAGEMENT</v>
      </c>
    </row>
    <row r="26" spans="1:18" x14ac:dyDescent="0.3">
      <c r="A26" s="27">
        <v>10001035</v>
      </c>
      <c r="B26" s="27" t="s">
        <v>90</v>
      </c>
      <c r="C26" s="27">
        <v>4500866</v>
      </c>
      <c r="D26" s="27">
        <v>1000</v>
      </c>
      <c r="E26" s="27" t="s">
        <v>53</v>
      </c>
      <c r="F26" s="27" t="s">
        <v>63</v>
      </c>
      <c r="G26" s="27">
        <v>4900061868</v>
      </c>
      <c r="H26" s="27" t="s">
        <v>54</v>
      </c>
      <c r="I26" s="28">
        <v>45306</v>
      </c>
      <c r="J26" s="27" t="s">
        <v>72</v>
      </c>
      <c r="K26" s="29">
        <v>-1</v>
      </c>
      <c r="L26" s="31">
        <v>1680000730411</v>
      </c>
      <c r="M26" s="28">
        <v>45306</v>
      </c>
      <c r="N26" s="30">
        <v>0.69109953703703997</v>
      </c>
      <c r="O26" s="27" t="s">
        <v>320</v>
      </c>
      <c r="P26" s="137"/>
      <c r="Q26" t="str">
        <f>IFERROR(IF((_xlfn.XLOOKUP(A26,'Set of Installation'!A:A,'Set of Installation'!C:C)+1)&gt;ABS(K26),"OK","Overusage"),"")</f>
        <v/>
      </c>
      <c r="R26" t="str">
        <f>_xlfn.XLOOKUP(C26,'Checking(ZSERIALS)'!E:E,'Checking(ZSERIALS)'!F:F)</f>
        <v>CHRISTBELLA CONSTRUCTION MANAGEMENT</v>
      </c>
    </row>
    <row r="27" spans="1:18" x14ac:dyDescent="0.3">
      <c r="A27" s="27">
        <v>10001035</v>
      </c>
      <c r="B27" s="27" t="s">
        <v>90</v>
      </c>
      <c r="C27" s="27">
        <v>4500866</v>
      </c>
      <c r="D27" s="27">
        <v>1000</v>
      </c>
      <c r="E27" s="27" t="s">
        <v>53</v>
      </c>
      <c r="F27" s="27" t="s">
        <v>63</v>
      </c>
      <c r="G27" s="27">
        <v>4900062311</v>
      </c>
      <c r="H27" s="27" t="s">
        <v>54</v>
      </c>
      <c r="I27" s="28">
        <v>45306</v>
      </c>
      <c r="J27" s="27" t="s">
        <v>72</v>
      </c>
      <c r="K27" s="29">
        <v>-1</v>
      </c>
      <c r="L27" s="31">
        <v>1680000743454</v>
      </c>
      <c r="M27" s="28">
        <v>45306</v>
      </c>
      <c r="N27" s="30">
        <v>0.73282407407407002</v>
      </c>
      <c r="O27" s="27" t="s">
        <v>323</v>
      </c>
      <c r="P27" s="137"/>
      <c r="Q27" t="str">
        <f>IFERROR(IF((_xlfn.XLOOKUP(A27,'Set of Installation'!A:A,'Set of Installation'!C:C)+1)&gt;ABS(K27),"OK","Overusage"),"")</f>
        <v/>
      </c>
      <c r="R27" t="str">
        <f>_xlfn.XLOOKUP(C27,'Checking(ZSERIALS)'!E:E,'Checking(ZSERIALS)'!F:F)</f>
        <v>CHRISTBELLA CONSTRUCTION MANAGEMENT</v>
      </c>
    </row>
    <row r="28" spans="1:18" x14ac:dyDescent="0.3">
      <c r="A28" s="27">
        <v>10001035</v>
      </c>
      <c r="B28" s="27" t="s">
        <v>90</v>
      </c>
      <c r="C28" s="27">
        <v>4500866</v>
      </c>
      <c r="D28" s="27">
        <v>1000</v>
      </c>
      <c r="E28" s="27" t="s">
        <v>53</v>
      </c>
      <c r="F28" s="27" t="s">
        <v>63</v>
      </c>
      <c r="G28" s="27">
        <v>4900055690</v>
      </c>
      <c r="H28" s="27" t="s">
        <v>54</v>
      </c>
      <c r="I28" s="28">
        <v>45305</v>
      </c>
      <c r="J28" s="27" t="s">
        <v>72</v>
      </c>
      <c r="K28" s="29">
        <v>-1</v>
      </c>
      <c r="L28" s="31">
        <v>1680000740218</v>
      </c>
      <c r="M28" s="28">
        <v>45305</v>
      </c>
      <c r="N28" s="30">
        <v>0.46054398148148001</v>
      </c>
      <c r="O28" s="27" t="s">
        <v>293</v>
      </c>
      <c r="P28" s="137"/>
      <c r="Q28" t="str">
        <f>IFERROR(IF((_xlfn.XLOOKUP(A28,'Set of Installation'!A:A,'Set of Installation'!C:C)+1)&gt;ABS(K28),"OK","Overusage"),"")</f>
        <v/>
      </c>
      <c r="R28" t="str">
        <f>_xlfn.XLOOKUP(C28,'Checking(ZSERIALS)'!E:E,'Checking(ZSERIALS)'!F:F)</f>
        <v>CHRISTBELLA CONSTRUCTION MANAGEMENT</v>
      </c>
    </row>
    <row r="29" spans="1:18" x14ac:dyDescent="0.3">
      <c r="A29" s="27">
        <v>10001035</v>
      </c>
      <c r="B29" s="27" t="s">
        <v>90</v>
      </c>
      <c r="C29" s="27">
        <v>4500866</v>
      </c>
      <c r="D29" s="27">
        <v>1000</v>
      </c>
      <c r="E29" s="27" t="s">
        <v>53</v>
      </c>
      <c r="F29" s="27" t="s">
        <v>63</v>
      </c>
      <c r="G29" s="27">
        <v>4900055723</v>
      </c>
      <c r="H29" s="27" t="s">
        <v>54</v>
      </c>
      <c r="I29" s="28">
        <v>45305</v>
      </c>
      <c r="J29" s="27" t="s">
        <v>72</v>
      </c>
      <c r="K29" s="29">
        <v>-1</v>
      </c>
      <c r="L29" s="31">
        <v>1680000735112</v>
      </c>
      <c r="M29" s="28">
        <v>45305</v>
      </c>
      <c r="N29" s="30">
        <v>0.46473379629630002</v>
      </c>
      <c r="O29" s="27" t="s">
        <v>296</v>
      </c>
      <c r="P29" s="137"/>
      <c r="Q29" t="str">
        <f>IFERROR(IF((_xlfn.XLOOKUP(A29,'Set of Installation'!A:A,'Set of Installation'!C:C)+1)&gt;ABS(K29),"OK","Overusage"),"")</f>
        <v/>
      </c>
      <c r="R29" t="str">
        <f>_xlfn.XLOOKUP(C29,'Checking(ZSERIALS)'!E:E,'Checking(ZSERIALS)'!F:F)</f>
        <v>CHRISTBELLA CONSTRUCTION MANAGEMENT</v>
      </c>
    </row>
    <row r="30" spans="1:18" x14ac:dyDescent="0.3">
      <c r="A30" s="27">
        <v>10001035</v>
      </c>
      <c r="B30" s="27" t="s">
        <v>90</v>
      </c>
      <c r="C30" s="27">
        <v>4500866</v>
      </c>
      <c r="D30" s="27">
        <v>1000</v>
      </c>
      <c r="E30" s="27" t="s">
        <v>53</v>
      </c>
      <c r="F30" s="27" t="s">
        <v>63</v>
      </c>
      <c r="G30" s="27">
        <v>4900056185</v>
      </c>
      <c r="H30" s="27" t="s">
        <v>54</v>
      </c>
      <c r="I30" s="28">
        <v>45305</v>
      </c>
      <c r="J30" s="27" t="s">
        <v>72</v>
      </c>
      <c r="K30" s="29">
        <v>-1</v>
      </c>
      <c r="L30" s="31">
        <v>1680000735786</v>
      </c>
      <c r="M30" s="28">
        <v>45305</v>
      </c>
      <c r="N30" s="30">
        <v>0.53276620370369998</v>
      </c>
      <c r="O30" s="27" t="s">
        <v>299</v>
      </c>
      <c r="P30" s="137"/>
      <c r="Q30" t="str">
        <f>IFERROR(IF((_xlfn.XLOOKUP(A30,'Set of Installation'!A:A,'Set of Installation'!C:C)+1)&gt;ABS(K30),"OK","Overusage"),"")</f>
        <v/>
      </c>
      <c r="R30" t="str">
        <f>_xlfn.XLOOKUP(C30,'Checking(ZSERIALS)'!E:E,'Checking(ZSERIALS)'!F:F)</f>
        <v>CHRISTBELLA CONSTRUCTION MANAGEMENT</v>
      </c>
    </row>
    <row r="31" spans="1:18" x14ac:dyDescent="0.3">
      <c r="A31" s="27">
        <v>10001035</v>
      </c>
      <c r="B31" s="27" t="s">
        <v>90</v>
      </c>
      <c r="C31" s="27">
        <v>4500866</v>
      </c>
      <c r="D31" s="27">
        <v>1000</v>
      </c>
      <c r="E31" s="27" t="s">
        <v>53</v>
      </c>
      <c r="F31" s="27" t="s">
        <v>63</v>
      </c>
      <c r="G31" s="27">
        <v>4900056475</v>
      </c>
      <c r="H31" s="27" t="s">
        <v>54</v>
      </c>
      <c r="I31" s="28">
        <v>45305</v>
      </c>
      <c r="J31" s="27" t="s">
        <v>72</v>
      </c>
      <c r="K31" s="29">
        <v>-1</v>
      </c>
      <c r="L31" s="31">
        <v>1680000737988</v>
      </c>
      <c r="M31" s="28">
        <v>45305</v>
      </c>
      <c r="N31" s="30">
        <v>0.58971064814815</v>
      </c>
      <c r="O31" s="27" t="s">
        <v>302</v>
      </c>
      <c r="P31" s="137"/>
      <c r="Q31" t="str">
        <f>IFERROR(IF((_xlfn.XLOOKUP(A31,'Set of Installation'!A:A,'Set of Installation'!C:C)+1)&gt;ABS(K31),"OK","Overusage"),"")</f>
        <v/>
      </c>
      <c r="R31" t="str">
        <f>_xlfn.XLOOKUP(C31,'Checking(ZSERIALS)'!E:E,'Checking(ZSERIALS)'!F:F)</f>
        <v>CHRISTBELLA CONSTRUCTION MANAGEMENT</v>
      </c>
    </row>
    <row r="32" spans="1:18" x14ac:dyDescent="0.3">
      <c r="A32" s="27">
        <v>10001035</v>
      </c>
      <c r="B32" s="27" t="s">
        <v>90</v>
      </c>
      <c r="C32" s="27">
        <v>4500866</v>
      </c>
      <c r="D32" s="27">
        <v>1000</v>
      </c>
      <c r="E32" s="27" t="s">
        <v>53</v>
      </c>
      <c r="F32" s="27" t="s">
        <v>63</v>
      </c>
      <c r="G32" s="27">
        <v>4900057687</v>
      </c>
      <c r="H32" s="27" t="s">
        <v>54</v>
      </c>
      <c r="I32" s="28">
        <v>45305</v>
      </c>
      <c r="J32" s="27" t="s">
        <v>72</v>
      </c>
      <c r="K32" s="29">
        <v>-1</v>
      </c>
      <c r="L32" s="31">
        <v>1680000730454</v>
      </c>
      <c r="M32" s="28">
        <v>45305</v>
      </c>
      <c r="N32" s="30">
        <v>0.76053240740741002</v>
      </c>
      <c r="O32" s="27" t="s">
        <v>305</v>
      </c>
      <c r="P32" s="137"/>
      <c r="Q32" t="str">
        <f>IFERROR(IF((_xlfn.XLOOKUP(A32,'Set of Installation'!A:A,'Set of Installation'!C:C)+1)&gt;ABS(K32),"OK","Overusage"),"")</f>
        <v/>
      </c>
      <c r="R32" t="str">
        <f>_xlfn.XLOOKUP(C32,'Checking(ZSERIALS)'!E:E,'Checking(ZSERIALS)'!F:F)</f>
        <v>CHRISTBELLA CONSTRUCTION MANAGEMENT</v>
      </c>
    </row>
    <row r="33" spans="1:18" x14ac:dyDescent="0.3">
      <c r="A33" s="27">
        <v>10001035</v>
      </c>
      <c r="B33" s="27" t="s">
        <v>90</v>
      </c>
      <c r="C33" s="27">
        <v>4500866</v>
      </c>
      <c r="D33" s="27">
        <v>1000</v>
      </c>
      <c r="E33" s="27" t="s">
        <v>53</v>
      </c>
      <c r="F33" s="27" t="s">
        <v>63</v>
      </c>
      <c r="G33" s="27">
        <v>4900051506</v>
      </c>
      <c r="H33" s="27" t="s">
        <v>54</v>
      </c>
      <c r="I33" s="28">
        <v>45304</v>
      </c>
      <c r="J33" s="27" t="s">
        <v>72</v>
      </c>
      <c r="K33" s="29">
        <v>-1</v>
      </c>
      <c r="L33" s="31">
        <v>1680000736512</v>
      </c>
      <c r="M33" s="28">
        <v>45304</v>
      </c>
      <c r="N33" s="30">
        <v>0.58831018518518996</v>
      </c>
      <c r="O33" s="27" t="s">
        <v>290</v>
      </c>
      <c r="P33" s="137"/>
      <c r="Q33" t="str">
        <f>IFERROR(IF((_xlfn.XLOOKUP(A33,'Set of Installation'!A:A,'Set of Installation'!C:C)+1)&gt;ABS(K33),"OK","Overusage"),"")</f>
        <v/>
      </c>
      <c r="R33" t="str">
        <f>_xlfn.XLOOKUP(C33,'Checking(ZSERIALS)'!E:E,'Checking(ZSERIALS)'!F:F)</f>
        <v>CHRISTBELLA CONSTRUCTION MANAGEMENT</v>
      </c>
    </row>
    <row r="34" spans="1:18" x14ac:dyDescent="0.3">
      <c r="A34" s="27">
        <v>10001035</v>
      </c>
      <c r="B34" s="27" t="s">
        <v>90</v>
      </c>
      <c r="C34" s="27">
        <v>4500866</v>
      </c>
      <c r="D34" s="27">
        <v>1000</v>
      </c>
      <c r="E34" s="27" t="s">
        <v>53</v>
      </c>
      <c r="F34" s="27" t="s">
        <v>63</v>
      </c>
      <c r="G34" s="27">
        <v>4900051045</v>
      </c>
      <c r="H34" s="27" t="s">
        <v>54</v>
      </c>
      <c r="I34" s="28">
        <v>45304</v>
      </c>
      <c r="J34" s="27" t="s">
        <v>72</v>
      </c>
      <c r="K34" s="29">
        <v>-1</v>
      </c>
      <c r="L34" s="31">
        <v>1680000725181</v>
      </c>
      <c r="M34" s="28">
        <v>45304</v>
      </c>
      <c r="N34" s="30">
        <v>0.54524305555555996</v>
      </c>
      <c r="O34" s="27" t="s">
        <v>287</v>
      </c>
      <c r="P34" s="137"/>
      <c r="Q34" t="str">
        <f>IFERROR(IF((_xlfn.XLOOKUP(A34,'Set of Installation'!A:A,'Set of Installation'!C:C)+1)&gt;ABS(K34),"OK","Overusage"),"")</f>
        <v/>
      </c>
      <c r="R34" t="str">
        <f>_xlfn.XLOOKUP(C34,'Checking(ZSERIALS)'!E:E,'Checking(ZSERIALS)'!F:F)</f>
        <v>CHRISTBELLA CONSTRUCTION MANAGEMENT</v>
      </c>
    </row>
    <row r="35" spans="1:18" x14ac:dyDescent="0.3">
      <c r="A35" s="27">
        <v>10001035</v>
      </c>
      <c r="B35" s="27" t="s">
        <v>90</v>
      </c>
      <c r="C35" s="27">
        <v>4500866</v>
      </c>
      <c r="D35" s="27">
        <v>1000</v>
      </c>
      <c r="E35" s="27" t="s">
        <v>53</v>
      </c>
      <c r="F35" s="27" t="s">
        <v>63</v>
      </c>
      <c r="G35" s="27">
        <v>4900045353</v>
      </c>
      <c r="H35" s="27" t="s">
        <v>54</v>
      </c>
      <c r="I35" s="28">
        <v>45303</v>
      </c>
      <c r="J35" s="27" t="s">
        <v>72</v>
      </c>
      <c r="K35" s="29">
        <v>-1</v>
      </c>
      <c r="L35" s="31">
        <v>1680000718073</v>
      </c>
      <c r="M35" s="28">
        <v>45303</v>
      </c>
      <c r="N35" s="30">
        <v>0.46890046296296001</v>
      </c>
      <c r="O35" s="27" t="s">
        <v>272</v>
      </c>
      <c r="P35" s="137"/>
      <c r="Q35" t="str">
        <f>IFERROR(IF((_xlfn.XLOOKUP(A35,'Set of Installation'!A:A,'Set of Installation'!C:C)+1)&gt;ABS(K35),"OK","Overusage"),"")</f>
        <v/>
      </c>
      <c r="R35" t="str">
        <f>_xlfn.XLOOKUP(C35,'Checking(ZSERIALS)'!E:E,'Checking(ZSERIALS)'!F:F)</f>
        <v>CHRISTBELLA CONSTRUCTION MANAGEMENT</v>
      </c>
    </row>
    <row r="36" spans="1:18" x14ac:dyDescent="0.3">
      <c r="A36" s="27">
        <v>10001035</v>
      </c>
      <c r="B36" s="27" t="s">
        <v>90</v>
      </c>
      <c r="C36" s="27">
        <v>4500866</v>
      </c>
      <c r="D36" s="27">
        <v>1000</v>
      </c>
      <c r="E36" s="27" t="s">
        <v>53</v>
      </c>
      <c r="F36" s="27" t="s">
        <v>63</v>
      </c>
      <c r="G36" s="27">
        <v>4900045906</v>
      </c>
      <c r="H36" s="27" t="s">
        <v>54</v>
      </c>
      <c r="I36" s="28">
        <v>45303</v>
      </c>
      <c r="J36" s="27" t="s">
        <v>72</v>
      </c>
      <c r="K36" s="29">
        <v>-1</v>
      </c>
      <c r="L36" s="31">
        <v>1680000734062</v>
      </c>
      <c r="M36" s="28">
        <v>45303</v>
      </c>
      <c r="N36" s="30">
        <v>0.53274305555556001</v>
      </c>
      <c r="O36" s="27" t="s">
        <v>275</v>
      </c>
      <c r="P36" s="137"/>
      <c r="Q36" t="str">
        <f>IFERROR(IF((_xlfn.XLOOKUP(A36,'Set of Installation'!A:A,'Set of Installation'!C:C)+1)&gt;ABS(K36),"OK","Overusage"),"")</f>
        <v/>
      </c>
      <c r="R36" t="str">
        <f>_xlfn.XLOOKUP(C36,'Checking(ZSERIALS)'!E:E,'Checking(ZSERIALS)'!F:F)</f>
        <v>CHRISTBELLA CONSTRUCTION MANAGEMENT</v>
      </c>
    </row>
    <row r="37" spans="1:18" x14ac:dyDescent="0.3">
      <c r="A37" s="27">
        <v>10001035</v>
      </c>
      <c r="B37" s="27" t="s">
        <v>90</v>
      </c>
      <c r="C37" s="27">
        <v>4500866</v>
      </c>
      <c r="D37" s="27">
        <v>1000</v>
      </c>
      <c r="E37" s="27" t="s">
        <v>53</v>
      </c>
      <c r="F37" s="27" t="s">
        <v>63</v>
      </c>
      <c r="G37" s="27">
        <v>4900047382</v>
      </c>
      <c r="H37" s="27" t="s">
        <v>54</v>
      </c>
      <c r="I37" s="28">
        <v>45303</v>
      </c>
      <c r="J37" s="27" t="s">
        <v>72</v>
      </c>
      <c r="K37" s="29">
        <v>-1</v>
      </c>
      <c r="L37" s="31">
        <v>1680000734654</v>
      </c>
      <c r="M37" s="28">
        <v>45303</v>
      </c>
      <c r="N37" s="30">
        <v>0.67997685185184997</v>
      </c>
      <c r="O37" s="27" t="s">
        <v>278</v>
      </c>
      <c r="P37" s="137"/>
      <c r="Q37" t="str">
        <f>IFERROR(IF((_xlfn.XLOOKUP(A37,'Set of Installation'!A:A,'Set of Installation'!C:C)+1)&gt;ABS(K37),"OK","Overusage"),"")</f>
        <v/>
      </c>
      <c r="R37" t="str">
        <f>_xlfn.XLOOKUP(C37,'Checking(ZSERIALS)'!E:E,'Checking(ZSERIALS)'!F:F)</f>
        <v>CHRISTBELLA CONSTRUCTION MANAGEMENT</v>
      </c>
    </row>
    <row r="38" spans="1:18" x14ac:dyDescent="0.3">
      <c r="A38" s="27">
        <v>10001035</v>
      </c>
      <c r="B38" s="27" t="s">
        <v>90</v>
      </c>
      <c r="C38" s="27">
        <v>4500866</v>
      </c>
      <c r="D38" s="27">
        <v>1000</v>
      </c>
      <c r="E38" s="27" t="s">
        <v>53</v>
      </c>
      <c r="F38" s="27" t="s">
        <v>63</v>
      </c>
      <c r="G38" s="27">
        <v>4900048170</v>
      </c>
      <c r="H38" s="27" t="s">
        <v>54</v>
      </c>
      <c r="I38" s="28">
        <v>45303</v>
      </c>
      <c r="J38" s="27" t="s">
        <v>72</v>
      </c>
      <c r="K38" s="29">
        <v>-1</v>
      </c>
      <c r="L38" s="31">
        <v>1680000734332</v>
      </c>
      <c r="M38" s="28">
        <v>45303</v>
      </c>
      <c r="N38" s="30">
        <v>0.75217592592592997</v>
      </c>
      <c r="O38" s="27" t="s">
        <v>281</v>
      </c>
      <c r="P38" s="137"/>
      <c r="Q38" t="str">
        <f>IFERROR(IF((_xlfn.XLOOKUP(A38,'Set of Installation'!A:A,'Set of Installation'!C:C)+1)&gt;ABS(K38),"OK","Overusage"),"")</f>
        <v/>
      </c>
      <c r="R38" t="str">
        <f>_xlfn.XLOOKUP(C38,'Checking(ZSERIALS)'!E:E,'Checking(ZSERIALS)'!F:F)</f>
        <v>CHRISTBELLA CONSTRUCTION MANAGEMENT</v>
      </c>
    </row>
    <row r="39" spans="1:18" x14ac:dyDescent="0.3">
      <c r="A39" s="27">
        <v>10001035</v>
      </c>
      <c r="B39" s="27" t="s">
        <v>90</v>
      </c>
      <c r="C39" s="27">
        <v>4500866</v>
      </c>
      <c r="D39" s="27">
        <v>1000</v>
      </c>
      <c r="E39" s="27" t="s">
        <v>53</v>
      </c>
      <c r="F39" s="27" t="s">
        <v>63</v>
      </c>
      <c r="G39" s="27">
        <v>4900048388</v>
      </c>
      <c r="H39" s="27" t="s">
        <v>54</v>
      </c>
      <c r="I39" s="28">
        <v>45303</v>
      </c>
      <c r="J39" s="27" t="s">
        <v>72</v>
      </c>
      <c r="K39" s="29">
        <v>-1</v>
      </c>
      <c r="L39" s="31">
        <v>1680000735675</v>
      </c>
      <c r="M39" s="28">
        <v>45303</v>
      </c>
      <c r="N39" s="30">
        <v>0.77858796296295996</v>
      </c>
      <c r="O39" s="27" t="s">
        <v>284</v>
      </c>
      <c r="P39" s="137"/>
      <c r="Q39" t="str">
        <f>IFERROR(IF((_xlfn.XLOOKUP(A39,'Set of Installation'!A:A,'Set of Installation'!C:C)+1)&gt;ABS(K39),"OK","Overusage"),"")</f>
        <v/>
      </c>
      <c r="R39" t="str">
        <f>_xlfn.XLOOKUP(C39,'Checking(ZSERIALS)'!E:E,'Checking(ZSERIALS)'!F:F)</f>
        <v>CHRISTBELLA CONSTRUCTION MANAGEMENT</v>
      </c>
    </row>
    <row r="40" spans="1:18" x14ac:dyDescent="0.3">
      <c r="A40" s="27">
        <v>10001035</v>
      </c>
      <c r="B40" s="27" t="s">
        <v>90</v>
      </c>
      <c r="C40" s="27">
        <v>4500866</v>
      </c>
      <c r="D40" s="27">
        <v>1000</v>
      </c>
      <c r="E40" s="27" t="s">
        <v>53</v>
      </c>
      <c r="F40" s="27" t="s">
        <v>63</v>
      </c>
      <c r="G40" s="27">
        <v>4900043305</v>
      </c>
      <c r="H40" s="27" t="s">
        <v>54</v>
      </c>
      <c r="I40" s="28">
        <v>45302</v>
      </c>
      <c r="J40" s="27" t="s">
        <v>72</v>
      </c>
      <c r="K40" s="29">
        <v>-1</v>
      </c>
      <c r="L40" s="31">
        <v>1680000729267</v>
      </c>
      <c r="M40" s="28">
        <v>45302</v>
      </c>
      <c r="N40" s="30">
        <v>0.75775462962963003</v>
      </c>
      <c r="O40" s="27" t="s">
        <v>263</v>
      </c>
      <c r="P40" s="137"/>
      <c r="Q40" t="str">
        <f>IFERROR(IF((_xlfn.XLOOKUP(A40,'Set of Installation'!A:A,'Set of Installation'!C:C)+1)&gt;ABS(K40),"OK","Overusage"),"")</f>
        <v/>
      </c>
      <c r="R40" t="str">
        <f>_xlfn.XLOOKUP(C40,'Checking(ZSERIALS)'!E:E,'Checking(ZSERIALS)'!F:F)</f>
        <v>CHRISTBELLA CONSTRUCTION MANAGEMENT</v>
      </c>
    </row>
    <row r="41" spans="1:18" x14ac:dyDescent="0.3">
      <c r="A41" s="27">
        <v>10001035</v>
      </c>
      <c r="B41" s="27" t="s">
        <v>90</v>
      </c>
      <c r="C41" s="27">
        <v>4500866</v>
      </c>
      <c r="D41" s="27">
        <v>1000</v>
      </c>
      <c r="E41" s="27" t="s">
        <v>53</v>
      </c>
      <c r="F41" s="27" t="s">
        <v>63</v>
      </c>
      <c r="G41" s="27">
        <v>4900043347</v>
      </c>
      <c r="H41" s="27" t="s">
        <v>54</v>
      </c>
      <c r="I41" s="28">
        <v>45302</v>
      </c>
      <c r="J41" s="27" t="s">
        <v>72</v>
      </c>
      <c r="K41" s="29">
        <v>-1</v>
      </c>
      <c r="L41" s="31">
        <v>1680000720805</v>
      </c>
      <c r="M41" s="28">
        <v>45302</v>
      </c>
      <c r="N41" s="30">
        <v>0.76328703703704004</v>
      </c>
      <c r="O41" s="27" t="s">
        <v>266</v>
      </c>
      <c r="P41" s="137"/>
      <c r="Q41" t="str">
        <f>IFERROR(IF((_xlfn.XLOOKUP(A41,'Set of Installation'!A:A,'Set of Installation'!C:C)+1)&gt;ABS(K41),"OK","Overusage"),"")</f>
        <v/>
      </c>
      <c r="R41" t="str">
        <f>_xlfn.XLOOKUP(C41,'Checking(ZSERIALS)'!E:E,'Checking(ZSERIALS)'!F:F)</f>
        <v>CHRISTBELLA CONSTRUCTION MANAGEMENT</v>
      </c>
    </row>
    <row r="42" spans="1:18" x14ac:dyDescent="0.3">
      <c r="A42" s="27">
        <v>10001035</v>
      </c>
      <c r="B42" s="27" t="s">
        <v>90</v>
      </c>
      <c r="C42" s="27">
        <v>4500866</v>
      </c>
      <c r="D42" s="27">
        <v>1000</v>
      </c>
      <c r="E42" s="27" t="s">
        <v>53</v>
      </c>
      <c r="F42" s="27" t="s">
        <v>63</v>
      </c>
      <c r="G42" s="27">
        <v>4900041914</v>
      </c>
      <c r="H42" s="27" t="s">
        <v>54</v>
      </c>
      <c r="I42" s="28">
        <v>45302</v>
      </c>
      <c r="J42" s="27" t="s">
        <v>72</v>
      </c>
      <c r="K42" s="29">
        <v>-1</v>
      </c>
      <c r="L42" s="31">
        <v>1680000730388</v>
      </c>
      <c r="M42" s="28">
        <v>45302</v>
      </c>
      <c r="N42" s="30">
        <v>0.64245370370370003</v>
      </c>
      <c r="O42" s="27" t="s">
        <v>254</v>
      </c>
      <c r="P42" s="137"/>
      <c r="Q42" t="str">
        <f>IFERROR(IF((_xlfn.XLOOKUP(A42,'Set of Installation'!A:A,'Set of Installation'!C:C)+1)&gt;ABS(K42),"OK","Overusage"),"")</f>
        <v/>
      </c>
      <c r="R42" t="str">
        <f>_xlfn.XLOOKUP(C42,'Checking(ZSERIALS)'!E:E,'Checking(ZSERIALS)'!F:F)</f>
        <v>CHRISTBELLA CONSTRUCTION MANAGEMENT</v>
      </c>
    </row>
    <row r="43" spans="1:18" x14ac:dyDescent="0.3">
      <c r="A43" s="27">
        <v>10001035</v>
      </c>
      <c r="B43" s="27" t="s">
        <v>90</v>
      </c>
      <c r="C43" s="27">
        <v>4500866</v>
      </c>
      <c r="D43" s="27">
        <v>1000</v>
      </c>
      <c r="E43" s="27" t="s">
        <v>53</v>
      </c>
      <c r="F43" s="27" t="s">
        <v>63</v>
      </c>
      <c r="G43" s="27">
        <v>4900040733</v>
      </c>
      <c r="H43" s="27" t="s">
        <v>54</v>
      </c>
      <c r="I43" s="28">
        <v>45302</v>
      </c>
      <c r="J43" s="27" t="s">
        <v>72</v>
      </c>
      <c r="K43" s="29">
        <v>-1</v>
      </c>
      <c r="L43" s="31">
        <v>1680000728212</v>
      </c>
      <c r="M43" s="28">
        <v>45302</v>
      </c>
      <c r="N43" s="30">
        <v>0.51744212962962999</v>
      </c>
      <c r="O43" s="27" t="s">
        <v>251</v>
      </c>
      <c r="P43" s="137"/>
      <c r="Q43" t="str">
        <f>IFERROR(IF((_xlfn.XLOOKUP(A43,'Set of Installation'!A:A,'Set of Installation'!C:C)+1)&gt;ABS(K43),"OK","Overusage"),"")</f>
        <v/>
      </c>
      <c r="R43" t="str">
        <f>_xlfn.XLOOKUP(C43,'Checking(ZSERIALS)'!E:E,'Checking(ZSERIALS)'!F:F)</f>
        <v>CHRISTBELLA CONSTRUCTION MANAGEMENT</v>
      </c>
    </row>
    <row r="44" spans="1:18" x14ac:dyDescent="0.3">
      <c r="A44" s="27">
        <v>10001035</v>
      </c>
      <c r="B44" s="27" t="s">
        <v>90</v>
      </c>
      <c r="C44" s="27">
        <v>4500866</v>
      </c>
      <c r="D44" s="27">
        <v>1000</v>
      </c>
      <c r="E44" s="27" t="s">
        <v>53</v>
      </c>
      <c r="F44" s="27" t="s">
        <v>63</v>
      </c>
      <c r="G44" s="27">
        <v>4900042947</v>
      </c>
      <c r="H44" s="27" t="s">
        <v>54</v>
      </c>
      <c r="I44" s="28">
        <v>45302</v>
      </c>
      <c r="J44" s="27" t="s">
        <v>72</v>
      </c>
      <c r="K44" s="29">
        <v>-1</v>
      </c>
      <c r="L44" s="31">
        <v>1680000726647</v>
      </c>
      <c r="M44" s="28">
        <v>45302</v>
      </c>
      <c r="N44" s="30">
        <v>0.72857638888888998</v>
      </c>
      <c r="O44" s="27" t="s">
        <v>260</v>
      </c>
      <c r="P44" s="137"/>
      <c r="Q44" t="str">
        <f>IFERROR(IF((_xlfn.XLOOKUP(A44,'Set of Installation'!A:A,'Set of Installation'!C:C)+1)&gt;ABS(K44),"OK","Overusage"),"")</f>
        <v/>
      </c>
      <c r="R44" t="str">
        <f>_xlfn.XLOOKUP(C44,'Checking(ZSERIALS)'!E:E,'Checking(ZSERIALS)'!F:F)</f>
        <v>CHRISTBELLA CONSTRUCTION MANAGEMENT</v>
      </c>
    </row>
    <row r="45" spans="1:18" x14ac:dyDescent="0.3">
      <c r="A45" s="27">
        <v>10001035</v>
      </c>
      <c r="B45" s="27" t="s">
        <v>90</v>
      </c>
      <c r="C45" s="27">
        <v>4500866</v>
      </c>
      <c r="D45" s="27">
        <v>1000</v>
      </c>
      <c r="E45" s="27" t="s">
        <v>53</v>
      </c>
      <c r="F45" s="27" t="s">
        <v>63</v>
      </c>
      <c r="G45" s="27">
        <v>4900040448</v>
      </c>
      <c r="H45" s="27" t="s">
        <v>54</v>
      </c>
      <c r="I45" s="28">
        <v>45302</v>
      </c>
      <c r="J45" s="27" t="s">
        <v>72</v>
      </c>
      <c r="K45" s="29">
        <v>-1</v>
      </c>
      <c r="L45" s="31">
        <v>1680000728514</v>
      </c>
      <c r="M45" s="28">
        <v>45302</v>
      </c>
      <c r="N45" s="30">
        <v>0.47854166666666997</v>
      </c>
      <c r="O45" s="27" t="s">
        <v>248</v>
      </c>
      <c r="P45" s="137"/>
      <c r="Q45" t="str">
        <f>IFERROR(IF((_xlfn.XLOOKUP(A45,'Set of Installation'!A:A,'Set of Installation'!C:C)+1)&gt;ABS(K45),"OK","Overusage"),"")</f>
        <v/>
      </c>
      <c r="R45" t="str">
        <f>_xlfn.XLOOKUP(C45,'Checking(ZSERIALS)'!E:E,'Checking(ZSERIALS)'!F:F)</f>
        <v>CHRISTBELLA CONSTRUCTION MANAGEMENT</v>
      </c>
    </row>
    <row r="46" spans="1:18" x14ac:dyDescent="0.3">
      <c r="A46" s="27">
        <v>10001035</v>
      </c>
      <c r="B46" s="27" t="s">
        <v>90</v>
      </c>
      <c r="C46" s="27">
        <v>4500866</v>
      </c>
      <c r="D46" s="27">
        <v>1000</v>
      </c>
      <c r="E46" s="27" t="s">
        <v>53</v>
      </c>
      <c r="F46" s="27" t="s">
        <v>63</v>
      </c>
      <c r="G46" s="27">
        <v>4900039979</v>
      </c>
      <c r="H46" s="27" t="s">
        <v>54</v>
      </c>
      <c r="I46" s="28">
        <v>45302</v>
      </c>
      <c r="J46" s="27" t="s">
        <v>72</v>
      </c>
      <c r="K46" s="29">
        <v>-1</v>
      </c>
      <c r="L46" s="31">
        <v>1680000728563</v>
      </c>
      <c r="M46" s="28">
        <v>45302</v>
      </c>
      <c r="N46" s="30">
        <v>0.41468749999999999</v>
      </c>
      <c r="O46" s="27" t="s">
        <v>239</v>
      </c>
      <c r="P46" s="137"/>
      <c r="Q46" t="str">
        <f>IFERROR(IF((_xlfn.XLOOKUP(A46,'Set of Installation'!A:A,'Set of Installation'!C:C)+1)&gt;ABS(K46),"OK","Overusage"),"")</f>
        <v/>
      </c>
      <c r="R46" t="str">
        <f>_xlfn.XLOOKUP(C46,'Checking(ZSERIALS)'!E:E,'Checking(ZSERIALS)'!F:F)</f>
        <v>CHRISTBELLA CONSTRUCTION MANAGEMENT</v>
      </c>
    </row>
    <row r="47" spans="1:18" x14ac:dyDescent="0.3">
      <c r="A47" s="27">
        <v>10001035</v>
      </c>
      <c r="B47" s="27" t="s">
        <v>90</v>
      </c>
      <c r="C47" s="27">
        <v>4500866</v>
      </c>
      <c r="D47" s="27">
        <v>1000</v>
      </c>
      <c r="E47" s="27" t="s">
        <v>53</v>
      </c>
      <c r="F47" s="27" t="s">
        <v>63</v>
      </c>
      <c r="G47" s="27">
        <v>4900040029</v>
      </c>
      <c r="H47" s="27" t="s">
        <v>54</v>
      </c>
      <c r="I47" s="28">
        <v>45302</v>
      </c>
      <c r="J47" s="27" t="s">
        <v>72</v>
      </c>
      <c r="K47" s="29">
        <v>-1</v>
      </c>
      <c r="L47" s="31">
        <v>1680000728217</v>
      </c>
      <c r="M47" s="28">
        <v>45302</v>
      </c>
      <c r="N47" s="30">
        <v>0.42299768518518999</v>
      </c>
      <c r="O47" s="27" t="s">
        <v>242</v>
      </c>
      <c r="P47" s="137"/>
      <c r="Q47" t="str">
        <f>IFERROR(IF((_xlfn.XLOOKUP(A47,'Set of Installation'!A:A,'Set of Installation'!C:C)+1)&gt;ABS(K47),"OK","Overusage"),"")</f>
        <v/>
      </c>
      <c r="R47" t="str">
        <f>_xlfn.XLOOKUP(C47,'Checking(ZSERIALS)'!E:E,'Checking(ZSERIALS)'!F:F)</f>
        <v>CHRISTBELLA CONSTRUCTION MANAGEMENT</v>
      </c>
    </row>
    <row r="48" spans="1:18" x14ac:dyDescent="0.3">
      <c r="A48" s="27">
        <v>10001035</v>
      </c>
      <c r="B48" s="27" t="s">
        <v>90</v>
      </c>
      <c r="C48" s="27">
        <v>4500866</v>
      </c>
      <c r="D48" s="27">
        <v>1000</v>
      </c>
      <c r="E48" s="27" t="s">
        <v>53</v>
      </c>
      <c r="F48" s="27" t="s">
        <v>63</v>
      </c>
      <c r="G48" s="27">
        <v>4900043499</v>
      </c>
      <c r="H48" s="27" t="s">
        <v>54</v>
      </c>
      <c r="I48" s="28">
        <v>45302</v>
      </c>
      <c r="J48" s="27" t="s">
        <v>72</v>
      </c>
      <c r="K48" s="29">
        <v>-1</v>
      </c>
      <c r="L48" s="31">
        <v>1680000729213</v>
      </c>
      <c r="M48" s="28">
        <v>45302</v>
      </c>
      <c r="N48" s="30">
        <v>0.77858796296295996</v>
      </c>
      <c r="O48" s="27" t="s">
        <v>269</v>
      </c>
      <c r="P48" s="137"/>
      <c r="Q48" t="str">
        <f>IFERROR(IF((_xlfn.XLOOKUP(A48,'Set of Installation'!A:A,'Set of Installation'!C:C)+1)&gt;ABS(K48),"OK","Overusage"),"")</f>
        <v/>
      </c>
      <c r="R48" t="str">
        <f>_xlfn.XLOOKUP(C48,'Checking(ZSERIALS)'!E:E,'Checking(ZSERIALS)'!F:F)</f>
        <v>CHRISTBELLA CONSTRUCTION MANAGEMENT</v>
      </c>
    </row>
    <row r="49" spans="1:18" x14ac:dyDescent="0.3">
      <c r="A49" s="27">
        <v>10001035</v>
      </c>
      <c r="B49" s="27" t="s">
        <v>90</v>
      </c>
      <c r="C49" s="27">
        <v>4500866</v>
      </c>
      <c r="D49" s="27">
        <v>1000</v>
      </c>
      <c r="E49" s="27" t="s">
        <v>53</v>
      </c>
      <c r="F49" s="27" t="s">
        <v>63</v>
      </c>
      <c r="G49" s="27">
        <v>4900040435</v>
      </c>
      <c r="H49" s="27" t="s">
        <v>54</v>
      </c>
      <c r="I49" s="28">
        <v>45302</v>
      </c>
      <c r="J49" s="27" t="s">
        <v>72</v>
      </c>
      <c r="K49" s="29">
        <v>-1</v>
      </c>
      <c r="L49" s="31">
        <v>1680000725722</v>
      </c>
      <c r="M49" s="28">
        <v>45302</v>
      </c>
      <c r="N49" s="30">
        <v>0.47716435185185002</v>
      </c>
      <c r="O49" s="27" t="s">
        <v>245</v>
      </c>
      <c r="P49" s="137"/>
      <c r="Q49" t="str">
        <f>IFERROR(IF((_xlfn.XLOOKUP(A49,'Set of Installation'!A:A,'Set of Installation'!C:C)+1)&gt;ABS(K49),"OK","Overusage"),"")</f>
        <v/>
      </c>
      <c r="R49" t="str">
        <f>_xlfn.XLOOKUP(C49,'Checking(ZSERIALS)'!E:E,'Checking(ZSERIALS)'!F:F)</f>
        <v>CHRISTBELLA CONSTRUCTION MANAGEMENT</v>
      </c>
    </row>
    <row r="50" spans="1:18" x14ac:dyDescent="0.3">
      <c r="A50" s="27">
        <v>10001035</v>
      </c>
      <c r="B50" s="27" t="s">
        <v>90</v>
      </c>
      <c r="C50" s="27">
        <v>4500866</v>
      </c>
      <c r="D50" s="27">
        <v>1000</v>
      </c>
      <c r="E50" s="27" t="s">
        <v>53</v>
      </c>
      <c r="F50" s="27" t="s">
        <v>63</v>
      </c>
      <c r="G50" s="27">
        <v>4900042492</v>
      </c>
      <c r="H50" s="27" t="s">
        <v>54</v>
      </c>
      <c r="I50" s="28">
        <v>45302</v>
      </c>
      <c r="J50" s="27" t="s">
        <v>72</v>
      </c>
      <c r="K50" s="29">
        <v>-1</v>
      </c>
      <c r="L50" s="31">
        <v>1680000728388</v>
      </c>
      <c r="M50" s="28">
        <v>45302</v>
      </c>
      <c r="N50" s="30">
        <v>0.68829861111111001</v>
      </c>
      <c r="O50" s="27" t="s">
        <v>257</v>
      </c>
      <c r="P50" s="137"/>
      <c r="Q50" t="str">
        <f>IFERROR(IF((_xlfn.XLOOKUP(A50,'Set of Installation'!A:A,'Set of Installation'!C:C)+1)&gt;ABS(K50),"OK","Overusage"),"")</f>
        <v/>
      </c>
      <c r="R50" t="str">
        <f>_xlfn.XLOOKUP(C50,'Checking(ZSERIALS)'!E:E,'Checking(ZSERIALS)'!F:F)</f>
        <v>CHRISTBELLA CONSTRUCTION MANAGEMENT</v>
      </c>
    </row>
    <row r="51" spans="1:18" x14ac:dyDescent="0.3">
      <c r="A51" s="27">
        <v>10001035</v>
      </c>
      <c r="B51" s="27" t="s">
        <v>90</v>
      </c>
      <c r="C51" s="27">
        <v>4500866</v>
      </c>
      <c r="D51" s="27">
        <v>1000</v>
      </c>
      <c r="E51" s="27" t="s">
        <v>53</v>
      </c>
      <c r="F51" s="27" t="s">
        <v>63</v>
      </c>
      <c r="G51" s="27">
        <v>4900035702</v>
      </c>
      <c r="H51" s="27" t="s">
        <v>54</v>
      </c>
      <c r="I51" s="28">
        <v>45301</v>
      </c>
      <c r="J51" s="27" t="s">
        <v>72</v>
      </c>
      <c r="K51" s="29">
        <v>-1</v>
      </c>
      <c r="L51" s="31">
        <v>1680000724825</v>
      </c>
      <c r="M51" s="28">
        <v>45301</v>
      </c>
      <c r="N51" s="30">
        <v>0.50910879629630001</v>
      </c>
      <c r="O51" s="27" t="s">
        <v>212</v>
      </c>
      <c r="P51" s="137"/>
      <c r="Q51" t="str">
        <f>IFERROR(IF((_xlfn.XLOOKUP(A51,'Set of Installation'!A:A,'Set of Installation'!C:C)+1)&gt;ABS(K51),"OK","Overusage"),"")</f>
        <v/>
      </c>
      <c r="R51" t="str">
        <f>_xlfn.XLOOKUP(C51,'Checking(ZSERIALS)'!E:E,'Checking(ZSERIALS)'!F:F)</f>
        <v>CHRISTBELLA CONSTRUCTION MANAGEMENT</v>
      </c>
    </row>
    <row r="52" spans="1:18" x14ac:dyDescent="0.3">
      <c r="A52" s="27">
        <v>10001035</v>
      </c>
      <c r="B52" s="27" t="s">
        <v>90</v>
      </c>
      <c r="C52" s="27">
        <v>4500866</v>
      </c>
      <c r="D52" s="27">
        <v>1000</v>
      </c>
      <c r="E52" s="27" t="s">
        <v>53</v>
      </c>
      <c r="F52" s="27" t="s">
        <v>63</v>
      </c>
      <c r="G52" s="27">
        <v>4900035644</v>
      </c>
      <c r="H52" s="27" t="s">
        <v>54</v>
      </c>
      <c r="I52" s="28">
        <v>45301</v>
      </c>
      <c r="J52" s="27" t="s">
        <v>72</v>
      </c>
      <c r="K52" s="29">
        <v>-1</v>
      </c>
      <c r="L52" s="31">
        <v>1680000725440</v>
      </c>
      <c r="M52" s="28">
        <v>45301</v>
      </c>
      <c r="N52" s="30">
        <v>0.50354166666667</v>
      </c>
      <c r="O52" s="27" t="s">
        <v>209</v>
      </c>
      <c r="P52" s="137"/>
      <c r="Q52" t="str">
        <f>IFERROR(IF((_xlfn.XLOOKUP(A52,'Set of Installation'!A:A,'Set of Installation'!C:C)+1)&gt;ABS(K52),"OK","Overusage"),"")</f>
        <v/>
      </c>
      <c r="R52" t="str">
        <f>_xlfn.XLOOKUP(C52,'Checking(ZSERIALS)'!E:E,'Checking(ZSERIALS)'!F:F)</f>
        <v>CHRISTBELLA CONSTRUCTION MANAGEMENT</v>
      </c>
    </row>
    <row r="53" spans="1:18" x14ac:dyDescent="0.3">
      <c r="A53" s="27">
        <v>10001035</v>
      </c>
      <c r="B53" s="27" t="s">
        <v>90</v>
      </c>
      <c r="C53" s="27">
        <v>4500866</v>
      </c>
      <c r="D53" s="27">
        <v>1000</v>
      </c>
      <c r="E53" s="27" t="s">
        <v>53</v>
      </c>
      <c r="F53" s="27" t="s">
        <v>63</v>
      </c>
      <c r="G53" s="27">
        <v>4900036098</v>
      </c>
      <c r="H53" s="27" t="s">
        <v>54</v>
      </c>
      <c r="I53" s="28">
        <v>45301</v>
      </c>
      <c r="J53" s="27" t="s">
        <v>72</v>
      </c>
      <c r="K53" s="29">
        <v>-1</v>
      </c>
      <c r="L53" s="31">
        <v>1680000724851</v>
      </c>
      <c r="M53" s="28">
        <v>45301</v>
      </c>
      <c r="N53" s="30">
        <v>0.56048611111111002</v>
      </c>
      <c r="O53" s="27" t="s">
        <v>215</v>
      </c>
      <c r="P53" s="137"/>
      <c r="Q53" t="str">
        <f>IFERROR(IF((_xlfn.XLOOKUP(A53,'Set of Installation'!A:A,'Set of Installation'!C:C)+1)&gt;ABS(K53),"OK","Overusage"),"")</f>
        <v/>
      </c>
      <c r="R53" t="str">
        <f>_xlfn.XLOOKUP(C53,'Checking(ZSERIALS)'!E:E,'Checking(ZSERIALS)'!F:F)</f>
        <v>CHRISTBELLA CONSTRUCTION MANAGEMENT</v>
      </c>
    </row>
    <row r="54" spans="1:18" x14ac:dyDescent="0.3">
      <c r="A54" s="27">
        <v>10001035</v>
      </c>
      <c r="B54" s="27" t="s">
        <v>90</v>
      </c>
      <c r="C54" s="27">
        <v>4500866</v>
      </c>
      <c r="D54" s="27">
        <v>1000</v>
      </c>
      <c r="E54" s="27" t="s">
        <v>53</v>
      </c>
      <c r="F54" s="27" t="s">
        <v>63</v>
      </c>
      <c r="G54" s="27">
        <v>4900036202</v>
      </c>
      <c r="H54" s="27" t="s">
        <v>54</v>
      </c>
      <c r="I54" s="28">
        <v>45301</v>
      </c>
      <c r="J54" s="27" t="s">
        <v>72</v>
      </c>
      <c r="K54" s="29">
        <v>-1</v>
      </c>
      <c r="L54" s="31">
        <v>1680000724492</v>
      </c>
      <c r="M54" s="28">
        <v>45301</v>
      </c>
      <c r="N54" s="30">
        <v>0.57300925925926005</v>
      </c>
      <c r="O54" s="27" t="s">
        <v>218</v>
      </c>
      <c r="P54" s="137"/>
      <c r="Q54" t="str">
        <f>IFERROR(IF((_xlfn.XLOOKUP(A54,'Set of Installation'!A:A,'Set of Installation'!C:C)+1)&gt;ABS(K54),"OK","Overusage"),"")</f>
        <v/>
      </c>
      <c r="R54" t="str">
        <f>_xlfn.XLOOKUP(C54,'Checking(ZSERIALS)'!E:E,'Checking(ZSERIALS)'!F:F)</f>
        <v>CHRISTBELLA CONSTRUCTION MANAGEMENT</v>
      </c>
    </row>
    <row r="55" spans="1:18" x14ac:dyDescent="0.3">
      <c r="A55" s="27">
        <v>10001035</v>
      </c>
      <c r="B55" s="27" t="s">
        <v>90</v>
      </c>
      <c r="C55" s="27">
        <v>4500866</v>
      </c>
      <c r="D55" s="27">
        <v>1000</v>
      </c>
      <c r="E55" s="27" t="s">
        <v>53</v>
      </c>
      <c r="F55" s="27" t="s">
        <v>63</v>
      </c>
      <c r="G55" s="27">
        <v>4900037564</v>
      </c>
      <c r="H55" s="27" t="s">
        <v>54</v>
      </c>
      <c r="I55" s="28">
        <v>45301</v>
      </c>
      <c r="J55" s="27" t="s">
        <v>72</v>
      </c>
      <c r="K55" s="29">
        <v>-1</v>
      </c>
      <c r="L55" s="31">
        <v>1680000725912</v>
      </c>
      <c r="M55" s="28">
        <v>45301</v>
      </c>
      <c r="N55" s="30">
        <v>0.70358796296296</v>
      </c>
      <c r="O55" s="27" t="s">
        <v>221</v>
      </c>
      <c r="P55" s="137"/>
      <c r="Q55" t="str">
        <f>IFERROR(IF((_xlfn.XLOOKUP(A55,'Set of Installation'!A:A,'Set of Installation'!C:C)+1)&gt;ABS(K55),"OK","Overusage"),"")</f>
        <v/>
      </c>
      <c r="R55" t="str">
        <f>_xlfn.XLOOKUP(C55,'Checking(ZSERIALS)'!E:E,'Checking(ZSERIALS)'!F:F)</f>
        <v>CHRISTBELLA CONSTRUCTION MANAGEMENT</v>
      </c>
    </row>
    <row r="56" spans="1:18" x14ac:dyDescent="0.3">
      <c r="A56" s="27">
        <v>10001035</v>
      </c>
      <c r="B56" s="27" t="s">
        <v>90</v>
      </c>
      <c r="C56" s="27">
        <v>4500866</v>
      </c>
      <c r="D56" s="27">
        <v>1000</v>
      </c>
      <c r="E56" s="27" t="s">
        <v>53</v>
      </c>
      <c r="F56" s="27" t="s">
        <v>63</v>
      </c>
      <c r="G56" s="27">
        <v>4900037868</v>
      </c>
      <c r="H56" s="27" t="s">
        <v>54</v>
      </c>
      <c r="I56" s="28">
        <v>45301</v>
      </c>
      <c r="J56" s="27" t="s">
        <v>72</v>
      </c>
      <c r="K56" s="29">
        <v>-1</v>
      </c>
      <c r="L56" s="31">
        <v>1680000725443</v>
      </c>
      <c r="M56" s="28">
        <v>45301</v>
      </c>
      <c r="N56" s="30">
        <v>0.73275462962963001</v>
      </c>
      <c r="O56" s="27" t="s">
        <v>224</v>
      </c>
      <c r="P56" s="137"/>
      <c r="Q56" t="str">
        <f>IFERROR(IF((_xlfn.XLOOKUP(A56,'Set of Installation'!A:A,'Set of Installation'!C:C)+1)&gt;ABS(K56),"OK","Overusage"),"")</f>
        <v/>
      </c>
      <c r="R56" t="str">
        <f>_xlfn.XLOOKUP(C56,'Checking(ZSERIALS)'!E:E,'Checking(ZSERIALS)'!F:F)</f>
        <v>CHRISTBELLA CONSTRUCTION MANAGEMENT</v>
      </c>
    </row>
    <row r="57" spans="1:18" x14ac:dyDescent="0.3">
      <c r="A57" s="27">
        <v>10001035</v>
      </c>
      <c r="B57" s="27" t="s">
        <v>90</v>
      </c>
      <c r="C57" s="27">
        <v>4500866</v>
      </c>
      <c r="D57" s="27">
        <v>1000</v>
      </c>
      <c r="E57" s="27" t="s">
        <v>53</v>
      </c>
      <c r="F57" s="27" t="s">
        <v>63</v>
      </c>
      <c r="G57" s="27">
        <v>4900037929</v>
      </c>
      <c r="H57" s="27" t="s">
        <v>54</v>
      </c>
      <c r="I57" s="28">
        <v>45301</v>
      </c>
      <c r="J57" s="27" t="s">
        <v>72</v>
      </c>
      <c r="K57" s="29">
        <v>-1</v>
      </c>
      <c r="L57" s="31">
        <v>1680000716616</v>
      </c>
      <c r="M57" s="28">
        <v>45301</v>
      </c>
      <c r="N57" s="30">
        <v>0.73967592592593001</v>
      </c>
      <c r="O57" s="27" t="s">
        <v>227</v>
      </c>
      <c r="P57" s="137"/>
      <c r="Q57" t="str">
        <f>IFERROR(IF((_xlfn.XLOOKUP(A57,'Set of Installation'!A:A,'Set of Installation'!C:C)+1)&gt;ABS(K57),"OK","Overusage"),"")</f>
        <v/>
      </c>
      <c r="R57" t="str">
        <f>_xlfn.XLOOKUP(C57,'Checking(ZSERIALS)'!E:E,'Checking(ZSERIALS)'!F:F)</f>
        <v>CHRISTBELLA CONSTRUCTION MANAGEMENT</v>
      </c>
    </row>
    <row r="58" spans="1:18" x14ac:dyDescent="0.3">
      <c r="A58" s="27">
        <v>10001035</v>
      </c>
      <c r="B58" s="27" t="s">
        <v>90</v>
      </c>
      <c r="C58" s="27">
        <v>4500866</v>
      </c>
      <c r="D58" s="27">
        <v>1000</v>
      </c>
      <c r="E58" s="27" t="s">
        <v>53</v>
      </c>
      <c r="F58" s="27" t="s">
        <v>63</v>
      </c>
      <c r="G58" s="27">
        <v>4900037992</v>
      </c>
      <c r="H58" s="27" t="s">
        <v>54</v>
      </c>
      <c r="I58" s="28">
        <v>45301</v>
      </c>
      <c r="J58" s="27" t="s">
        <v>72</v>
      </c>
      <c r="K58" s="29">
        <v>-1</v>
      </c>
      <c r="L58" s="31">
        <v>1680000715654</v>
      </c>
      <c r="M58" s="28">
        <v>45301</v>
      </c>
      <c r="N58" s="30">
        <v>0.74383101851851996</v>
      </c>
      <c r="O58" s="27" t="s">
        <v>230</v>
      </c>
      <c r="P58" s="137"/>
      <c r="Q58" t="str">
        <f>IFERROR(IF((_xlfn.XLOOKUP(A58,'Set of Installation'!A:A,'Set of Installation'!C:C)+1)&gt;ABS(K58),"OK","Overusage"),"")</f>
        <v/>
      </c>
      <c r="R58" t="str">
        <f>_xlfn.XLOOKUP(C58,'Checking(ZSERIALS)'!E:E,'Checking(ZSERIALS)'!F:F)</f>
        <v>CHRISTBELLA CONSTRUCTION MANAGEMENT</v>
      </c>
    </row>
    <row r="59" spans="1:18" x14ac:dyDescent="0.3">
      <c r="A59" s="27">
        <v>10001035</v>
      </c>
      <c r="B59" s="27" t="s">
        <v>90</v>
      </c>
      <c r="C59" s="27">
        <v>4500866</v>
      </c>
      <c r="D59" s="27">
        <v>1000</v>
      </c>
      <c r="E59" s="27" t="s">
        <v>53</v>
      </c>
      <c r="F59" s="27" t="s">
        <v>63</v>
      </c>
      <c r="G59" s="27">
        <v>4900038445</v>
      </c>
      <c r="H59" s="27" t="s">
        <v>54</v>
      </c>
      <c r="I59" s="28">
        <v>45301</v>
      </c>
      <c r="J59" s="27" t="s">
        <v>72</v>
      </c>
      <c r="K59" s="29">
        <v>-1</v>
      </c>
      <c r="L59" s="31">
        <v>1680000726826</v>
      </c>
      <c r="M59" s="28">
        <v>45301</v>
      </c>
      <c r="N59" s="30">
        <v>0.79660879629629999</v>
      </c>
      <c r="O59" s="27" t="s">
        <v>236</v>
      </c>
      <c r="P59" s="137"/>
      <c r="Q59" t="str">
        <f>IFERROR(IF((_xlfn.XLOOKUP(A59,'Set of Installation'!A:A,'Set of Installation'!C:C)+1)&gt;ABS(K59),"OK","Overusage"),"")</f>
        <v/>
      </c>
      <c r="R59" t="str">
        <f>_xlfn.XLOOKUP(C59,'Checking(ZSERIALS)'!E:E,'Checking(ZSERIALS)'!F:F)</f>
        <v>CHRISTBELLA CONSTRUCTION MANAGEMENT</v>
      </c>
    </row>
    <row r="60" spans="1:18" x14ac:dyDescent="0.3">
      <c r="A60" s="27">
        <v>10001035</v>
      </c>
      <c r="B60" s="27" t="s">
        <v>90</v>
      </c>
      <c r="C60" s="27">
        <v>4500866</v>
      </c>
      <c r="D60" s="27">
        <v>1000</v>
      </c>
      <c r="E60" s="27" t="s">
        <v>53</v>
      </c>
      <c r="F60" s="27" t="s">
        <v>63</v>
      </c>
      <c r="G60" s="27">
        <v>4900038112</v>
      </c>
      <c r="H60" s="27" t="s">
        <v>54</v>
      </c>
      <c r="I60" s="28">
        <v>45301</v>
      </c>
      <c r="J60" s="27" t="s">
        <v>72</v>
      </c>
      <c r="K60" s="29">
        <v>-1</v>
      </c>
      <c r="L60" s="31">
        <v>1680000704179</v>
      </c>
      <c r="M60" s="28">
        <v>45301</v>
      </c>
      <c r="N60" s="30">
        <v>0.75495370370369996</v>
      </c>
      <c r="O60" s="27" t="s">
        <v>233</v>
      </c>
      <c r="P60" s="137"/>
      <c r="Q60" t="str">
        <f>IFERROR(IF((_xlfn.XLOOKUP(A60,'Set of Installation'!A:A,'Set of Installation'!C:C)+1)&gt;ABS(K60),"OK","Overusage"),"")</f>
        <v/>
      </c>
      <c r="R60" t="str">
        <f>_xlfn.XLOOKUP(C60,'Checking(ZSERIALS)'!E:E,'Checking(ZSERIALS)'!F:F)</f>
        <v>CHRISTBELLA CONSTRUCTION MANAGEMENT</v>
      </c>
    </row>
    <row r="61" spans="1:18" x14ac:dyDescent="0.3">
      <c r="A61" s="27">
        <v>10001035</v>
      </c>
      <c r="B61" s="27" t="s">
        <v>90</v>
      </c>
      <c r="C61" s="27">
        <v>4500866</v>
      </c>
      <c r="D61" s="27">
        <v>1000</v>
      </c>
      <c r="E61" s="27" t="s">
        <v>53</v>
      </c>
      <c r="F61" s="27" t="s">
        <v>63</v>
      </c>
      <c r="G61" s="27">
        <v>4900030570</v>
      </c>
      <c r="H61" s="27" t="s">
        <v>54</v>
      </c>
      <c r="I61" s="28">
        <v>45300</v>
      </c>
      <c r="J61" s="27" t="s">
        <v>72</v>
      </c>
      <c r="K61" s="29">
        <v>-1</v>
      </c>
      <c r="L61" s="31">
        <v>1680000722982</v>
      </c>
      <c r="M61" s="28">
        <v>45300</v>
      </c>
      <c r="N61" s="30">
        <v>0.49103009259259001</v>
      </c>
      <c r="O61" s="27" t="s">
        <v>200</v>
      </c>
      <c r="P61" s="137"/>
      <c r="Q61" t="str">
        <f>IFERROR(IF((_xlfn.XLOOKUP(A61,'Set of Installation'!A:A,'Set of Installation'!C:C)+1)&gt;ABS(K61),"OK","Overusage"),"")</f>
        <v/>
      </c>
      <c r="R61" t="str">
        <f>_xlfn.XLOOKUP(C61,'Checking(ZSERIALS)'!E:E,'Checking(ZSERIALS)'!F:F)</f>
        <v>CHRISTBELLA CONSTRUCTION MANAGEMENT</v>
      </c>
    </row>
    <row r="62" spans="1:18" x14ac:dyDescent="0.3">
      <c r="A62" s="27">
        <v>10001035</v>
      </c>
      <c r="B62" s="27" t="s">
        <v>90</v>
      </c>
      <c r="C62" s="27">
        <v>4500866</v>
      </c>
      <c r="D62" s="27">
        <v>1000</v>
      </c>
      <c r="E62" s="27" t="s">
        <v>53</v>
      </c>
      <c r="F62" s="27" t="s">
        <v>63</v>
      </c>
      <c r="G62" s="27">
        <v>4900030286</v>
      </c>
      <c r="H62" s="27" t="s">
        <v>54</v>
      </c>
      <c r="I62" s="28">
        <v>45300</v>
      </c>
      <c r="J62" s="27" t="s">
        <v>72</v>
      </c>
      <c r="K62" s="29">
        <v>-1</v>
      </c>
      <c r="L62" s="31">
        <v>1680000721575</v>
      </c>
      <c r="M62" s="28">
        <v>45300</v>
      </c>
      <c r="N62" s="30">
        <v>0.45771990740740998</v>
      </c>
      <c r="O62" s="27" t="s">
        <v>197</v>
      </c>
      <c r="P62" s="137"/>
      <c r="Q62" t="str">
        <f>IFERROR(IF((_xlfn.XLOOKUP(A62,'Set of Installation'!A:A,'Set of Installation'!C:C)+1)&gt;ABS(K62),"OK","Overusage"),"")</f>
        <v/>
      </c>
      <c r="R62" t="str">
        <f>_xlfn.XLOOKUP(C62,'Checking(ZSERIALS)'!E:E,'Checking(ZSERIALS)'!F:F)</f>
        <v>CHRISTBELLA CONSTRUCTION MANAGEMENT</v>
      </c>
    </row>
    <row r="63" spans="1:18" x14ac:dyDescent="0.3">
      <c r="A63" s="27">
        <v>10001035</v>
      </c>
      <c r="B63" s="27" t="s">
        <v>90</v>
      </c>
      <c r="C63" s="27">
        <v>4500866</v>
      </c>
      <c r="D63" s="27">
        <v>1000</v>
      </c>
      <c r="E63" s="27" t="s">
        <v>53</v>
      </c>
      <c r="F63" s="27" t="s">
        <v>63</v>
      </c>
      <c r="G63" s="27">
        <v>4900031298</v>
      </c>
      <c r="H63" s="27" t="s">
        <v>54</v>
      </c>
      <c r="I63" s="28">
        <v>45300</v>
      </c>
      <c r="J63" s="27" t="s">
        <v>72</v>
      </c>
      <c r="K63" s="29">
        <v>-1</v>
      </c>
      <c r="L63" s="31">
        <v>1680000724269</v>
      </c>
      <c r="M63" s="28">
        <v>45300</v>
      </c>
      <c r="N63" s="30">
        <v>0.57991898148148002</v>
      </c>
      <c r="O63" s="27" t="s">
        <v>203</v>
      </c>
      <c r="P63" s="137"/>
      <c r="Q63" t="str">
        <f>IFERROR(IF((_xlfn.XLOOKUP(A63,'Set of Installation'!A:A,'Set of Installation'!C:C)+1)&gt;ABS(K63),"OK","Overusage"),"")</f>
        <v/>
      </c>
      <c r="R63" t="str">
        <f>_xlfn.XLOOKUP(C63,'Checking(ZSERIALS)'!E:E,'Checking(ZSERIALS)'!F:F)</f>
        <v>CHRISTBELLA CONSTRUCTION MANAGEMENT</v>
      </c>
    </row>
    <row r="64" spans="1:18" x14ac:dyDescent="0.3">
      <c r="A64" s="27">
        <v>10001035</v>
      </c>
      <c r="B64" s="27" t="s">
        <v>90</v>
      </c>
      <c r="C64" s="27">
        <v>4500866</v>
      </c>
      <c r="D64" s="27">
        <v>1000</v>
      </c>
      <c r="E64" s="27" t="s">
        <v>53</v>
      </c>
      <c r="F64" s="27" t="s">
        <v>63</v>
      </c>
      <c r="G64" s="27">
        <v>4900031609</v>
      </c>
      <c r="H64" s="27" t="s">
        <v>54</v>
      </c>
      <c r="I64" s="28">
        <v>45300</v>
      </c>
      <c r="J64" s="27" t="s">
        <v>72</v>
      </c>
      <c r="K64" s="29">
        <v>-1</v>
      </c>
      <c r="L64" s="31">
        <v>1680000721883</v>
      </c>
      <c r="M64" s="28">
        <v>45300</v>
      </c>
      <c r="N64" s="30">
        <v>0.61466435185184998</v>
      </c>
      <c r="O64" s="27" t="s">
        <v>206</v>
      </c>
      <c r="P64" s="137"/>
      <c r="Q64" t="str">
        <f>IFERROR(IF((_xlfn.XLOOKUP(A64,'Set of Installation'!A:A,'Set of Installation'!C:C)+1)&gt;ABS(K64),"OK","Overusage"),"")</f>
        <v/>
      </c>
      <c r="R64" t="str">
        <f>_xlfn.XLOOKUP(C64,'Checking(ZSERIALS)'!E:E,'Checking(ZSERIALS)'!F:F)</f>
        <v>CHRISTBELLA CONSTRUCTION MANAGEMENT</v>
      </c>
    </row>
    <row r="65" spans="1:18" x14ac:dyDescent="0.3">
      <c r="A65" s="27">
        <v>10001035</v>
      </c>
      <c r="B65" s="27" t="s">
        <v>90</v>
      </c>
      <c r="C65" s="27">
        <v>4500866</v>
      </c>
      <c r="D65" s="27">
        <v>1000</v>
      </c>
      <c r="E65" s="27" t="s">
        <v>53</v>
      </c>
      <c r="F65" s="27" t="s">
        <v>63</v>
      </c>
      <c r="G65" s="27">
        <v>4900026205</v>
      </c>
      <c r="H65" s="27" t="s">
        <v>54</v>
      </c>
      <c r="I65" s="28">
        <v>45299</v>
      </c>
      <c r="J65" s="27" t="s">
        <v>72</v>
      </c>
      <c r="K65" s="29">
        <v>-1</v>
      </c>
      <c r="L65" s="31">
        <v>1680000718727</v>
      </c>
      <c r="M65" s="28">
        <v>45299</v>
      </c>
      <c r="N65" s="30">
        <v>0.55628472222222003</v>
      </c>
      <c r="O65" s="27" t="s">
        <v>185</v>
      </c>
      <c r="P65" s="137"/>
      <c r="Q65" t="str">
        <f>IFERROR(IF((_xlfn.XLOOKUP(A65,'Set of Installation'!A:A,'Set of Installation'!C:C)+1)&gt;ABS(K65),"OK","Overusage"),"")</f>
        <v/>
      </c>
      <c r="R65" t="str">
        <f>_xlfn.XLOOKUP(C65,'Checking(ZSERIALS)'!E:E,'Checking(ZSERIALS)'!F:F)</f>
        <v>CHRISTBELLA CONSTRUCTION MANAGEMENT</v>
      </c>
    </row>
    <row r="66" spans="1:18" x14ac:dyDescent="0.3">
      <c r="A66" s="27">
        <v>10001035</v>
      </c>
      <c r="B66" s="27" t="s">
        <v>90</v>
      </c>
      <c r="C66" s="27">
        <v>4500866</v>
      </c>
      <c r="D66" s="27">
        <v>1000</v>
      </c>
      <c r="E66" s="27" t="s">
        <v>53</v>
      </c>
      <c r="F66" s="27" t="s">
        <v>63</v>
      </c>
      <c r="G66" s="27">
        <v>4900025960</v>
      </c>
      <c r="H66" s="27" t="s">
        <v>54</v>
      </c>
      <c r="I66" s="28">
        <v>45299</v>
      </c>
      <c r="J66" s="27" t="s">
        <v>72</v>
      </c>
      <c r="K66" s="29">
        <v>-1</v>
      </c>
      <c r="L66" s="31">
        <v>1680000719107</v>
      </c>
      <c r="M66" s="28">
        <v>45299</v>
      </c>
      <c r="N66" s="30">
        <v>0.52297453703704</v>
      </c>
      <c r="O66" s="27" t="s">
        <v>182</v>
      </c>
      <c r="P66" s="137"/>
      <c r="Q66" t="str">
        <f>IFERROR(IF((_xlfn.XLOOKUP(A66,'Set of Installation'!A:A,'Set of Installation'!C:C)+1)&gt;ABS(K66),"OK","Overusage"),"")</f>
        <v/>
      </c>
      <c r="R66" t="str">
        <f>_xlfn.XLOOKUP(C66,'Checking(ZSERIALS)'!E:E,'Checking(ZSERIALS)'!F:F)</f>
        <v>CHRISTBELLA CONSTRUCTION MANAGEMENT</v>
      </c>
    </row>
    <row r="67" spans="1:18" x14ac:dyDescent="0.3">
      <c r="A67" s="27">
        <v>10001035</v>
      </c>
      <c r="B67" s="27" t="s">
        <v>90</v>
      </c>
      <c r="C67" s="27">
        <v>4500866</v>
      </c>
      <c r="D67" s="27">
        <v>1000</v>
      </c>
      <c r="E67" s="27" t="s">
        <v>53</v>
      </c>
      <c r="F67" s="27" t="s">
        <v>63</v>
      </c>
      <c r="G67" s="27">
        <v>4900025250</v>
      </c>
      <c r="H67" s="27" t="s">
        <v>54</v>
      </c>
      <c r="I67" s="28">
        <v>45299</v>
      </c>
      <c r="J67" s="27" t="s">
        <v>72</v>
      </c>
      <c r="K67" s="29">
        <v>-1</v>
      </c>
      <c r="L67" s="31">
        <v>1680000709015</v>
      </c>
      <c r="M67" s="28">
        <v>45299</v>
      </c>
      <c r="N67" s="30">
        <v>0.42572916666666999</v>
      </c>
      <c r="O67" s="27" t="s">
        <v>179</v>
      </c>
      <c r="P67" s="137"/>
      <c r="Q67" t="str">
        <f>IFERROR(IF((_xlfn.XLOOKUP(A67,'Set of Installation'!A:A,'Set of Installation'!C:C)+1)&gt;ABS(K67),"OK","Overusage"),"")</f>
        <v/>
      </c>
      <c r="R67" t="str">
        <f>_xlfn.XLOOKUP(C67,'Checking(ZSERIALS)'!E:E,'Checking(ZSERIALS)'!F:F)</f>
        <v>CHRISTBELLA CONSTRUCTION MANAGEMENT</v>
      </c>
    </row>
    <row r="68" spans="1:18" x14ac:dyDescent="0.3">
      <c r="A68" s="27">
        <v>10001035</v>
      </c>
      <c r="B68" s="27" t="s">
        <v>90</v>
      </c>
      <c r="C68" s="27">
        <v>4500866</v>
      </c>
      <c r="D68" s="27">
        <v>1000</v>
      </c>
      <c r="E68" s="27" t="s">
        <v>53</v>
      </c>
      <c r="F68" s="27" t="s">
        <v>63</v>
      </c>
      <c r="G68" s="27">
        <v>4900026399</v>
      </c>
      <c r="H68" s="27" t="s">
        <v>54</v>
      </c>
      <c r="I68" s="28">
        <v>45299</v>
      </c>
      <c r="J68" s="27" t="s">
        <v>72</v>
      </c>
      <c r="K68" s="29">
        <v>-1</v>
      </c>
      <c r="L68" s="31">
        <v>1680000713096</v>
      </c>
      <c r="M68" s="28">
        <v>45299</v>
      </c>
      <c r="N68" s="30">
        <v>0.57991898148148002</v>
      </c>
      <c r="O68" s="27" t="s">
        <v>188</v>
      </c>
      <c r="P68" s="137"/>
      <c r="Q68" t="str">
        <f>IFERROR(IF((_xlfn.XLOOKUP(A68,'Set of Installation'!A:A,'Set of Installation'!C:C)+1)&gt;ABS(K68),"OK","Overusage"),"")</f>
        <v/>
      </c>
      <c r="R68" t="str">
        <f>_xlfn.XLOOKUP(C68,'Checking(ZSERIALS)'!E:E,'Checking(ZSERIALS)'!F:F)</f>
        <v>CHRISTBELLA CONSTRUCTION MANAGEMENT</v>
      </c>
    </row>
    <row r="69" spans="1:18" x14ac:dyDescent="0.3">
      <c r="A69" s="27">
        <v>10001035</v>
      </c>
      <c r="B69" s="27" t="s">
        <v>90</v>
      </c>
      <c r="C69" s="27">
        <v>4500866</v>
      </c>
      <c r="D69" s="27">
        <v>1000</v>
      </c>
      <c r="E69" s="27" t="s">
        <v>53</v>
      </c>
      <c r="F69" s="27" t="s">
        <v>63</v>
      </c>
      <c r="G69" s="27">
        <v>4900027549</v>
      </c>
      <c r="H69" s="27" t="s">
        <v>54</v>
      </c>
      <c r="I69" s="28">
        <v>45299</v>
      </c>
      <c r="J69" s="27" t="s">
        <v>72</v>
      </c>
      <c r="K69" s="29">
        <v>-1</v>
      </c>
      <c r="L69" s="31">
        <v>1680000695259</v>
      </c>
      <c r="M69" s="28">
        <v>45299</v>
      </c>
      <c r="N69" s="30">
        <v>0.69239583333332999</v>
      </c>
      <c r="O69" s="27" t="s">
        <v>191</v>
      </c>
      <c r="P69" s="137"/>
      <c r="Q69" t="str">
        <f>IFERROR(IF((_xlfn.XLOOKUP(A69,'Set of Installation'!A:A,'Set of Installation'!C:C)+1)&gt;ABS(K69),"OK","Overusage"),"")</f>
        <v/>
      </c>
      <c r="R69" t="str">
        <f>_xlfn.XLOOKUP(C69,'Checking(ZSERIALS)'!E:E,'Checking(ZSERIALS)'!F:F)</f>
        <v>CHRISTBELLA CONSTRUCTION MANAGEMENT</v>
      </c>
    </row>
    <row r="70" spans="1:18" x14ac:dyDescent="0.3">
      <c r="A70" s="27">
        <v>10001035</v>
      </c>
      <c r="B70" s="27" t="s">
        <v>90</v>
      </c>
      <c r="C70" s="27">
        <v>4500866</v>
      </c>
      <c r="D70" s="27">
        <v>1000</v>
      </c>
      <c r="E70" s="27" t="s">
        <v>53</v>
      </c>
      <c r="F70" s="27" t="s">
        <v>63</v>
      </c>
      <c r="G70" s="27">
        <v>4900023882</v>
      </c>
      <c r="H70" s="27" t="s">
        <v>54</v>
      </c>
      <c r="I70" s="28">
        <v>45298</v>
      </c>
      <c r="J70" s="27" t="s">
        <v>72</v>
      </c>
      <c r="K70" s="29">
        <v>-1</v>
      </c>
      <c r="L70" s="31">
        <v>1680000720228</v>
      </c>
      <c r="M70" s="28">
        <v>45298</v>
      </c>
      <c r="N70" s="30">
        <v>0.74238425925925999</v>
      </c>
      <c r="O70" s="27" t="s">
        <v>176</v>
      </c>
      <c r="P70" s="137"/>
      <c r="Q70" t="str">
        <f>IFERROR(IF((_xlfn.XLOOKUP(A70,'Set of Installation'!A:A,'Set of Installation'!C:C)+1)&gt;ABS(K70),"OK","Overusage"),"")</f>
        <v/>
      </c>
      <c r="R70" t="str">
        <f>_xlfn.XLOOKUP(C70,'Checking(ZSERIALS)'!E:E,'Checking(ZSERIALS)'!F:F)</f>
        <v>CHRISTBELLA CONSTRUCTION MANAGEMENT</v>
      </c>
    </row>
    <row r="71" spans="1:18" x14ac:dyDescent="0.3">
      <c r="A71" s="27">
        <v>10001035</v>
      </c>
      <c r="B71" s="27" t="s">
        <v>90</v>
      </c>
      <c r="C71" s="27">
        <v>4500866</v>
      </c>
      <c r="D71" s="27">
        <v>1000</v>
      </c>
      <c r="E71" s="27" t="s">
        <v>53</v>
      </c>
      <c r="F71" s="27" t="s">
        <v>63</v>
      </c>
      <c r="G71" s="27">
        <v>4900023394</v>
      </c>
      <c r="H71" s="27" t="s">
        <v>54</v>
      </c>
      <c r="I71" s="28">
        <v>45298</v>
      </c>
      <c r="J71" s="27" t="s">
        <v>72</v>
      </c>
      <c r="K71" s="29">
        <v>-1</v>
      </c>
      <c r="L71" s="31">
        <v>1680000719137</v>
      </c>
      <c r="M71" s="28">
        <v>45298</v>
      </c>
      <c r="N71" s="30">
        <v>0.66738425925926004</v>
      </c>
      <c r="O71" s="27" t="s">
        <v>173</v>
      </c>
      <c r="P71" s="137"/>
      <c r="Q71" t="str">
        <f>IFERROR(IF((_xlfn.XLOOKUP(A71,'Set of Installation'!A:A,'Set of Installation'!C:C)+1)&gt;ABS(K71),"OK","Overusage"),"")</f>
        <v/>
      </c>
      <c r="R71" t="str">
        <f>_xlfn.XLOOKUP(C71,'Checking(ZSERIALS)'!E:E,'Checking(ZSERIALS)'!F:F)</f>
        <v>CHRISTBELLA CONSTRUCTION MANAGEMENT</v>
      </c>
    </row>
    <row r="72" spans="1:18" x14ac:dyDescent="0.3">
      <c r="A72" s="27">
        <v>10001035</v>
      </c>
      <c r="B72" s="27" t="s">
        <v>90</v>
      </c>
      <c r="C72" s="27">
        <v>4500866</v>
      </c>
      <c r="D72" s="27">
        <v>1000</v>
      </c>
      <c r="E72" s="27" t="s">
        <v>53</v>
      </c>
      <c r="F72" s="27" t="s">
        <v>63</v>
      </c>
      <c r="G72" s="27">
        <v>4900022701</v>
      </c>
      <c r="H72" s="27" t="s">
        <v>54</v>
      </c>
      <c r="I72" s="28">
        <v>45298</v>
      </c>
      <c r="J72" s="27" t="s">
        <v>72</v>
      </c>
      <c r="K72" s="29">
        <v>-1</v>
      </c>
      <c r="L72" s="31">
        <v>1680000714162</v>
      </c>
      <c r="M72" s="28">
        <v>45298</v>
      </c>
      <c r="N72" s="30">
        <v>0.56460648148147996</v>
      </c>
      <c r="O72" s="27" t="s">
        <v>170</v>
      </c>
      <c r="P72" s="137"/>
      <c r="Q72" t="str">
        <f>IFERROR(IF((_xlfn.XLOOKUP(A72,'Set of Installation'!A:A,'Set of Installation'!C:C)+1)&gt;ABS(K72),"OK","Overusage"),"")</f>
        <v/>
      </c>
      <c r="R72" t="str">
        <f>_xlfn.XLOOKUP(C72,'Checking(ZSERIALS)'!E:E,'Checking(ZSERIALS)'!F:F)</f>
        <v>CHRISTBELLA CONSTRUCTION MANAGEMENT</v>
      </c>
    </row>
    <row r="73" spans="1:18" x14ac:dyDescent="0.3">
      <c r="A73" s="27">
        <v>10001035</v>
      </c>
      <c r="B73" s="27" t="s">
        <v>90</v>
      </c>
      <c r="C73" s="27">
        <v>4500866</v>
      </c>
      <c r="D73" s="27">
        <v>1000</v>
      </c>
      <c r="E73" s="27" t="s">
        <v>53</v>
      </c>
      <c r="F73" s="27" t="s">
        <v>63</v>
      </c>
      <c r="G73" s="27">
        <v>4900022661</v>
      </c>
      <c r="H73" s="27" t="s">
        <v>54</v>
      </c>
      <c r="I73" s="28">
        <v>45298</v>
      </c>
      <c r="J73" s="27" t="s">
        <v>72</v>
      </c>
      <c r="K73" s="29">
        <v>-1</v>
      </c>
      <c r="L73" s="31">
        <v>1680000718039</v>
      </c>
      <c r="M73" s="28">
        <v>45298</v>
      </c>
      <c r="N73" s="30">
        <v>0.55349537037037</v>
      </c>
      <c r="O73" s="27" t="s">
        <v>167</v>
      </c>
      <c r="P73" s="137"/>
      <c r="Q73" t="str">
        <f>IFERROR(IF((_xlfn.XLOOKUP(A73,'Set of Installation'!A:A,'Set of Installation'!C:C)+1)&gt;ABS(K73),"OK","Overusage"),"")</f>
        <v/>
      </c>
      <c r="R73" t="str">
        <f>_xlfn.XLOOKUP(C73,'Checking(ZSERIALS)'!E:E,'Checking(ZSERIALS)'!F:F)</f>
        <v>CHRISTBELLA CONSTRUCTION MANAGEMENT</v>
      </c>
    </row>
    <row r="74" spans="1:18" x14ac:dyDescent="0.3">
      <c r="A74" s="27">
        <v>10001035</v>
      </c>
      <c r="B74" s="27" t="s">
        <v>90</v>
      </c>
      <c r="C74" s="27">
        <v>4500866</v>
      </c>
      <c r="D74" s="27">
        <v>1000</v>
      </c>
      <c r="E74" s="27" t="s">
        <v>53</v>
      </c>
      <c r="F74" s="27" t="s">
        <v>63</v>
      </c>
      <c r="G74" s="27">
        <v>4900022282</v>
      </c>
      <c r="H74" s="27" t="s">
        <v>54</v>
      </c>
      <c r="I74" s="28">
        <v>45298</v>
      </c>
      <c r="J74" s="27" t="s">
        <v>72</v>
      </c>
      <c r="K74" s="29">
        <v>-1</v>
      </c>
      <c r="L74" s="31">
        <v>1680000718209</v>
      </c>
      <c r="M74" s="28">
        <v>45298</v>
      </c>
      <c r="N74" s="30">
        <v>0.48128472222222002</v>
      </c>
      <c r="O74" s="27" t="s">
        <v>164</v>
      </c>
      <c r="P74" s="137"/>
      <c r="Q74" t="str">
        <f>IFERROR(IF((_xlfn.XLOOKUP(A74,'Set of Installation'!A:A,'Set of Installation'!C:C)+1)&gt;ABS(K74),"OK","Overusage"),"")</f>
        <v/>
      </c>
      <c r="R74" t="str">
        <f>_xlfn.XLOOKUP(C74,'Checking(ZSERIALS)'!E:E,'Checking(ZSERIALS)'!F:F)</f>
        <v>CHRISTBELLA CONSTRUCTION MANAGEMENT</v>
      </c>
    </row>
    <row r="75" spans="1:18" x14ac:dyDescent="0.3">
      <c r="A75" s="27">
        <v>10001035</v>
      </c>
      <c r="B75" s="27" t="s">
        <v>90</v>
      </c>
      <c r="C75" s="27">
        <v>4500866</v>
      </c>
      <c r="D75" s="27">
        <v>1000</v>
      </c>
      <c r="E75" s="27" t="s">
        <v>53</v>
      </c>
      <c r="F75" s="27" t="s">
        <v>63</v>
      </c>
      <c r="G75" s="27">
        <v>4900022007</v>
      </c>
      <c r="H75" s="27" t="s">
        <v>54</v>
      </c>
      <c r="I75" s="28">
        <v>45298</v>
      </c>
      <c r="J75" s="27" t="s">
        <v>72</v>
      </c>
      <c r="K75" s="29">
        <v>-1</v>
      </c>
      <c r="L75" s="31">
        <v>1680000714781</v>
      </c>
      <c r="M75" s="28">
        <v>45298</v>
      </c>
      <c r="N75" s="30">
        <v>0.42849537037037</v>
      </c>
      <c r="O75" s="27" t="s">
        <v>161</v>
      </c>
      <c r="P75" s="137"/>
      <c r="Q75" t="str">
        <f>IFERROR(IF((_xlfn.XLOOKUP(A75,'Set of Installation'!A:A,'Set of Installation'!C:C)+1)&gt;ABS(K75),"OK","Overusage"),"")</f>
        <v/>
      </c>
      <c r="R75" t="str">
        <f>_xlfn.XLOOKUP(C75,'Checking(ZSERIALS)'!E:E,'Checking(ZSERIALS)'!F:F)</f>
        <v>CHRISTBELLA CONSTRUCTION MANAGEMENT</v>
      </c>
    </row>
    <row r="76" spans="1:18" x14ac:dyDescent="0.3">
      <c r="A76" s="27">
        <v>10001035</v>
      </c>
      <c r="B76" s="27" t="s">
        <v>90</v>
      </c>
      <c r="C76" s="27">
        <v>4500866</v>
      </c>
      <c r="D76" s="27">
        <v>1000</v>
      </c>
      <c r="E76" s="27" t="s">
        <v>53</v>
      </c>
      <c r="F76" s="27" t="s">
        <v>63</v>
      </c>
      <c r="G76" s="27">
        <v>4900020253</v>
      </c>
      <c r="H76" s="27" t="s">
        <v>54</v>
      </c>
      <c r="I76" s="28">
        <v>45297</v>
      </c>
      <c r="J76" s="27" t="s">
        <v>72</v>
      </c>
      <c r="K76" s="29">
        <v>-1</v>
      </c>
      <c r="L76" s="31">
        <v>1680000713879</v>
      </c>
      <c r="M76" s="28">
        <v>45297</v>
      </c>
      <c r="N76" s="30">
        <v>0.75209490740741003</v>
      </c>
      <c r="O76" s="27" t="s">
        <v>158</v>
      </c>
      <c r="P76" s="137"/>
      <c r="Q76" t="str">
        <f>IFERROR(IF((_xlfn.XLOOKUP(A76,'Set of Installation'!A:A,'Set of Installation'!C:C)+1)&gt;ABS(K76),"OK","Overusage"),"")</f>
        <v/>
      </c>
      <c r="R76" t="str">
        <f>_xlfn.XLOOKUP(C76,'Checking(ZSERIALS)'!E:E,'Checking(ZSERIALS)'!F:F)</f>
        <v>CHRISTBELLA CONSTRUCTION MANAGEMENT</v>
      </c>
    </row>
    <row r="77" spans="1:18" x14ac:dyDescent="0.3">
      <c r="A77" s="27">
        <v>10001035</v>
      </c>
      <c r="B77" s="27" t="s">
        <v>90</v>
      </c>
      <c r="C77" s="27">
        <v>4500866</v>
      </c>
      <c r="D77" s="27">
        <v>1000</v>
      </c>
      <c r="E77" s="27" t="s">
        <v>53</v>
      </c>
      <c r="F77" s="27" t="s">
        <v>63</v>
      </c>
      <c r="G77" s="27">
        <v>4900019094</v>
      </c>
      <c r="H77" s="27" t="s">
        <v>54</v>
      </c>
      <c r="I77" s="28">
        <v>45297</v>
      </c>
      <c r="J77" s="27" t="s">
        <v>72</v>
      </c>
      <c r="K77" s="29">
        <v>-1</v>
      </c>
      <c r="L77" s="31">
        <v>1680000696855</v>
      </c>
      <c r="M77" s="28">
        <v>45297</v>
      </c>
      <c r="N77" s="30">
        <v>0.64376157407406998</v>
      </c>
      <c r="O77" s="27" t="s">
        <v>155</v>
      </c>
      <c r="P77" s="137"/>
      <c r="Q77" t="str">
        <f>IFERROR(IF((_xlfn.XLOOKUP(A77,'Set of Installation'!A:A,'Set of Installation'!C:C)+1)&gt;ABS(K77),"OK","Overusage"),"")</f>
        <v/>
      </c>
      <c r="R77" t="str">
        <f>_xlfn.XLOOKUP(C77,'Checking(ZSERIALS)'!E:E,'Checking(ZSERIALS)'!F:F)</f>
        <v>CHRISTBELLA CONSTRUCTION MANAGEMENT</v>
      </c>
    </row>
    <row r="78" spans="1:18" x14ac:dyDescent="0.3">
      <c r="A78" s="27">
        <v>10001035</v>
      </c>
      <c r="B78" s="27" t="s">
        <v>90</v>
      </c>
      <c r="C78" s="27">
        <v>4500866</v>
      </c>
      <c r="D78" s="27">
        <v>1000</v>
      </c>
      <c r="E78" s="27" t="s">
        <v>53</v>
      </c>
      <c r="F78" s="27" t="s">
        <v>63</v>
      </c>
      <c r="G78" s="27">
        <v>4900018054</v>
      </c>
      <c r="H78" s="27" t="s">
        <v>54</v>
      </c>
      <c r="I78" s="28">
        <v>45297</v>
      </c>
      <c r="J78" s="27" t="s">
        <v>72</v>
      </c>
      <c r="K78" s="29">
        <v>-1</v>
      </c>
      <c r="L78" s="31">
        <v>1680000699851</v>
      </c>
      <c r="M78" s="28">
        <v>45297</v>
      </c>
      <c r="N78" s="30">
        <v>0.54101851851852001</v>
      </c>
      <c r="O78" s="27" t="s">
        <v>152</v>
      </c>
      <c r="P78" s="137"/>
      <c r="Q78" t="str">
        <f>IFERROR(IF((_xlfn.XLOOKUP(A78,'Set of Installation'!A:A,'Set of Installation'!C:C)+1)&gt;ABS(K78),"OK","Overusage"),"")</f>
        <v/>
      </c>
      <c r="R78" t="str">
        <f>_xlfn.XLOOKUP(C78,'Checking(ZSERIALS)'!E:E,'Checking(ZSERIALS)'!F:F)</f>
        <v>CHRISTBELLA CONSTRUCTION MANAGEMENT</v>
      </c>
    </row>
    <row r="79" spans="1:18" x14ac:dyDescent="0.3">
      <c r="A79" s="27">
        <v>10001035</v>
      </c>
      <c r="B79" s="27" t="s">
        <v>90</v>
      </c>
      <c r="C79" s="27">
        <v>4500866</v>
      </c>
      <c r="D79" s="27">
        <v>1000</v>
      </c>
      <c r="E79" s="27" t="s">
        <v>53</v>
      </c>
      <c r="F79" s="27" t="s">
        <v>63</v>
      </c>
      <c r="G79" s="27">
        <v>4900017964</v>
      </c>
      <c r="H79" s="27" t="s">
        <v>54</v>
      </c>
      <c r="I79" s="28">
        <v>45297</v>
      </c>
      <c r="J79" s="27" t="s">
        <v>72</v>
      </c>
      <c r="K79" s="29">
        <v>-1</v>
      </c>
      <c r="L79" s="31">
        <v>1680000714783</v>
      </c>
      <c r="M79" s="28">
        <v>45297</v>
      </c>
      <c r="N79" s="30">
        <v>0.52987268518519004</v>
      </c>
      <c r="O79" s="27" t="s">
        <v>149</v>
      </c>
      <c r="P79" s="137"/>
      <c r="Q79" t="str">
        <f>IFERROR(IF((_xlfn.XLOOKUP(A79,'Set of Installation'!A:A,'Set of Installation'!C:C)+1)&gt;ABS(K79),"OK","Overusage"),"")</f>
        <v/>
      </c>
      <c r="R79" t="str">
        <f>_xlfn.XLOOKUP(C79,'Checking(ZSERIALS)'!E:E,'Checking(ZSERIALS)'!F:F)</f>
        <v>CHRISTBELLA CONSTRUCTION MANAGEMENT</v>
      </c>
    </row>
    <row r="80" spans="1:18" x14ac:dyDescent="0.3">
      <c r="A80" s="27">
        <v>10001035</v>
      </c>
      <c r="B80" s="27" t="s">
        <v>90</v>
      </c>
      <c r="C80" s="27">
        <v>4500866</v>
      </c>
      <c r="D80" s="27">
        <v>1000</v>
      </c>
      <c r="E80" s="27" t="s">
        <v>53</v>
      </c>
      <c r="F80" s="27" t="s">
        <v>63</v>
      </c>
      <c r="G80" s="27">
        <v>4900012851</v>
      </c>
      <c r="H80" s="27" t="s">
        <v>54</v>
      </c>
      <c r="I80" s="28">
        <v>45296</v>
      </c>
      <c r="J80" s="27" t="s">
        <v>72</v>
      </c>
      <c r="K80" s="29">
        <v>-1</v>
      </c>
      <c r="L80" s="31">
        <v>1680000710201</v>
      </c>
      <c r="M80" s="28">
        <v>45296</v>
      </c>
      <c r="N80" s="30">
        <v>0.51946759259259001</v>
      </c>
      <c r="O80" s="27" t="s">
        <v>125</v>
      </c>
      <c r="P80" s="137"/>
      <c r="Q80" t="str">
        <f>IFERROR(IF((_xlfn.XLOOKUP(A80,'Set of Installation'!A:A,'Set of Installation'!C:C)+1)&gt;ABS(K80),"OK","Overusage"),"")</f>
        <v/>
      </c>
      <c r="R80" t="str">
        <f>_xlfn.XLOOKUP(C80,'Checking(ZSERIALS)'!E:E,'Checking(ZSERIALS)'!F:F)</f>
        <v>CHRISTBELLA CONSTRUCTION MANAGEMENT</v>
      </c>
    </row>
    <row r="81" spans="1:18" x14ac:dyDescent="0.3">
      <c r="A81" s="27">
        <v>10001035</v>
      </c>
      <c r="B81" s="27" t="s">
        <v>90</v>
      </c>
      <c r="C81" s="27">
        <v>4500866</v>
      </c>
      <c r="D81" s="27">
        <v>1000</v>
      </c>
      <c r="E81" s="27" t="s">
        <v>53</v>
      </c>
      <c r="F81" s="27" t="s">
        <v>63</v>
      </c>
      <c r="G81" s="27">
        <v>4900015407</v>
      </c>
      <c r="H81" s="27" t="s">
        <v>54</v>
      </c>
      <c r="I81" s="28">
        <v>45296</v>
      </c>
      <c r="J81" s="27" t="s">
        <v>72</v>
      </c>
      <c r="K81" s="29">
        <v>-1</v>
      </c>
      <c r="L81" s="31">
        <v>1680000713356</v>
      </c>
      <c r="M81" s="28">
        <v>45296</v>
      </c>
      <c r="N81" s="30">
        <v>0.78545138888888999</v>
      </c>
      <c r="O81" s="27" t="s">
        <v>146</v>
      </c>
      <c r="P81" s="137"/>
      <c r="Q81" t="str">
        <f>IFERROR(IF((_xlfn.XLOOKUP(A81,'Set of Installation'!A:A,'Set of Installation'!C:C)+1)&gt;ABS(K81),"OK","Overusage"),"")</f>
        <v/>
      </c>
      <c r="R81" t="str">
        <f>_xlfn.XLOOKUP(C81,'Checking(ZSERIALS)'!E:E,'Checking(ZSERIALS)'!F:F)</f>
        <v>CHRISTBELLA CONSTRUCTION MANAGEMENT</v>
      </c>
    </row>
    <row r="82" spans="1:18" x14ac:dyDescent="0.3">
      <c r="A82" s="27">
        <v>10001035</v>
      </c>
      <c r="B82" s="27" t="s">
        <v>90</v>
      </c>
      <c r="C82" s="27">
        <v>4500866</v>
      </c>
      <c r="D82" s="27">
        <v>1000</v>
      </c>
      <c r="E82" s="27" t="s">
        <v>53</v>
      </c>
      <c r="F82" s="27" t="s">
        <v>63</v>
      </c>
      <c r="G82" s="27">
        <v>4900015073</v>
      </c>
      <c r="H82" s="27" t="s">
        <v>54</v>
      </c>
      <c r="I82" s="28">
        <v>45296</v>
      </c>
      <c r="J82" s="27" t="s">
        <v>72</v>
      </c>
      <c r="K82" s="29">
        <v>-1</v>
      </c>
      <c r="L82" s="31">
        <v>1680000714015</v>
      </c>
      <c r="M82" s="28">
        <v>45296</v>
      </c>
      <c r="N82" s="30">
        <v>0.74515046296295995</v>
      </c>
      <c r="O82" s="27" t="s">
        <v>143</v>
      </c>
      <c r="P82" s="137"/>
      <c r="Q82" t="str">
        <f>IFERROR(IF((_xlfn.XLOOKUP(A82,'Set of Installation'!A:A,'Set of Installation'!C:C)+1)&gt;ABS(K82),"OK","Overusage"),"")</f>
        <v/>
      </c>
      <c r="R82" t="str">
        <f>_xlfn.XLOOKUP(C82,'Checking(ZSERIALS)'!E:E,'Checking(ZSERIALS)'!F:F)</f>
        <v>CHRISTBELLA CONSTRUCTION MANAGEMENT</v>
      </c>
    </row>
    <row r="83" spans="1:18" x14ac:dyDescent="0.3">
      <c r="A83" s="27">
        <v>10001035</v>
      </c>
      <c r="B83" s="27" t="s">
        <v>90</v>
      </c>
      <c r="C83" s="27">
        <v>4500866</v>
      </c>
      <c r="D83" s="27">
        <v>1000</v>
      </c>
      <c r="E83" s="27" t="s">
        <v>53</v>
      </c>
      <c r="F83" s="27" t="s">
        <v>63</v>
      </c>
      <c r="G83" s="27">
        <v>4900014545</v>
      </c>
      <c r="H83" s="27" t="s">
        <v>54</v>
      </c>
      <c r="I83" s="28">
        <v>45296</v>
      </c>
      <c r="J83" s="27" t="s">
        <v>72</v>
      </c>
      <c r="K83" s="29">
        <v>-1</v>
      </c>
      <c r="L83" s="31">
        <v>1680000712841</v>
      </c>
      <c r="M83" s="28">
        <v>45296</v>
      </c>
      <c r="N83" s="30">
        <v>0.70486111111111005</v>
      </c>
      <c r="O83" s="27" t="s">
        <v>140</v>
      </c>
      <c r="P83" s="137"/>
      <c r="Q83" t="str">
        <f>IFERROR(IF((_xlfn.XLOOKUP(A83,'Set of Installation'!A:A,'Set of Installation'!C:C)+1)&gt;ABS(K83),"OK","Overusage"),"")</f>
        <v/>
      </c>
      <c r="R83" t="str">
        <f>_xlfn.XLOOKUP(C83,'Checking(ZSERIALS)'!E:E,'Checking(ZSERIALS)'!F:F)</f>
        <v>CHRISTBELLA CONSTRUCTION MANAGEMENT</v>
      </c>
    </row>
    <row r="84" spans="1:18" x14ac:dyDescent="0.3">
      <c r="A84" s="27">
        <v>10001035</v>
      </c>
      <c r="B84" s="27" t="s">
        <v>90</v>
      </c>
      <c r="C84" s="27">
        <v>4500866</v>
      </c>
      <c r="D84" s="27">
        <v>1000</v>
      </c>
      <c r="E84" s="27" t="s">
        <v>53</v>
      </c>
      <c r="F84" s="27" t="s">
        <v>63</v>
      </c>
      <c r="G84" s="27">
        <v>4900013195</v>
      </c>
      <c r="H84" s="27" t="s">
        <v>54</v>
      </c>
      <c r="I84" s="28">
        <v>45296</v>
      </c>
      <c r="J84" s="27" t="s">
        <v>72</v>
      </c>
      <c r="K84" s="29">
        <v>-1</v>
      </c>
      <c r="L84" s="31">
        <v>1680000711607</v>
      </c>
      <c r="M84" s="28">
        <v>45296</v>
      </c>
      <c r="N84" s="30">
        <v>0.55971064814814997</v>
      </c>
      <c r="O84" s="27" t="s">
        <v>131</v>
      </c>
      <c r="P84" s="137"/>
      <c r="Q84" t="str">
        <f>IFERROR(IF((_xlfn.XLOOKUP(A84,'Set of Installation'!A:A,'Set of Installation'!C:C)+1)&gt;ABS(K84),"OK","Overusage"),"")</f>
        <v/>
      </c>
      <c r="R84" t="str">
        <f>_xlfn.XLOOKUP(C84,'Checking(ZSERIALS)'!E:E,'Checking(ZSERIALS)'!F:F)</f>
        <v>CHRISTBELLA CONSTRUCTION MANAGEMENT</v>
      </c>
    </row>
    <row r="85" spans="1:18" x14ac:dyDescent="0.3">
      <c r="A85" s="27">
        <v>10001035</v>
      </c>
      <c r="B85" s="27" t="s">
        <v>90</v>
      </c>
      <c r="C85" s="27">
        <v>4500866</v>
      </c>
      <c r="D85" s="27">
        <v>1000</v>
      </c>
      <c r="E85" s="27" t="s">
        <v>53</v>
      </c>
      <c r="F85" s="27" t="s">
        <v>63</v>
      </c>
      <c r="G85" s="27">
        <v>4900014044</v>
      </c>
      <c r="H85" s="27" t="s">
        <v>54</v>
      </c>
      <c r="I85" s="28">
        <v>45296</v>
      </c>
      <c r="J85" s="27" t="s">
        <v>72</v>
      </c>
      <c r="K85" s="29">
        <v>-1</v>
      </c>
      <c r="L85" s="31">
        <v>1680000712396</v>
      </c>
      <c r="M85" s="28">
        <v>45296</v>
      </c>
      <c r="N85" s="30">
        <v>0.65348379629630005</v>
      </c>
      <c r="O85" s="27" t="s">
        <v>137</v>
      </c>
      <c r="P85" s="137"/>
      <c r="Q85" t="str">
        <f>IFERROR(IF((_xlfn.XLOOKUP(A85,'Set of Installation'!A:A,'Set of Installation'!C:C)+1)&gt;ABS(K85),"OK","Overusage"),"")</f>
        <v/>
      </c>
      <c r="R85" t="str">
        <f>_xlfn.XLOOKUP(C85,'Checking(ZSERIALS)'!E:E,'Checking(ZSERIALS)'!F:F)</f>
        <v>CHRISTBELLA CONSTRUCTION MANAGEMENT</v>
      </c>
    </row>
    <row r="86" spans="1:18" x14ac:dyDescent="0.3">
      <c r="A86" s="27">
        <v>10001035</v>
      </c>
      <c r="B86" s="27" t="s">
        <v>90</v>
      </c>
      <c r="C86" s="27">
        <v>4500866</v>
      </c>
      <c r="D86" s="27">
        <v>1000</v>
      </c>
      <c r="E86" s="27" t="s">
        <v>53</v>
      </c>
      <c r="F86" s="27" t="s">
        <v>63</v>
      </c>
      <c r="G86" s="27">
        <v>4900013229</v>
      </c>
      <c r="H86" s="27" t="s">
        <v>54</v>
      </c>
      <c r="I86" s="28">
        <v>45296</v>
      </c>
      <c r="J86" s="27" t="s">
        <v>72</v>
      </c>
      <c r="K86" s="29">
        <v>-1</v>
      </c>
      <c r="L86" s="31">
        <v>1680000700036</v>
      </c>
      <c r="M86" s="28">
        <v>45296</v>
      </c>
      <c r="N86" s="30">
        <v>0.56253472222222001</v>
      </c>
      <c r="O86" s="27" t="s">
        <v>134</v>
      </c>
      <c r="P86" s="137"/>
      <c r="Q86" t="str">
        <f>IFERROR(IF((_xlfn.XLOOKUP(A86,'Set of Installation'!A:A,'Set of Installation'!C:C)+1)&gt;ABS(K86),"OK","Overusage"),"")</f>
        <v/>
      </c>
      <c r="R86" t="str">
        <f>_xlfn.XLOOKUP(C86,'Checking(ZSERIALS)'!E:E,'Checking(ZSERIALS)'!F:F)</f>
        <v>CHRISTBELLA CONSTRUCTION MANAGEMENT</v>
      </c>
    </row>
    <row r="87" spans="1:18" x14ac:dyDescent="0.3">
      <c r="A87" s="27">
        <v>10001035</v>
      </c>
      <c r="B87" s="27" t="s">
        <v>90</v>
      </c>
      <c r="C87" s="27">
        <v>4500866</v>
      </c>
      <c r="D87" s="27">
        <v>1000</v>
      </c>
      <c r="E87" s="27" t="s">
        <v>53</v>
      </c>
      <c r="F87" s="27" t="s">
        <v>63</v>
      </c>
      <c r="G87" s="27">
        <v>4900010419</v>
      </c>
      <c r="H87" s="27" t="s">
        <v>54</v>
      </c>
      <c r="I87" s="28">
        <v>45295</v>
      </c>
      <c r="J87" s="27" t="s">
        <v>72</v>
      </c>
      <c r="K87" s="29">
        <v>-1</v>
      </c>
      <c r="L87" s="31">
        <v>1680000710820</v>
      </c>
      <c r="M87" s="28">
        <v>45295</v>
      </c>
      <c r="N87" s="30">
        <v>0.78190972222221999</v>
      </c>
      <c r="O87" s="27" t="s">
        <v>122</v>
      </c>
      <c r="P87" s="137"/>
      <c r="Q87" t="str">
        <f>IFERROR(IF((_xlfn.XLOOKUP(A87,'Set of Installation'!A:A,'Set of Installation'!C:C)+1)&gt;ABS(K87),"OK","Overusage"),"")</f>
        <v/>
      </c>
      <c r="R87" t="str">
        <f>_xlfn.XLOOKUP(C87,'Checking(ZSERIALS)'!E:E,'Checking(ZSERIALS)'!F:F)</f>
        <v>CHRISTBELLA CONSTRUCTION MANAGEMENT</v>
      </c>
    </row>
    <row r="88" spans="1:18" x14ac:dyDescent="0.3">
      <c r="A88" s="27">
        <v>10001035</v>
      </c>
      <c r="B88" s="27" t="s">
        <v>90</v>
      </c>
      <c r="C88" s="27">
        <v>4500866</v>
      </c>
      <c r="D88" s="27">
        <v>1000</v>
      </c>
      <c r="E88" s="27" t="s">
        <v>53</v>
      </c>
      <c r="F88" s="27" t="s">
        <v>63</v>
      </c>
      <c r="G88" s="27">
        <v>4900010390</v>
      </c>
      <c r="H88" s="27" t="s">
        <v>54</v>
      </c>
      <c r="I88" s="28">
        <v>45295</v>
      </c>
      <c r="J88" s="27" t="s">
        <v>72</v>
      </c>
      <c r="K88" s="29">
        <v>-1</v>
      </c>
      <c r="L88" s="31">
        <v>1680000710858</v>
      </c>
      <c r="M88" s="28">
        <v>45295</v>
      </c>
      <c r="N88" s="30">
        <v>0.77778935185185005</v>
      </c>
      <c r="O88" s="27" t="s">
        <v>119</v>
      </c>
      <c r="P88" s="137"/>
      <c r="Q88" t="str">
        <f>IFERROR(IF((_xlfn.XLOOKUP(A88,'Set of Installation'!A:A,'Set of Installation'!C:C)+1)&gt;ABS(K88),"OK","Overusage"),"")</f>
        <v/>
      </c>
      <c r="R88" t="str">
        <f>_xlfn.XLOOKUP(C88,'Checking(ZSERIALS)'!E:E,'Checking(ZSERIALS)'!F:F)</f>
        <v>CHRISTBELLA CONSTRUCTION MANAGEMENT</v>
      </c>
    </row>
    <row r="89" spans="1:18" x14ac:dyDescent="0.3">
      <c r="A89" s="27">
        <v>10001035</v>
      </c>
      <c r="B89" s="27" t="s">
        <v>90</v>
      </c>
      <c r="C89" s="27">
        <v>4500866</v>
      </c>
      <c r="D89" s="27">
        <v>1000</v>
      </c>
      <c r="E89" s="27" t="s">
        <v>53</v>
      </c>
      <c r="F89" s="27" t="s">
        <v>63</v>
      </c>
      <c r="G89" s="27">
        <v>4900010286</v>
      </c>
      <c r="H89" s="27" t="s">
        <v>54</v>
      </c>
      <c r="I89" s="28">
        <v>45295</v>
      </c>
      <c r="J89" s="27" t="s">
        <v>72</v>
      </c>
      <c r="K89" s="29">
        <v>-1</v>
      </c>
      <c r="L89" s="31">
        <v>1680000706966</v>
      </c>
      <c r="M89" s="28">
        <v>45295</v>
      </c>
      <c r="N89" s="30">
        <v>0.76524305555556005</v>
      </c>
      <c r="O89" s="27" t="s">
        <v>116</v>
      </c>
      <c r="P89" s="137"/>
      <c r="Q89" t="str">
        <f>IFERROR(IF((_xlfn.XLOOKUP(A89,'Set of Installation'!A:A,'Set of Installation'!C:C)+1)&gt;ABS(K89),"OK","Overusage"),"")</f>
        <v/>
      </c>
      <c r="R89" t="str">
        <f>_xlfn.XLOOKUP(C89,'Checking(ZSERIALS)'!E:E,'Checking(ZSERIALS)'!F:F)</f>
        <v>CHRISTBELLA CONSTRUCTION MANAGEMENT</v>
      </c>
    </row>
    <row r="90" spans="1:18" x14ac:dyDescent="0.3">
      <c r="A90" s="27">
        <v>10001035</v>
      </c>
      <c r="B90" s="27" t="s">
        <v>90</v>
      </c>
      <c r="C90" s="27">
        <v>4500866</v>
      </c>
      <c r="D90" s="27">
        <v>1000</v>
      </c>
      <c r="E90" s="27" t="s">
        <v>53</v>
      </c>
      <c r="F90" s="27" t="s">
        <v>63</v>
      </c>
      <c r="G90" s="27">
        <v>4900004105</v>
      </c>
      <c r="H90" s="27" t="s">
        <v>54</v>
      </c>
      <c r="I90" s="28">
        <v>45294</v>
      </c>
      <c r="J90" s="27" t="s">
        <v>72</v>
      </c>
      <c r="K90" s="29">
        <v>-1</v>
      </c>
      <c r="L90" s="31">
        <v>1680000701938</v>
      </c>
      <c r="M90" s="28">
        <v>45294</v>
      </c>
      <c r="N90" s="30">
        <v>0.60273148148148004</v>
      </c>
      <c r="O90" s="27" t="s">
        <v>110</v>
      </c>
      <c r="P90" s="137"/>
      <c r="Q90" t="str">
        <f>IFERROR(IF((_xlfn.XLOOKUP(A90,'Set of Installation'!A:A,'Set of Installation'!C:C)+1)&gt;ABS(K90),"OK","Overusage"),"")</f>
        <v/>
      </c>
      <c r="R90" t="str">
        <f>_xlfn.XLOOKUP(C90,'Checking(ZSERIALS)'!E:E,'Checking(ZSERIALS)'!F:F)</f>
        <v>CHRISTBELLA CONSTRUCTION MANAGEMENT</v>
      </c>
    </row>
    <row r="91" spans="1:18" x14ac:dyDescent="0.3">
      <c r="A91" s="27">
        <v>10001035</v>
      </c>
      <c r="B91" s="27" t="s">
        <v>90</v>
      </c>
      <c r="C91" s="27">
        <v>4500866</v>
      </c>
      <c r="D91" s="27">
        <v>1000</v>
      </c>
      <c r="E91" s="27" t="s">
        <v>53</v>
      </c>
      <c r="F91" s="27" t="s">
        <v>63</v>
      </c>
      <c r="G91" s="27">
        <v>4900003796</v>
      </c>
      <c r="H91" s="27" t="s">
        <v>54</v>
      </c>
      <c r="I91" s="28">
        <v>45294</v>
      </c>
      <c r="J91" s="27" t="s">
        <v>72</v>
      </c>
      <c r="K91" s="29">
        <v>-1</v>
      </c>
      <c r="L91" s="31">
        <v>1680000705942</v>
      </c>
      <c r="M91" s="28">
        <v>45294</v>
      </c>
      <c r="N91" s="30">
        <v>0.56662037037037005</v>
      </c>
      <c r="O91" s="27" t="s">
        <v>107</v>
      </c>
      <c r="P91" s="137"/>
      <c r="Q91" t="str">
        <f>IFERROR(IF((_xlfn.XLOOKUP(A91,'Set of Installation'!A:A,'Set of Installation'!C:C)+1)&gt;ABS(K91),"OK","Overusage"),"")</f>
        <v/>
      </c>
      <c r="R91" t="str">
        <f>_xlfn.XLOOKUP(C91,'Checking(ZSERIALS)'!E:E,'Checking(ZSERIALS)'!F:F)</f>
        <v>CHRISTBELLA CONSTRUCTION MANAGEMENT</v>
      </c>
    </row>
    <row r="92" spans="1:18" x14ac:dyDescent="0.3">
      <c r="A92" s="27">
        <v>10001035</v>
      </c>
      <c r="B92" s="27" t="s">
        <v>90</v>
      </c>
      <c r="C92" s="27">
        <v>4500866</v>
      </c>
      <c r="D92" s="27">
        <v>1000</v>
      </c>
      <c r="E92" s="27" t="s">
        <v>53</v>
      </c>
      <c r="F92" s="27" t="s">
        <v>63</v>
      </c>
      <c r="G92" s="27">
        <v>4900141594</v>
      </c>
      <c r="H92" s="27" t="s">
        <v>54</v>
      </c>
      <c r="I92" s="28">
        <v>45291</v>
      </c>
      <c r="J92" s="27" t="s">
        <v>72</v>
      </c>
      <c r="K92" s="29">
        <v>-1</v>
      </c>
      <c r="L92" s="31">
        <v>1680000698441</v>
      </c>
      <c r="M92" s="28">
        <v>45291</v>
      </c>
      <c r="N92" s="30">
        <v>0.70130787037037001</v>
      </c>
      <c r="O92" s="27" t="s">
        <v>410</v>
      </c>
      <c r="P92" s="137"/>
      <c r="Q92" t="str">
        <f>IFERROR(IF((_xlfn.XLOOKUP(A92,'Set of Installation'!A:A,'Set of Installation'!C:C)+1)&gt;ABS(K92),"OK","Overusage"),"")</f>
        <v/>
      </c>
      <c r="R92" t="str">
        <f>_xlfn.XLOOKUP(C92,'Checking(ZSERIALS)'!E:E,'Checking(ZSERIALS)'!F:F)</f>
        <v>CHRISTBELLA CONSTRUCTION MANAGEMENT</v>
      </c>
    </row>
    <row r="93" spans="1:18" x14ac:dyDescent="0.3">
      <c r="A93" s="27">
        <v>10001035</v>
      </c>
      <c r="B93" s="27" t="s">
        <v>90</v>
      </c>
      <c r="C93" s="27">
        <v>4500866</v>
      </c>
      <c r="D93" s="27">
        <v>1000</v>
      </c>
      <c r="E93" s="27" t="s">
        <v>53</v>
      </c>
      <c r="F93" s="27" t="s">
        <v>63</v>
      </c>
      <c r="G93" s="27">
        <v>4900141475</v>
      </c>
      <c r="H93" s="27" t="s">
        <v>54</v>
      </c>
      <c r="I93" s="28">
        <v>45291</v>
      </c>
      <c r="J93" s="27" t="s">
        <v>72</v>
      </c>
      <c r="K93" s="29">
        <v>-1</v>
      </c>
      <c r="L93" s="31">
        <v>1680000700083</v>
      </c>
      <c r="M93" s="28">
        <v>45291</v>
      </c>
      <c r="N93" s="30">
        <v>0.65686342592592994</v>
      </c>
      <c r="O93" s="27" t="s">
        <v>407</v>
      </c>
      <c r="P93" s="137"/>
      <c r="Q93" t="str">
        <f>IFERROR(IF((_xlfn.XLOOKUP(A93,'Set of Installation'!A:A,'Set of Installation'!C:C)+1)&gt;ABS(K93),"OK","Overusage"),"")</f>
        <v/>
      </c>
      <c r="R93" t="str">
        <f>_xlfn.XLOOKUP(C93,'Checking(ZSERIALS)'!E:E,'Checking(ZSERIALS)'!F:F)</f>
        <v>CHRISTBELLA CONSTRUCTION MANAGEMENT</v>
      </c>
    </row>
    <row r="94" spans="1:18" x14ac:dyDescent="0.3">
      <c r="A94" s="27">
        <v>10001035</v>
      </c>
      <c r="B94" s="27" t="s">
        <v>90</v>
      </c>
      <c r="C94" s="27">
        <v>4500866</v>
      </c>
      <c r="D94" s="27">
        <v>1000</v>
      </c>
      <c r="E94" s="27" t="s">
        <v>53</v>
      </c>
      <c r="F94" s="27" t="s">
        <v>63</v>
      </c>
      <c r="G94" s="27">
        <v>4900140568</v>
      </c>
      <c r="H94" s="27" t="s">
        <v>54</v>
      </c>
      <c r="I94" s="28">
        <v>45291</v>
      </c>
      <c r="J94" s="27" t="s">
        <v>72</v>
      </c>
      <c r="K94" s="29">
        <v>-1</v>
      </c>
      <c r="L94" s="31">
        <v>1680000701674</v>
      </c>
      <c r="M94" s="28">
        <v>45291</v>
      </c>
      <c r="N94" s="30">
        <v>0.42490740740741001</v>
      </c>
      <c r="O94" s="27" t="s">
        <v>392</v>
      </c>
      <c r="P94" s="137"/>
      <c r="Q94" t="str">
        <f>IFERROR(IF((_xlfn.XLOOKUP(A94,'Set of Installation'!A:A,'Set of Installation'!C:C)+1)&gt;ABS(K94),"OK","Overusage"),"")</f>
        <v/>
      </c>
      <c r="R94" t="str">
        <f>_xlfn.XLOOKUP(C94,'Checking(ZSERIALS)'!E:E,'Checking(ZSERIALS)'!F:F)</f>
        <v>CHRISTBELLA CONSTRUCTION MANAGEMENT</v>
      </c>
    </row>
    <row r="95" spans="1:18" x14ac:dyDescent="0.3">
      <c r="A95" s="27">
        <v>10001035</v>
      </c>
      <c r="B95" s="27" t="s">
        <v>90</v>
      </c>
      <c r="C95" s="27">
        <v>4500866</v>
      </c>
      <c r="D95" s="27">
        <v>1000</v>
      </c>
      <c r="E95" s="27" t="s">
        <v>53</v>
      </c>
      <c r="F95" s="27" t="s">
        <v>63</v>
      </c>
      <c r="G95" s="27">
        <v>4900134100</v>
      </c>
      <c r="H95" s="27" t="s">
        <v>54</v>
      </c>
      <c r="I95" s="28">
        <v>45289</v>
      </c>
      <c r="J95" s="27" t="s">
        <v>72</v>
      </c>
      <c r="K95" s="29">
        <v>-1</v>
      </c>
      <c r="L95" s="31">
        <v>1680000700506</v>
      </c>
      <c r="M95" s="28">
        <v>45289</v>
      </c>
      <c r="N95" s="30">
        <v>0.70964120370369999</v>
      </c>
      <c r="O95" s="27" t="s">
        <v>366</v>
      </c>
      <c r="P95" s="137"/>
      <c r="Q95" t="str">
        <f>IFERROR(IF((_xlfn.XLOOKUP(A95,'Set of Installation'!A:A,'Set of Installation'!C:C)+1)&gt;ABS(K95),"OK","Overusage"),"")</f>
        <v/>
      </c>
      <c r="R95" t="str">
        <f>_xlfn.XLOOKUP(C95,'Checking(ZSERIALS)'!E:E,'Checking(ZSERIALS)'!F:F)</f>
        <v>CHRISTBELLA CONSTRUCTION MANAGEMENT</v>
      </c>
    </row>
    <row r="96" spans="1:18" x14ac:dyDescent="0.3">
      <c r="A96" s="27">
        <v>10001035</v>
      </c>
      <c r="B96" s="27" t="s">
        <v>90</v>
      </c>
      <c r="C96" s="27">
        <v>4500866</v>
      </c>
      <c r="D96" s="27">
        <v>1000</v>
      </c>
      <c r="E96" s="27" t="s">
        <v>53</v>
      </c>
      <c r="F96" s="27" t="s">
        <v>63</v>
      </c>
      <c r="G96" s="27">
        <v>4900134266</v>
      </c>
      <c r="H96" s="27" t="s">
        <v>54</v>
      </c>
      <c r="I96" s="28">
        <v>45289</v>
      </c>
      <c r="J96" s="27" t="s">
        <v>72</v>
      </c>
      <c r="K96" s="29">
        <v>-1</v>
      </c>
      <c r="L96" s="31">
        <v>1680000699442</v>
      </c>
      <c r="M96" s="28">
        <v>45289</v>
      </c>
      <c r="N96" s="30">
        <v>0.72211805555555997</v>
      </c>
      <c r="O96" s="27" t="s">
        <v>369</v>
      </c>
      <c r="P96" s="137"/>
      <c r="Q96" t="str">
        <f>IFERROR(IF((_xlfn.XLOOKUP(A96,'Set of Installation'!A:A,'Set of Installation'!C:C)+1)&gt;ABS(K96),"OK","Overusage"),"")</f>
        <v/>
      </c>
      <c r="R96" t="str">
        <f>_xlfn.XLOOKUP(C96,'Checking(ZSERIALS)'!E:E,'Checking(ZSERIALS)'!F:F)</f>
        <v>CHRISTBELLA CONSTRUCTION MANAGEMENT</v>
      </c>
    </row>
    <row r="97" spans="1:18" x14ac:dyDescent="0.3">
      <c r="A97" s="27">
        <v>10001035</v>
      </c>
      <c r="B97" s="27" t="s">
        <v>90</v>
      </c>
      <c r="C97" s="27">
        <v>4500866</v>
      </c>
      <c r="D97" s="27">
        <v>1000</v>
      </c>
      <c r="E97" s="27" t="s">
        <v>53</v>
      </c>
      <c r="F97" s="27" t="s">
        <v>63</v>
      </c>
      <c r="G97" s="27">
        <v>4900133939</v>
      </c>
      <c r="H97" s="27" t="s">
        <v>54</v>
      </c>
      <c r="I97" s="28">
        <v>45289</v>
      </c>
      <c r="J97" s="27" t="s">
        <v>72</v>
      </c>
      <c r="K97" s="29">
        <v>-1</v>
      </c>
      <c r="L97" s="31">
        <v>1680000700086</v>
      </c>
      <c r="M97" s="28">
        <v>45289</v>
      </c>
      <c r="N97" s="30">
        <v>0.69855324074073999</v>
      </c>
      <c r="O97" s="27" t="s">
        <v>363</v>
      </c>
      <c r="P97" s="137"/>
      <c r="Q97" t="str">
        <f>IFERROR(IF((_xlfn.XLOOKUP(A97,'Set of Installation'!A:A,'Set of Installation'!C:C)+1)&gt;ABS(K97),"OK","Overusage"),"")</f>
        <v/>
      </c>
      <c r="R97" t="str">
        <f>_xlfn.XLOOKUP(C97,'Checking(ZSERIALS)'!E:E,'Checking(ZSERIALS)'!F:F)</f>
        <v>CHRISTBELLA CONSTRUCTION MANAGEMENT</v>
      </c>
    </row>
    <row r="98" spans="1:18" x14ac:dyDescent="0.3">
      <c r="A98" s="27">
        <v>10001035</v>
      </c>
      <c r="B98" s="27" t="s">
        <v>90</v>
      </c>
      <c r="C98" s="27">
        <v>4500866</v>
      </c>
      <c r="D98" s="27">
        <v>1000</v>
      </c>
      <c r="E98" s="27" t="s">
        <v>53</v>
      </c>
      <c r="F98" s="27" t="s">
        <v>63</v>
      </c>
      <c r="G98" s="27">
        <v>4900132653</v>
      </c>
      <c r="H98" s="27" t="s">
        <v>54</v>
      </c>
      <c r="I98" s="28">
        <v>45289</v>
      </c>
      <c r="J98" s="27" t="s">
        <v>72</v>
      </c>
      <c r="K98" s="29">
        <v>-1</v>
      </c>
      <c r="L98" s="31">
        <v>1680000699895</v>
      </c>
      <c r="M98" s="28">
        <v>45289</v>
      </c>
      <c r="N98" s="30">
        <v>0.55684027777778</v>
      </c>
      <c r="O98" s="27" t="s">
        <v>360</v>
      </c>
      <c r="P98" s="137"/>
      <c r="Q98" t="str">
        <f>IFERROR(IF((_xlfn.XLOOKUP(A98,'Set of Installation'!A:A,'Set of Installation'!C:C)+1)&gt;ABS(K98),"OK","Overusage"),"")</f>
        <v/>
      </c>
      <c r="R98" t="str">
        <f>_xlfn.XLOOKUP(C98,'Checking(ZSERIALS)'!E:E,'Checking(ZSERIALS)'!F:F)</f>
        <v>CHRISTBELLA CONSTRUCTION MANAGEMENT</v>
      </c>
    </row>
    <row r="99" spans="1:18" x14ac:dyDescent="0.3">
      <c r="A99" s="27">
        <v>10001035</v>
      </c>
      <c r="B99" s="27" t="s">
        <v>90</v>
      </c>
      <c r="C99" s="27">
        <v>4500866</v>
      </c>
      <c r="D99" s="27">
        <v>1000</v>
      </c>
      <c r="E99" s="27" t="s">
        <v>53</v>
      </c>
      <c r="F99" s="27" t="s">
        <v>63</v>
      </c>
      <c r="G99" s="27">
        <v>4900128935</v>
      </c>
      <c r="H99" s="27" t="s">
        <v>54</v>
      </c>
      <c r="I99" s="28">
        <v>45288</v>
      </c>
      <c r="J99" s="27" t="s">
        <v>72</v>
      </c>
      <c r="K99" s="29">
        <v>-1</v>
      </c>
      <c r="L99" s="31">
        <v>1680000697505</v>
      </c>
      <c r="M99" s="28">
        <v>45288</v>
      </c>
      <c r="N99" s="30">
        <v>0.67491898148148</v>
      </c>
      <c r="O99" s="27" t="s">
        <v>349</v>
      </c>
      <c r="P99" s="137"/>
      <c r="Q99" t="str">
        <f>IFERROR(IF((_xlfn.XLOOKUP(A99,'Set of Installation'!A:A,'Set of Installation'!C:C)+1)&gt;ABS(K99),"OK","Overusage"),"")</f>
        <v/>
      </c>
      <c r="R99" t="str">
        <f>_xlfn.XLOOKUP(C99,'Checking(ZSERIALS)'!E:E,'Checking(ZSERIALS)'!F:F)</f>
        <v>CHRISTBELLA CONSTRUCTION MANAGEMENT</v>
      </c>
    </row>
    <row r="100" spans="1:18" x14ac:dyDescent="0.3">
      <c r="A100" s="27">
        <v>10001035</v>
      </c>
      <c r="B100" s="27" t="s">
        <v>90</v>
      </c>
      <c r="C100" s="27">
        <v>4500866</v>
      </c>
      <c r="D100" s="27">
        <v>1000</v>
      </c>
      <c r="E100" s="27" t="s">
        <v>53</v>
      </c>
      <c r="F100" s="27" t="s">
        <v>63</v>
      </c>
      <c r="G100" s="27">
        <v>4900127846</v>
      </c>
      <c r="H100" s="27" t="s">
        <v>54</v>
      </c>
      <c r="I100" s="28">
        <v>45288</v>
      </c>
      <c r="J100" s="27" t="s">
        <v>72</v>
      </c>
      <c r="K100" s="29">
        <v>-1</v>
      </c>
      <c r="L100" s="31">
        <v>1680000696871</v>
      </c>
      <c r="M100" s="28">
        <v>45288</v>
      </c>
      <c r="N100" s="30">
        <v>0.54296296296295998</v>
      </c>
      <c r="O100" s="27" t="s">
        <v>346</v>
      </c>
      <c r="P100" s="137"/>
      <c r="Q100" t="str">
        <f>IFERROR(IF((_xlfn.XLOOKUP(A100,'Set of Installation'!A:A,'Set of Installation'!C:C)+1)&gt;ABS(K100),"OK","Overusage"),"")</f>
        <v/>
      </c>
      <c r="R100" t="str">
        <f>_xlfn.XLOOKUP(C100,'Checking(ZSERIALS)'!E:E,'Checking(ZSERIALS)'!F:F)</f>
        <v>CHRISTBELLA CONSTRUCTION MANAGEMENT</v>
      </c>
    </row>
    <row r="101" spans="1:18" x14ac:dyDescent="0.3">
      <c r="A101" s="27">
        <v>10001035</v>
      </c>
      <c r="B101" s="27" t="s">
        <v>90</v>
      </c>
      <c r="C101" s="27">
        <v>4500866</v>
      </c>
      <c r="D101" s="27">
        <v>1000</v>
      </c>
      <c r="E101" s="27" t="s">
        <v>53</v>
      </c>
      <c r="F101" s="27" t="s">
        <v>63</v>
      </c>
      <c r="G101" s="27">
        <v>4900123874</v>
      </c>
      <c r="H101" s="27" t="s">
        <v>54</v>
      </c>
      <c r="I101" s="28">
        <v>45287</v>
      </c>
      <c r="J101" s="27" t="s">
        <v>72</v>
      </c>
      <c r="K101" s="29">
        <v>-1</v>
      </c>
      <c r="L101" s="31">
        <v>1680000693742</v>
      </c>
      <c r="M101" s="28">
        <v>45287</v>
      </c>
      <c r="N101" s="30">
        <v>0.61239583333333003</v>
      </c>
      <c r="O101" s="27" t="s">
        <v>335</v>
      </c>
      <c r="P101" s="137"/>
      <c r="Q101" t="str">
        <f>IFERROR(IF((_xlfn.XLOOKUP(A101,'Set of Installation'!A:A,'Set of Installation'!C:C)+1)&gt;ABS(K101),"OK","Overusage"),"")</f>
        <v/>
      </c>
      <c r="R101" t="str">
        <f>_xlfn.XLOOKUP(C101,'Checking(ZSERIALS)'!E:E,'Checking(ZSERIALS)'!F:F)</f>
        <v>CHRISTBELLA CONSTRUCTION MANAGEMENT</v>
      </c>
    </row>
    <row r="102" spans="1:18" x14ac:dyDescent="0.3">
      <c r="A102" s="27">
        <v>10001035</v>
      </c>
      <c r="B102" s="27" t="s">
        <v>90</v>
      </c>
      <c r="C102" s="27">
        <v>4500866</v>
      </c>
      <c r="D102" s="27">
        <v>1000</v>
      </c>
      <c r="E102" s="27" t="s">
        <v>53</v>
      </c>
      <c r="F102" s="27" t="s">
        <v>63</v>
      </c>
      <c r="G102" s="27">
        <v>4900124783</v>
      </c>
      <c r="H102" s="27" t="s">
        <v>54</v>
      </c>
      <c r="I102" s="28">
        <v>45287</v>
      </c>
      <c r="J102" s="27" t="s">
        <v>72</v>
      </c>
      <c r="K102" s="29">
        <v>-1</v>
      </c>
      <c r="L102" s="31">
        <v>1680000577687</v>
      </c>
      <c r="M102" s="28">
        <v>45287</v>
      </c>
      <c r="N102" s="30">
        <v>0.70959490740741005</v>
      </c>
      <c r="O102" s="27">
        <v>10973205223</v>
      </c>
      <c r="P102" s="137"/>
      <c r="Q102" t="str">
        <f>IFERROR(IF((_xlfn.XLOOKUP(A102,'Set of Installation'!A:A,'Set of Installation'!C:C)+1)&gt;ABS(K102),"OK","Overusage"),"")</f>
        <v/>
      </c>
      <c r="R102" t="str">
        <f>_xlfn.XLOOKUP(C102,'Checking(ZSERIALS)'!E:E,'Checking(ZSERIALS)'!F:F)</f>
        <v>CHRISTBELLA CONSTRUCTION MANAGEMENT</v>
      </c>
    </row>
    <row r="103" spans="1:18" x14ac:dyDescent="0.3">
      <c r="A103" s="27">
        <v>10001035</v>
      </c>
      <c r="B103" s="27" t="s">
        <v>90</v>
      </c>
      <c r="C103" s="27">
        <v>4500866</v>
      </c>
      <c r="D103" s="27">
        <v>1000</v>
      </c>
      <c r="E103" s="27" t="s">
        <v>53</v>
      </c>
      <c r="F103" s="27" t="s">
        <v>63</v>
      </c>
      <c r="G103" s="27">
        <v>4900125232</v>
      </c>
      <c r="H103" s="27" t="s">
        <v>54</v>
      </c>
      <c r="I103" s="28">
        <v>45287</v>
      </c>
      <c r="J103" s="27" t="s">
        <v>72</v>
      </c>
      <c r="K103" s="29">
        <v>-1</v>
      </c>
      <c r="L103" s="31">
        <v>1680000692270</v>
      </c>
      <c r="M103" s="28">
        <v>45287</v>
      </c>
      <c r="N103" s="30">
        <v>0.75821759259259003</v>
      </c>
      <c r="O103" s="27" t="s">
        <v>340</v>
      </c>
      <c r="P103" s="137"/>
      <c r="Q103" t="str">
        <f>IFERROR(IF((_xlfn.XLOOKUP(A103,'Set of Installation'!A:A,'Set of Installation'!C:C)+1)&gt;ABS(K103),"OK","Overusage"),"")</f>
        <v/>
      </c>
      <c r="R103" t="str">
        <f>_xlfn.XLOOKUP(C103,'Checking(ZSERIALS)'!E:E,'Checking(ZSERIALS)'!F:F)</f>
        <v>CHRISTBELLA CONSTRUCTION MANAGEMENT</v>
      </c>
    </row>
    <row r="104" spans="1:18" x14ac:dyDescent="0.3">
      <c r="A104" s="27">
        <v>10001035</v>
      </c>
      <c r="B104" s="27" t="s">
        <v>90</v>
      </c>
      <c r="C104" s="27">
        <v>4500866</v>
      </c>
      <c r="D104" s="27">
        <v>1000</v>
      </c>
      <c r="E104" s="27" t="s">
        <v>53</v>
      </c>
      <c r="F104" s="27" t="s">
        <v>63</v>
      </c>
      <c r="G104" s="27">
        <v>4900120406</v>
      </c>
      <c r="H104" s="27" t="s">
        <v>54</v>
      </c>
      <c r="I104" s="28">
        <v>45286</v>
      </c>
      <c r="J104" s="27" t="s">
        <v>72</v>
      </c>
      <c r="K104" s="29">
        <v>-1</v>
      </c>
      <c r="L104" s="31">
        <v>1680000691706</v>
      </c>
      <c r="M104" s="28">
        <v>45286</v>
      </c>
      <c r="N104" s="30">
        <v>0.56233796296296001</v>
      </c>
      <c r="O104" s="27" t="s">
        <v>332</v>
      </c>
      <c r="P104" s="137"/>
      <c r="Q104" t="str">
        <f>IFERROR(IF((_xlfn.XLOOKUP(A104,'Set of Installation'!A:A,'Set of Installation'!C:C)+1)&gt;ABS(K104),"OK","Overusage"),"")</f>
        <v/>
      </c>
      <c r="R104" t="str">
        <f>_xlfn.XLOOKUP(C104,'Checking(ZSERIALS)'!E:E,'Checking(ZSERIALS)'!F:F)</f>
        <v>CHRISTBELLA CONSTRUCTION MANAGEMENT</v>
      </c>
    </row>
    <row r="105" spans="1:18" x14ac:dyDescent="0.3">
      <c r="A105" s="27">
        <v>40000009</v>
      </c>
      <c r="B105" s="27" t="s">
        <v>16</v>
      </c>
      <c r="C105" s="27">
        <v>4500866</v>
      </c>
      <c r="D105" s="27">
        <v>1000</v>
      </c>
      <c r="E105" s="27" t="s">
        <v>53</v>
      </c>
      <c r="F105" s="27" t="s">
        <v>73</v>
      </c>
      <c r="G105" s="27">
        <v>4900065493</v>
      </c>
      <c r="H105" s="27" t="s">
        <v>54</v>
      </c>
      <c r="I105" s="28">
        <v>45307</v>
      </c>
      <c r="J105" s="27" t="s">
        <v>72</v>
      </c>
      <c r="K105" s="29">
        <v>-5</v>
      </c>
      <c r="L105" s="31">
        <v>1680000745079</v>
      </c>
      <c r="M105" s="28">
        <v>45307</v>
      </c>
      <c r="N105" s="30">
        <v>0.54668981481481005</v>
      </c>
      <c r="O105" s="27" t="s">
        <v>329</v>
      </c>
      <c r="P105" s="137"/>
      <c r="Q105" t="str">
        <f>IFERROR(IF((_xlfn.XLOOKUP(A105,'Set of Installation'!A:A,'Set of Installation'!C:C)+1)&gt;ABS(K105),"OK","Overusage"),"")</f>
        <v>OK</v>
      </c>
      <c r="R105" t="str">
        <f>_xlfn.XLOOKUP(C105,'Checking(ZSERIALS)'!E:E,'Checking(ZSERIALS)'!F:F)</f>
        <v>CHRISTBELLA CONSTRUCTION MANAGEMENT</v>
      </c>
    </row>
    <row r="106" spans="1:18" x14ac:dyDescent="0.3">
      <c r="A106" s="27">
        <v>40000009</v>
      </c>
      <c r="B106" s="27" t="s">
        <v>16</v>
      </c>
      <c r="C106" s="27">
        <v>4500866</v>
      </c>
      <c r="D106" s="27">
        <v>1000</v>
      </c>
      <c r="E106" s="27" t="s">
        <v>53</v>
      </c>
      <c r="F106" s="27" t="s">
        <v>73</v>
      </c>
      <c r="G106" s="27">
        <v>4900065059</v>
      </c>
      <c r="H106" s="27" t="s">
        <v>54</v>
      </c>
      <c r="I106" s="28">
        <v>45307</v>
      </c>
      <c r="J106" s="27" t="s">
        <v>72</v>
      </c>
      <c r="K106" s="29">
        <v>-8</v>
      </c>
      <c r="L106" s="31">
        <v>1680000745056</v>
      </c>
      <c r="M106" s="28">
        <v>45307</v>
      </c>
      <c r="N106" s="30">
        <v>0.49394675925926002</v>
      </c>
      <c r="O106" s="27" t="s">
        <v>326</v>
      </c>
      <c r="P106" s="137"/>
      <c r="Q106" t="str">
        <f>IFERROR(IF((_xlfn.XLOOKUP(A106,'Set of Installation'!A:A,'Set of Installation'!C:C)+1)&gt;ABS(K106),"OK","Overusage"),"")</f>
        <v>OK</v>
      </c>
      <c r="R106" t="str">
        <f>_xlfn.XLOOKUP(C106,'Checking(ZSERIALS)'!E:E,'Checking(ZSERIALS)'!F:F)</f>
        <v>CHRISTBELLA CONSTRUCTION MANAGEMENT</v>
      </c>
    </row>
    <row r="107" spans="1:18" x14ac:dyDescent="0.3">
      <c r="A107" s="27">
        <v>40000009</v>
      </c>
      <c r="B107" s="27" t="s">
        <v>16</v>
      </c>
      <c r="C107" s="27">
        <v>4500866</v>
      </c>
      <c r="D107" s="27">
        <v>1000</v>
      </c>
      <c r="E107" s="27" t="s">
        <v>53</v>
      </c>
      <c r="F107" s="27" t="s">
        <v>73</v>
      </c>
      <c r="G107" s="27">
        <v>4900062310</v>
      </c>
      <c r="H107" s="27" t="s">
        <v>54</v>
      </c>
      <c r="I107" s="28">
        <v>45306</v>
      </c>
      <c r="J107" s="27" t="s">
        <v>72</v>
      </c>
      <c r="K107" s="29">
        <v>-5</v>
      </c>
      <c r="L107" s="31">
        <v>1680000743454</v>
      </c>
      <c r="M107" s="28">
        <v>45306</v>
      </c>
      <c r="N107" s="30">
        <v>0.73282407407407002</v>
      </c>
      <c r="O107" s="27" t="s">
        <v>323</v>
      </c>
      <c r="P107" s="137"/>
      <c r="Q107" t="str">
        <f>IFERROR(IF((_xlfn.XLOOKUP(A107,'Set of Installation'!A:A,'Set of Installation'!C:C)+1)&gt;ABS(K107),"OK","Overusage"),"")</f>
        <v>OK</v>
      </c>
      <c r="R107" t="str">
        <f>_xlfn.XLOOKUP(C107,'Checking(ZSERIALS)'!E:E,'Checking(ZSERIALS)'!F:F)</f>
        <v>CHRISTBELLA CONSTRUCTION MANAGEMENT</v>
      </c>
    </row>
    <row r="108" spans="1:18" x14ac:dyDescent="0.3">
      <c r="A108" s="27">
        <v>40000009</v>
      </c>
      <c r="B108" s="27" t="s">
        <v>16</v>
      </c>
      <c r="C108" s="27">
        <v>4500866</v>
      </c>
      <c r="D108" s="27">
        <v>1000</v>
      </c>
      <c r="E108" s="27" t="s">
        <v>53</v>
      </c>
      <c r="F108" s="27" t="s">
        <v>73</v>
      </c>
      <c r="G108" s="27">
        <v>4900061188</v>
      </c>
      <c r="H108" s="27" t="s">
        <v>54</v>
      </c>
      <c r="I108" s="28">
        <v>45306</v>
      </c>
      <c r="J108" s="27" t="s">
        <v>72</v>
      </c>
      <c r="K108" s="29">
        <v>-10</v>
      </c>
      <c r="L108" s="31">
        <v>1680000740302</v>
      </c>
      <c r="M108" s="28">
        <v>45306</v>
      </c>
      <c r="N108" s="30">
        <v>0.63283564814814997</v>
      </c>
      <c r="O108" s="27" t="s">
        <v>311</v>
      </c>
      <c r="P108" s="137"/>
      <c r="Q108" t="str">
        <f>IFERROR(IF((_xlfn.XLOOKUP(A108,'Set of Installation'!A:A,'Set of Installation'!C:C)+1)&gt;ABS(K108),"OK","Overusage"),"")</f>
        <v>OK</v>
      </c>
      <c r="R108" t="str">
        <f>_xlfn.XLOOKUP(C108,'Checking(ZSERIALS)'!E:E,'Checking(ZSERIALS)'!F:F)</f>
        <v>CHRISTBELLA CONSTRUCTION MANAGEMENT</v>
      </c>
    </row>
    <row r="109" spans="1:18" x14ac:dyDescent="0.3">
      <c r="A109" s="27">
        <v>40000009</v>
      </c>
      <c r="B109" s="27" t="s">
        <v>16</v>
      </c>
      <c r="C109" s="27">
        <v>4500866</v>
      </c>
      <c r="D109" s="27">
        <v>1000</v>
      </c>
      <c r="E109" s="27" t="s">
        <v>53</v>
      </c>
      <c r="F109" s="27" t="s">
        <v>73</v>
      </c>
      <c r="G109" s="27">
        <v>4900060842</v>
      </c>
      <c r="H109" s="27" t="s">
        <v>54</v>
      </c>
      <c r="I109" s="28">
        <v>45306</v>
      </c>
      <c r="J109" s="27" t="s">
        <v>72</v>
      </c>
      <c r="K109" s="29">
        <v>-8</v>
      </c>
      <c r="L109" s="31">
        <v>1680000742601</v>
      </c>
      <c r="M109" s="28">
        <v>45306</v>
      </c>
      <c r="N109" s="30">
        <v>0.59668981481480998</v>
      </c>
      <c r="O109" s="27" t="s">
        <v>308</v>
      </c>
      <c r="P109" s="137"/>
      <c r="Q109" t="str">
        <f>IFERROR(IF((_xlfn.XLOOKUP(A109,'Set of Installation'!A:A,'Set of Installation'!C:C)+1)&gt;ABS(K109),"OK","Overusage"),"")</f>
        <v>OK</v>
      </c>
      <c r="R109" t="str">
        <f>_xlfn.XLOOKUP(C109,'Checking(ZSERIALS)'!E:E,'Checking(ZSERIALS)'!F:F)</f>
        <v>CHRISTBELLA CONSTRUCTION MANAGEMENT</v>
      </c>
    </row>
    <row r="110" spans="1:18" x14ac:dyDescent="0.3">
      <c r="A110" s="27">
        <v>40000009</v>
      </c>
      <c r="B110" s="27" t="s">
        <v>16</v>
      </c>
      <c r="C110" s="27">
        <v>4500866</v>
      </c>
      <c r="D110" s="27">
        <v>1000</v>
      </c>
      <c r="E110" s="27" t="s">
        <v>53</v>
      </c>
      <c r="F110" s="27" t="s">
        <v>73</v>
      </c>
      <c r="G110" s="27">
        <v>4900061363</v>
      </c>
      <c r="H110" s="27" t="s">
        <v>54</v>
      </c>
      <c r="I110" s="28">
        <v>45306</v>
      </c>
      <c r="J110" s="27" t="s">
        <v>72</v>
      </c>
      <c r="K110" s="29">
        <v>-5</v>
      </c>
      <c r="L110" s="31">
        <v>1680000740804</v>
      </c>
      <c r="M110" s="28">
        <v>45306</v>
      </c>
      <c r="N110" s="30">
        <v>0.64531249999999996</v>
      </c>
      <c r="O110" s="27" t="s">
        <v>314</v>
      </c>
      <c r="P110" s="137"/>
      <c r="Q110" t="str">
        <f>IFERROR(IF((_xlfn.XLOOKUP(A110,'Set of Installation'!A:A,'Set of Installation'!C:C)+1)&gt;ABS(K110),"OK","Overusage"),"")</f>
        <v>OK</v>
      </c>
      <c r="R110" t="str">
        <f>_xlfn.XLOOKUP(C110,'Checking(ZSERIALS)'!E:E,'Checking(ZSERIALS)'!F:F)</f>
        <v>CHRISTBELLA CONSTRUCTION MANAGEMENT</v>
      </c>
    </row>
    <row r="111" spans="1:18" x14ac:dyDescent="0.3">
      <c r="A111" s="27">
        <v>40000009</v>
      </c>
      <c r="B111" s="27" t="s">
        <v>16</v>
      </c>
      <c r="C111" s="27">
        <v>4500866</v>
      </c>
      <c r="D111" s="27">
        <v>1000</v>
      </c>
      <c r="E111" s="27" t="s">
        <v>53</v>
      </c>
      <c r="F111" s="27" t="s">
        <v>73</v>
      </c>
      <c r="G111" s="27">
        <v>4900061600</v>
      </c>
      <c r="H111" s="27" t="s">
        <v>54</v>
      </c>
      <c r="I111" s="28">
        <v>45306</v>
      </c>
      <c r="J111" s="27" t="s">
        <v>72</v>
      </c>
      <c r="K111" s="29">
        <v>-5</v>
      </c>
      <c r="L111" s="31">
        <v>1680000743530</v>
      </c>
      <c r="M111" s="28">
        <v>45306</v>
      </c>
      <c r="N111" s="30">
        <v>0.66474537037036996</v>
      </c>
      <c r="O111" s="27" t="s">
        <v>317</v>
      </c>
      <c r="P111" s="137"/>
      <c r="Q111" t="str">
        <f>IFERROR(IF((_xlfn.XLOOKUP(A111,'Set of Installation'!A:A,'Set of Installation'!C:C)+1)&gt;ABS(K111),"OK","Overusage"),"")</f>
        <v>OK</v>
      </c>
      <c r="R111" t="str">
        <f>_xlfn.XLOOKUP(C111,'Checking(ZSERIALS)'!E:E,'Checking(ZSERIALS)'!F:F)</f>
        <v>CHRISTBELLA CONSTRUCTION MANAGEMENT</v>
      </c>
    </row>
    <row r="112" spans="1:18" x14ac:dyDescent="0.3">
      <c r="A112" s="27">
        <v>40000009</v>
      </c>
      <c r="B112" s="27" t="s">
        <v>16</v>
      </c>
      <c r="C112" s="27">
        <v>4500866</v>
      </c>
      <c r="D112" s="27">
        <v>1000</v>
      </c>
      <c r="E112" s="27" t="s">
        <v>53</v>
      </c>
      <c r="F112" s="27" t="s">
        <v>73</v>
      </c>
      <c r="G112" s="27">
        <v>4900055724</v>
      </c>
      <c r="H112" s="27" t="s">
        <v>54</v>
      </c>
      <c r="I112" s="28">
        <v>45305</v>
      </c>
      <c r="J112" s="27" t="s">
        <v>72</v>
      </c>
      <c r="K112" s="29">
        <v>-8</v>
      </c>
      <c r="L112" s="31">
        <v>1680000735112</v>
      </c>
      <c r="M112" s="28">
        <v>45305</v>
      </c>
      <c r="N112" s="30">
        <v>0.46473379629630002</v>
      </c>
      <c r="O112" s="27" t="s">
        <v>296</v>
      </c>
      <c r="P112" s="137"/>
      <c r="Q112" t="str">
        <f>IFERROR(IF((_xlfn.XLOOKUP(A112,'Set of Installation'!A:A,'Set of Installation'!C:C)+1)&gt;ABS(K112),"OK","Overusage"),"")</f>
        <v>OK</v>
      </c>
      <c r="R112" t="str">
        <f>_xlfn.XLOOKUP(C112,'Checking(ZSERIALS)'!E:E,'Checking(ZSERIALS)'!F:F)</f>
        <v>CHRISTBELLA CONSTRUCTION MANAGEMENT</v>
      </c>
    </row>
    <row r="113" spans="1:18" x14ac:dyDescent="0.3">
      <c r="A113" s="27">
        <v>40000009</v>
      </c>
      <c r="B113" s="27" t="s">
        <v>16</v>
      </c>
      <c r="C113" s="27">
        <v>4500866</v>
      </c>
      <c r="D113" s="27">
        <v>1000</v>
      </c>
      <c r="E113" s="27" t="s">
        <v>53</v>
      </c>
      <c r="F113" s="27" t="s">
        <v>73</v>
      </c>
      <c r="G113" s="27">
        <v>4900056186</v>
      </c>
      <c r="H113" s="27" t="s">
        <v>54</v>
      </c>
      <c r="I113" s="28">
        <v>45305</v>
      </c>
      <c r="J113" s="27" t="s">
        <v>72</v>
      </c>
      <c r="K113" s="29">
        <v>-8</v>
      </c>
      <c r="L113" s="31">
        <v>1680000735786</v>
      </c>
      <c r="M113" s="28">
        <v>45305</v>
      </c>
      <c r="N113" s="30">
        <v>0.53276620370369998</v>
      </c>
      <c r="O113" s="27" t="s">
        <v>299</v>
      </c>
      <c r="P113" s="137"/>
      <c r="Q113" t="str">
        <f>IFERROR(IF((_xlfn.XLOOKUP(A113,'Set of Installation'!A:A,'Set of Installation'!C:C)+1)&gt;ABS(K113),"OK","Overusage"),"")</f>
        <v>OK</v>
      </c>
      <c r="R113" t="str">
        <f>_xlfn.XLOOKUP(C113,'Checking(ZSERIALS)'!E:E,'Checking(ZSERIALS)'!F:F)</f>
        <v>CHRISTBELLA CONSTRUCTION MANAGEMENT</v>
      </c>
    </row>
    <row r="114" spans="1:18" x14ac:dyDescent="0.3">
      <c r="A114" s="27">
        <v>40000009</v>
      </c>
      <c r="B114" s="27" t="s">
        <v>16</v>
      </c>
      <c r="C114" s="27">
        <v>4500866</v>
      </c>
      <c r="D114" s="27">
        <v>1000</v>
      </c>
      <c r="E114" s="27" t="s">
        <v>53</v>
      </c>
      <c r="F114" s="27" t="s">
        <v>73</v>
      </c>
      <c r="G114" s="27">
        <v>4900051046</v>
      </c>
      <c r="H114" s="27" t="s">
        <v>54</v>
      </c>
      <c r="I114" s="28">
        <v>45304</v>
      </c>
      <c r="J114" s="27" t="s">
        <v>72</v>
      </c>
      <c r="K114" s="29">
        <v>-3</v>
      </c>
      <c r="L114" s="31">
        <v>1680000725181</v>
      </c>
      <c r="M114" s="28">
        <v>45304</v>
      </c>
      <c r="N114" s="30">
        <v>0.54524305555555996</v>
      </c>
      <c r="O114" s="27" t="s">
        <v>287</v>
      </c>
      <c r="P114" s="137"/>
      <c r="Q114" t="str">
        <f>IFERROR(IF((_xlfn.XLOOKUP(A114,'Set of Installation'!A:A,'Set of Installation'!C:C)+1)&gt;ABS(K114),"OK","Overusage"),"")</f>
        <v>OK</v>
      </c>
      <c r="R114" t="str">
        <f>_xlfn.XLOOKUP(C114,'Checking(ZSERIALS)'!E:E,'Checking(ZSERIALS)'!F:F)</f>
        <v>CHRISTBELLA CONSTRUCTION MANAGEMENT</v>
      </c>
    </row>
    <row r="115" spans="1:18" x14ac:dyDescent="0.3">
      <c r="A115" s="27">
        <v>40000009</v>
      </c>
      <c r="B115" s="27" t="s">
        <v>16</v>
      </c>
      <c r="C115" s="27">
        <v>4500866</v>
      </c>
      <c r="D115" s="27">
        <v>1000</v>
      </c>
      <c r="E115" s="27" t="s">
        <v>53</v>
      </c>
      <c r="F115" s="27" t="s">
        <v>73</v>
      </c>
      <c r="G115" s="27">
        <v>4900047384</v>
      </c>
      <c r="H115" s="27" t="s">
        <v>54</v>
      </c>
      <c r="I115" s="28">
        <v>45303</v>
      </c>
      <c r="J115" s="27" t="s">
        <v>72</v>
      </c>
      <c r="K115" s="29">
        <v>-8</v>
      </c>
      <c r="L115" s="31">
        <v>1680000734654</v>
      </c>
      <c r="M115" s="28">
        <v>45303</v>
      </c>
      <c r="N115" s="30">
        <v>0.67997685185184997</v>
      </c>
      <c r="O115" s="27" t="s">
        <v>278</v>
      </c>
      <c r="P115" s="137"/>
      <c r="Q115" t="str">
        <f>IFERROR(IF((_xlfn.XLOOKUP(A115,'Set of Installation'!A:A,'Set of Installation'!C:C)+1)&gt;ABS(K115),"OK","Overusage"),"")</f>
        <v>OK</v>
      </c>
      <c r="R115" t="str">
        <f>_xlfn.XLOOKUP(C115,'Checking(ZSERIALS)'!E:E,'Checking(ZSERIALS)'!F:F)</f>
        <v>CHRISTBELLA CONSTRUCTION MANAGEMENT</v>
      </c>
    </row>
    <row r="116" spans="1:18" x14ac:dyDescent="0.3">
      <c r="A116" s="27">
        <v>40000009</v>
      </c>
      <c r="B116" s="27" t="s">
        <v>16</v>
      </c>
      <c r="C116" s="27">
        <v>4500866</v>
      </c>
      <c r="D116" s="27">
        <v>1000</v>
      </c>
      <c r="E116" s="27" t="s">
        <v>53</v>
      </c>
      <c r="F116" s="27" t="s">
        <v>73</v>
      </c>
      <c r="G116" s="27">
        <v>4900048171</v>
      </c>
      <c r="H116" s="27" t="s">
        <v>54</v>
      </c>
      <c r="I116" s="28">
        <v>45303</v>
      </c>
      <c r="J116" s="27" t="s">
        <v>72</v>
      </c>
      <c r="K116" s="29">
        <v>-10</v>
      </c>
      <c r="L116" s="31">
        <v>1680000734332</v>
      </c>
      <c r="M116" s="28">
        <v>45303</v>
      </c>
      <c r="N116" s="30">
        <v>0.75217592592592997</v>
      </c>
      <c r="O116" s="27" t="s">
        <v>281</v>
      </c>
      <c r="P116" s="137"/>
      <c r="Q116" t="str">
        <f>IFERROR(IF((_xlfn.XLOOKUP(A116,'Set of Installation'!A:A,'Set of Installation'!C:C)+1)&gt;ABS(K116),"OK","Overusage"),"")</f>
        <v>OK</v>
      </c>
      <c r="R116" t="str">
        <f>_xlfn.XLOOKUP(C116,'Checking(ZSERIALS)'!E:E,'Checking(ZSERIALS)'!F:F)</f>
        <v>CHRISTBELLA CONSTRUCTION MANAGEMENT</v>
      </c>
    </row>
    <row r="117" spans="1:18" x14ac:dyDescent="0.3">
      <c r="A117" s="27">
        <v>40000009</v>
      </c>
      <c r="B117" s="27" t="s">
        <v>16</v>
      </c>
      <c r="C117" s="27">
        <v>4500866</v>
      </c>
      <c r="D117" s="27">
        <v>1000</v>
      </c>
      <c r="E117" s="27" t="s">
        <v>53</v>
      </c>
      <c r="F117" s="27" t="s">
        <v>73</v>
      </c>
      <c r="G117" s="27">
        <v>4900045352</v>
      </c>
      <c r="H117" s="27" t="s">
        <v>54</v>
      </c>
      <c r="I117" s="28">
        <v>45303</v>
      </c>
      <c r="J117" s="27" t="s">
        <v>72</v>
      </c>
      <c r="K117" s="29">
        <v>-3</v>
      </c>
      <c r="L117" s="31">
        <v>1680000718073</v>
      </c>
      <c r="M117" s="28">
        <v>45303</v>
      </c>
      <c r="N117" s="30">
        <v>0.46888888888889002</v>
      </c>
      <c r="O117" s="27" t="s">
        <v>272</v>
      </c>
      <c r="P117" s="137"/>
      <c r="Q117" t="str">
        <f>IFERROR(IF((_xlfn.XLOOKUP(A117,'Set of Installation'!A:A,'Set of Installation'!C:C)+1)&gt;ABS(K117),"OK","Overusage"),"")</f>
        <v>OK</v>
      </c>
      <c r="R117" t="str">
        <f>_xlfn.XLOOKUP(C117,'Checking(ZSERIALS)'!E:E,'Checking(ZSERIALS)'!F:F)</f>
        <v>CHRISTBELLA CONSTRUCTION MANAGEMENT</v>
      </c>
    </row>
    <row r="118" spans="1:18" x14ac:dyDescent="0.3">
      <c r="A118" s="27">
        <v>40000009</v>
      </c>
      <c r="B118" s="27" t="s">
        <v>16</v>
      </c>
      <c r="C118" s="27">
        <v>4500866</v>
      </c>
      <c r="D118" s="27">
        <v>1000</v>
      </c>
      <c r="E118" s="27" t="s">
        <v>53</v>
      </c>
      <c r="F118" s="27" t="s">
        <v>73</v>
      </c>
      <c r="G118" s="27">
        <v>4900040436</v>
      </c>
      <c r="H118" s="27" t="s">
        <v>54</v>
      </c>
      <c r="I118" s="28">
        <v>45302</v>
      </c>
      <c r="J118" s="27" t="s">
        <v>72</v>
      </c>
      <c r="K118" s="29">
        <v>-2</v>
      </c>
      <c r="L118" s="31">
        <v>1680000725722</v>
      </c>
      <c r="M118" s="28">
        <v>45302</v>
      </c>
      <c r="N118" s="30">
        <v>0.47716435185185002</v>
      </c>
      <c r="O118" s="27" t="s">
        <v>245</v>
      </c>
      <c r="P118" s="137"/>
      <c r="Q118" t="str">
        <f>IFERROR(IF((_xlfn.XLOOKUP(A118,'Set of Installation'!A:A,'Set of Installation'!C:C)+1)&gt;ABS(K118),"OK","Overusage"),"")</f>
        <v>OK</v>
      </c>
      <c r="R118" t="str">
        <f>_xlfn.XLOOKUP(C118,'Checking(ZSERIALS)'!E:E,'Checking(ZSERIALS)'!F:F)</f>
        <v>CHRISTBELLA CONSTRUCTION MANAGEMENT</v>
      </c>
    </row>
    <row r="119" spans="1:18" x14ac:dyDescent="0.3">
      <c r="A119" s="27">
        <v>40000009</v>
      </c>
      <c r="B119" s="27" t="s">
        <v>16</v>
      </c>
      <c r="C119" s="27">
        <v>4500866</v>
      </c>
      <c r="D119" s="27">
        <v>1000</v>
      </c>
      <c r="E119" s="27" t="s">
        <v>53</v>
      </c>
      <c r="F119" s="27" t="s">
        <v>73</v>
      </c>
      <c r="G119" s="27">
        <v>4900040030</v>
      </c>
      <c r="H119" s="27" t="s">
        <v>54</v>
      </c>
      <c r="I119" s="28">
        <v>45302</v>
      </c>
      <c r="J119" s="27" t="s">
        <v>72</v>
      </c>
      <c r="K119" s="29">
        <v>-10</v>
      </c>
      <c r="L119" s="31">
        <v>1680000728217</v>
      </c>
      <c r="M119" s="28">
        <v>45302</v>
      </c>
      <c r="N119" s="30">
        <v>0.42299768518518999</v>
      </c>
      <c r="O119" s="27" t="s">
        <v>242</v>
      </c>
      <c r="P119" s="137"/>
      <c r="Q119" t="str">
        <f>IFERROR(IF((_xlfn.XLOOKUP(A119,'Set of Installation'!A:A,'Set of Installation'!C:C)+1)&gt;ABS(K119),"OK","Overusage"),"")</f>
        <v>OK</v>
      </c>
      <c r="R119" t="str">
        <f>_xlfn.XLOOKUP(C119,'Checking(ZSERIALS)'!E:E,'Checking(ZSERIALS)'!F:F)</f>
        <v>CHRISTBELLA CONSTRUCTION MANAGEMENT</v>
      </c>
    </row>
    <row r="120" spans="1:18" x14ac:dyDescent="0.3">
      <c r="A120" s="27">
        <v>40000009</v>
      </c>
      <c r="B120" s="27" t="s">
        <v>16</v>
      </c>
      <c r="C120" s="27">
        <v>4500866</v>
      </c>
      <c r="D120" s="27">
        <v>1000</v>
      </c>
      <c r="E120" s="27" t="s">
        <v>53</v>
      </c>
      <c r="F120" s="27" t="s">
        <v>73</v>
      </c>
      <c r="G120" s="27">
        <v>4900043348</v>
      </c>
      <c r="H120" s="27" t="s">
        <v>54</v>
      </c>
      <c r="I120" s="28">
        <v>45302</v>
      </c>
      <c r="J120" s="27" t="s">
        <v>72</v>
      </c>
      <c r="K120" s="29">
        <v>-5</v>
      </c>
      <c r="L120" s="31">
        <v>1680000720805</v>
      </c>
      <c r="M120" s="28">
        <v>45302</v>
      </c>
      <c r="N120" s="30">
        <v>0.76328703703704004</v>
      </c>
      <c r="O120" s="27" t="s">
        <v>266</v>
      </c>
      <c r="P120" s="137"/>
      <c r="Q120" t="str">
        <f>IFERROR(IF((_xlfn.XLOOKUP(A120,'Set of Installation'!A:A,'Set of Installation'!C:C)+1)&gt;ABS(K120),"OK","Overusage"),"")</f>
        <v>OK</v>
      </c>
      <c r="R120" t="str">
        <f>_xlfn.XLOOKUP(C120,'Checking(ZSERIALS)'!E:E,'Checking(ZSERIALS)'!F:F)</f>
        <v>CHRISTBELLA CONSTRUCTION MANAGEMENT</v>
      </c>
    </row>
    <row r="121" spans="1:18" x14ac:dyDescent="0.3">
      <c r="A121" s="27">
        <v>40000009</v>
      </c>
      <c r="B121" s="27" t="s">
        <v>16</v>
      </c>
      <c r="C121" s="27">
        <v>4500866</v>
      </c>
      <c r="D121" s="27">
        <v>1000</v>
      </c>
      <c r="E121" s="27" t="s">
        <v>53</v>
      </c>
      <c r="F121" s="27" t="s">
        <v>73</v>
      </c>
      <c r="G121" s="27">
        <v>4900042946</v>
      </c>
      <c r="H121" s="27" t="s">
        <v>54</v>
      </c>
      <c r="I121" s="28">
        <v>45302</v>
      </c>
      <c r="J121" s="27" t="s">
        <v>72</v>
      </c>
      <c r="K121" s="29">
        <v>-8</v>
      </c>
      <c r="L121" s="31">
        <v>1680000726647</v>
      </c>
      <c r="M121" s="28">
        <v>45302</v>
      </c>
      <c r="N121" s="30">
        <v>0.72856481481480995</v>
      </c>
      <c r="O121" s="27" t="s">
        <v>260</v>
      </c>
      <c r="P121" s="137"/>
      <c r="Q121" t="str">
        <f>IFERROR(IF((_xlfn.XLOOKUP(A121,'Set of Installation'!A:A,'Set of Installation'!C:C)+1)&gt;ABS(K121),"OK","Overusage"),"")</f>
        <v>OK</v>
      </c>
      <c r="R121" t="str">
        <f>_xlfn.XLOOKUP(C121,'Checking(ZSERIALS)'!E:E,'Checking(ZSERIALS)'!F:F)</f>
        <v>CHRISTBELLA CONSTRUCTION MANAGEMENT</v>
      </c>
    </row>
    <row r="122" spans="1:18" x14ac:dyDescent="0.3">
      <c r="A122" s="27">
        <v>40000009</v>
      </c>
      <c r="B122" s="27" t="s">
        <v>16</v>
      </c>
      <c r="C122" s="27">
        <v>4500866</v>
      </c>
      <c r="D122" s="27">
        <v>1000</v>
      </c>
      <c r="E122" s="27" t="s">
        <v>53</v>
      </c>
      <c r="F122" s="27" t="s">
        <v>73</v>
      </c>
      <c r="G122" s="27">
        <v>4900040450</v>
      </c>
      <c r="H122" s="27" t="s">
        <v>54</v>
      </c>
      <c r="I122" s="28">
        <v>45302</v>
      </c>
      <c r="J122" s="27" t="s">
        <v>72</v>
      </c>
      <c r="K122" s="29">
        <v>-5</v>
      </c>
      <c r="L122" s="31">
        <v>1680000728514</v>
      </c>
      <c r="M122" s="28">
        <v>45302</v>
      </c>
      <c r="N122" s="30">
        <v>0.47855324074074002</v>
      </c>
      <c r="O122" s="27" t="s">
        <v>248</v>
      </c>
      <c r="P122" s="137"/>
      <c r="Q122" t="str">
        <f>IFERROR(IF((_xlfn.XLOOKUP(A122,'Set of Installation'!A:A,'Set of Installation'!C:C)+1)&gt;ABS(K122),"OK","Overusage"),"")</f>
        <v>OK</v>
      </c>
      <c r="R122" t="str">
        <f>_xlfn.XLOOKUP(C122,'Checking(ZSERIALS)'!E:E,'Checking(ZSERIALS)'!F:F)</f>
        <v>CHRISTBELLA CONSTRUCTION MANAGEMENT</v>
      </c>
    </row>
    <row r="123" spans="1:18" x14ac:dyDescent="0.3">
      <c r="A123" s="27">
        <v>40000009</v>
      </c>
      <c r="B123" s="27" t="s">
        <v>16</v>
      </c>
      <c r="C123" s="27">
        <v>4500866</v>
      </c>
      <c r="D123" s="27">
        <v>1000</v>
      </c>
      <c r="E123" s="27" t="s">
        <v>53</v>
      </c>
      <c r="F123" s="27" t="s">
        <v>73</v>
      </c>
      <c r="G123" s="27">
        <v>4900042490</v>
      </c>
      <c r="H123" s="27" t="s">
        <v>54</v>
      </c>
      <c r="I123" s="28">
        <v>45302</v>
      </c>
      <c r="J123" s="27" t="s">
        <v>72</v>
      </c>
      <c r="K123" s="29">
        <v>-2</v>
      </c>
      <c r="L123" s="31">
        <v>1680000728388</v>
      </c>
      <c r="M123" s="28">
        <v>45302</v>
      </c>
      <c r="N123" s="30">
        <v>0.68828703703703997</v>
      </c>
      <c r="O123" s="27" t="s">
        <v>257</v>
      </c>
      <c r="P123" s="137"/>
      <c r="Q123" t="str">
        <f>IFERROR(IF((_xlfn.XLOOKUP(A123,'Set of Installation'!A:A,'Set of Installation'!C:C)+1)&gt;ABS(K123),"OK","Overusage"),"")</f>
        <v>OK</v>
      </c>
      <c r="R123" t="str">
        <f>_xlfn.XLOOKUP(C123,'Checking(ZSERIALS)'!E:E,'Checking(ZSERIALS)'!F:F)</f>
        <v>CHRISTBELLA CONSTRUCTION MANAGEMENT</v>
      </c>
    </row>
    <row r="124" spans="1:18" x14ac:dyDescent="0.3">
      <c r="A124" s="27">
        <v>40000009</v>
      </c>
      <c r="B124" s="27" t="s">
        <v>16</v>
      </c>
      <c r="C124" s="27">
        <v>4500866</v>
      </c>
      <c r="D124" s="27">
        <v>1000</v>
      </c>
      <c r="E124" s="27" t="s">
        <v>53</v>
      </c>
      <c r="F124" s="27" t="s">
        <v>73</v>
      </c>
      <c r="G124" s="27">
        <v>4900036099</v>
      </c>
      <c r="H124" s="27" t="s">
        <v>54</v>
      </c>
      <c r="I124" s="28">
        <v>45301</v>
      </c>
      <c r="J124" s="27" t="s">
        <v>72</v>
      </c>
      <c r="K124" s="29">
        <v>-5</v>
      </c>
      <c r="L124" s="31">
        <v>1680000724851</v>
      </c>
      <c r="M124" s="28">
        <v>45301</v>
      </c>
      <c r="N124" s="30">
        <v>0.56048611111111002</v>
      </c>
      <c r="O124" s="27" t="s">
        <v>215</v>
      </c>
      <c r="P124" s="137"/>
      <c r="Q124" t="str">
        <f>IFERROR(IF((_xlfn.XLOOKUP(A124,'Set of Installation'!A:A,'Set of Installation'!C:C)+1)&gt;ABS(K124),"OK","Overusage"),"")</f>
        <v>OK</v>
      </c>
      <c r="R124" t="str">
        <f>_xlfn.XLOOKUP(C124,'Checking(ZSERIALS)'!E:E,'Checking(ZSERIALS)'!F:F)</f>
        <v>CHRISTBELLA CONSTRUCTION MANAGEMENT</v>
      </c>
    </row>
    <row r="125" spans="1:18" x14ac:dyDescent="0.3">
      <c r="A125" s="27">
        <v>40000009</v>
      </c>
      <c r="B125" s="27" t="s">
        <v>16</v>
      </c>
      <c r="C125" s="27">
        <v>4500866</v>
      </c>
      <c r="D125" s="27">
        <v>1000</v>
      </c>
      <c r="E125" s="27" t="s">
        <v>53</v>
      </c>
      <c r="F125" s="27" t="s">
        <v>73</v>
      </c>
      <c r="G125" s="27">
        <v>4900035703</v>
      </c>
      <c r="H125" s="27" t="s">
        <v>54</v>
      </c>
      <c r="I125" s="28">
        <v>45301</v>
      </c>
      <c r="J125" s="27" t="s">
        <v>72</v>
      </c>
      <c r="K125" s="29">
        <v>-8</v>
      </c>
      <c r="L125" s="31">
        <v>1680000724825</v>
      </c>
      <c r="M125" s="28">
        <v>45301</v>
      </c>
      <c r="N125" s="30">
        <v>0.50910879629630001</v>
      </c>
      <c r="O125" s="27" t="s">
        <v>212</v>
      </c>
      <c r="P125" s="137"/>
      <c r="Q125" t="str">
        <f>IFERROR(IF((_xlfn.XLOOKUP(A125,'Set of Installation'!A:A,'Set of Installation'!C:C)+1)&gt;ABS(K125),"OK","Overusage"),"")</f>
        <v>OK</v>
      </c>
      <c r="R125" t="str">
        <f>_xlfn.XLOOKUP(C125,'Checking(ZSERIALS)'!E:E,'Checking(ZSERIALS)'!F:F)</f>
        <v>CHRISTBELLA CONSTRUCTION MANAGEMENT</v>
      </c>
    </row>
    <row r="126" spans="1:18" x14ac:dyDescent="0.3">
      <c r="A126" s="27">
        <v>40000009</v>
      </c>
      <c r="B126" s="27" t="s">
        <v>16</v>
      </c>
      <c r="C126" s="27">
        <v>4500866</v>
      </c>
      <c r="D126" s="27">
        <v>1000</v>
      </c>
      <c r="E126" s="27" t="s">
        <v>53</v>
      </c>
      <c r="F126" s="27" t="s">
        <v>73</v>
      </c>
      <c r="G126" s="27">
        <v>4900037869</v>
      </c>
      <c r="H126" s="27" t="s">
        <v>54</v>
      </c>
      <c r="I126" s="28">
        <v>45301</v>
      </c>
      <c r="J126" s="27" t="s">
        <v>72</v>
      </c>
      <c r="K126" s="29">
        <v>-8</v>
      </c>
      <c r="L126" s="31">
        <v>1680000725443</v>
      </c>
      <c r="M126" s="28">
        <v>45301</v>
      </c>
      <c r="N126" s="30">
        <v>0.73275462962963001</v>
      </c>
      <c r="O126" s="27" t="s">
        <v>224</v>
      </c>
      <c r="P126" s="137"/>
      <c r="Q126" t="str">
        <f>IFERROR(IF((_xlfn.XLOOKUP(A126,'Set of Installation'!A:A,'Set of Installation'!C:C)+1)&gt;ABS(K126),"OK","Overusage"),"")</f>
        <v>OK</v>
      </c>
      <c r="R126" t="str">
        <f>_xlfn.XLOOKUP(C126,'Checking(ZSERIALS)'!E:E,'Checking(ZSERIALS)'!F:F)</f>
        <v>CHRISTBELLA CONSTRUCTION MANAGEMENT</v>
      </c>
    </row>
    <row r="127" spans="1:18" x14ac:dyDescent="0.3">
      <c r="A127" s="27">
        <v>40000009</v>
      </c>
      <c r="B127" s="27" t="s">
        <v>16</v>
      </c>
      <c r="C127" s="27">
        <v>4500866</v>
      </c>
      <c r="D127" s="27">
        <v>1000</v>
      </c>
      <c r="E127" s="27" t="s">
        <v>53</v>
      </c>
      <c r="F127" s="27" t="s">
        <v>73</v>
      </c>
      <c r="G127" s="27">
        <v>4900037928</v>
      </c>
      <c r="H127" s="27" t="s">
        <v>54</v>
      </c>
      <c r="I127" s="28">
        <v>45301</v>
      </c>
      <c r="J127" s="27" t="s">
        <v>72</v>
      </c>
      <c r="K127" s="29">
        <v>-5</v>
      </c>
      <c r="L127" s="31">
        <v>1680000716616</v>
      </c>
      <c r="M127" s="28">
        <v>45301</v>
      </c>
      <c r="N127" s="30">
        <v>0.73967592592593001</v>
      </c>
      <c r="O127" s="27" t="s">
        <v>227</v>
      </c>
      <c r="P127" s="137"/>
      <c r="Q127" t="str">
        <f>IFERROR(IF((_xlfn.XLOOKUP(A127,'Set of Installation'!A:A,'Set of Installation'!C:C)+1)&gt;ABS(K127),"OK","Overusage"),"")</f>
        <v>OK</v>
      </c>
      <c r="R127" t="str">
        <f>_xlfn.XLOOKUP(C127,'Checking(ZSERIALS)'!E:E,'Checking(ZSERIALS)'!F:F)</f>
        <v>CHRISTBELLA CONSTRUCTION MANAGEMENT</v>
      </c>
    </row>
    <row r="128" spans="1:18" x14ac:dyDescent="0.3">
      <c r="A128" s="27">
        <v>40000009</v>
      </c>
      <c r="B128" s="27" t="s">
        <v>16</v>
      </c>
      <c r="C128" s="27">
        <v>4500866</v>
      </c>
      <c r="D128" s="27">
        <v>1000</v>
      </c>
      <c r="E128" s="27" t="s">
        <v>53</v>
      </c>
      <c r="F128" s="27" t="s">
        <v>73</v>
      </c>
      <c r="G128" s="27">
        <v>4900035645</v>
      </c>
      <c r="H128" s="27" t="s">
        <v>54</v>
      </c>
      <c r="I128" s="28">
        <v>45301</v>
      </c>
      <c r="J128" s="27" t="s">
        <v>72</v>
      </c>
      <c r="K128" s="29">
        <v>-8</v>
      </c>
      <c r="L128" s="31">
        <v>1680000725440</v>
      </c>
      <c r="M128" s="28">
        <v>45301</v>
      </c>
      <c r="N128" s="30">
        <v>0.50354166666667</v>
      </c>
      <c r="O128" s="27" t="s">
        <v>209</v>
      </c>
      <c r="P128" s="137"/>
      <c r="Q128" t="str">
        <f>IFERROR(IF((_xlfn.XLOOKUP(A128,'Set of Installation'!A:A,'Set of Installation'!C:C)+1)&gt;ABS(K128),"OK","Overusage"),"")</f>
        <v>OK</v>
      </c>
      <c r="R128" t="str">
        <f>_xlfn.XLOOKUP(C128,'Checking(ZSERIALS)'!E:E,'Checking(ZSERIALS)'!F:F)</f>
        <v>CHRISTBELLA CONSTRUCTION MANAGEMENT</v>
      </c>
    </row>
    <row r="129" spans="1:18" x14ac:dyDescent="0.3">
      <c r="A129" s="27">
        <v>40000009</v>
      </c>
      <c r="B129" s="27" t="s">
        <v>16</v>
      </c>
      <c r="C129" s="27">
        <v>4500866</v>
      </c>
      <c r="D129" s="27">
        <v>1000</v>
      </c>
      <c r="E129" s="27" t="s">
        <v>53</v>
      </c>
      <c r="F129" s="27" t="s">
        <v>73</v>
      </c>
      <c r="G129" s="27">
        <v>4900037993</v>
      </c>
      <c r="H129" s="27" t="s">
        <v>54</v>
      </c>
      <c r="I129" s="28">
        <v>45301</v>
      </c>
      <c r="J129" s="27" t="s">
        <v>72</v>
      </c>
      <c r="K129" s="29">
        <v>-5</v>
      </c>
      <c r="L129" s="31">
        <v>1680000715654</v>
      </c>
      <c r="M129" s="28">
        <v>45301</v>
      </c>
      <c r="N129" s="30">
        <v>0.74383101851851996</v>
      </c>
      <c r="O129" s="27" t="s">
        <v>230</v>
      </c>
      <c r="P129" s="137"/>
      <c r="Q129" t="str">
        <f>IFERROR(IF((_xlfn.XLOOKUP(A129,'Set of Installation'!A:A,'Set of Installation'!C:C)+1)&gt;ABS(K129),"OK","Overusage"),"")</f>
        <v>OK</v>
      </c>
      <c r="R129" t="str">
        <f>_xlfn.XLOOKUP(C129,'Checking(ZSERIALS)'!E:E,'Checking(ZSERIALS)'!F:F)</f>
        <v>CHRISTBELLA CONSTRUCTION MANAGEMENT</v>
      </c>
    </row>
    <row r="130" spans="1:18" x14ac:dyDescent="0.3">
      <c r="A130" s="27">
        <v>40000009</v>
      </c>
      <c r="B130" s="27" t="s">
        <v>16</v>
      </c>
      <c r="C130" s="27">
        <v>4500866</v>
      </c>
      <c r="D130" s="27">
        <v>1000</v>
      </c>
      <c r="E130" s="27" t="s">
        <v>53</v>
      </c>
      <c r="F130" s="27" t="s">
        <v>73</v>
      </c>
      <c r="G130" s="27">
        <v>4900038113</v>
      </c>
      <c r="H130" s="27" t="s">
        <v>54</v>
      </c>
      <c r="I130" s="28">
        <v>45301</v>
      </c>
      <c r="J130" s="27" t="s">
        <v>72</v>
      </c>
      <c r="K130" s="29">
        <v>-15</v>
      </c>
      <c r="L130" s="31">
        <v>1680000704179</v>
      </c>
      <c r="M130" s="28">
        <v>45301</v>
      </c>
      <c r="N130" s="30">
        <v>0.75495370370369996</v>
      </c>
      <c r="O130" s="27" t="s">
        <v>233</v>
      </c>
      <c r="P130" s="137"/>
      <c r="Q130" t="str">
        <f>IFERROR(IF((_xlfn.XLOOKUP(A130,'Set of Installation'!A:A,'Set of Installation'!C:C)+1)&gt;ABS(K130),"OK","Overusage"),"")</f>
        <v>Overusage</v>
      </c>
      <c r="R130" t="str">
        <f>_xlfn.XLOOKUP(C130,'Checking(ZSERIALS)'!E:E,'Checking(ZSERIALS)'!F:F)</f>
        <v>CHRISTBELLA CONSTRUCTION MANAGEMENT</v>
      </c>
    </row>
    <row r="131" spans="1:18" x14ac:dyDescent="0.3">
      <c r="A131" s="27">
        <v>40000009</v>
      </c>
      <c r="B131" s="27" t="s">
        <v>16</v>
      </c>
      <c r="C131" s="27">
        <v>4500866</v>
      </c>
      <c r="D131" s="27">
        <v>1000</v>
      </c>
      <c r="E131" s="27" t="s">
        <v>53</v>
      </c>
      <c r="F131" s="27" t="s">
        <v>73</v>
      </c>
      <c r="G131" s="27">
        <v>4900030288</v>
      </c>
      <c r="H131" s="27" t="s">
        <v>54</v>
      </c>
      <c r="I131" s="28">
        <v>45300</v>
      </c>
      <c r="J131" s="27" t="s">
        <v>72</v>
      </c>
      <c r="K131" s="29">
        <v>-10</v>
      </c>
      <c r="L131" s="31">
        <v>1680000721575</v>
      </c>
      <c r="M131" s="28">
        <v>45300</v>
      </c>
      <c r="N131" s="30">
        <v>0.45773148148148002</v>
      </c>
      <c r="O131" s="27" t="s">
        <v>197</v>
      </c>
      <c r="P131" s="137"/>
      <c r="Q131" t="str">
        <f>IFERROR(IF((_xlfn.XLOOKUP(A131,'Set of Installation'!A:A,'Set of Installation'!C:C)+1)&gt;ABS(K131),"OK","Overusage"),"")</f>
        <v>OK</v>
      </c>
      <c r="R131" t="str">
        <f>_xlfn.XLOOKUP(C131,'Checking(ZSERIALS)'!E:E,'Checking(ZSERIALS)'!F:F)</f>
        <v>CHRISTBELLA CONSTRUCTION MANAGEMENT</v>
      </c>
    </row>
    <row r="132" spans="1:18" x14ac:dyDescent="0.3">
      <c r="A132" s="27">
        <v>40000009</v>
      </c>
      <c r="B132" s="27" t="s">
        <v>16</v>
      </c>
      <c r="C132" s="27">
        <v>4500866</v>
      </c>
      <c r="D132" s="27">
        <v>1000</v>
      </c>
      <c r="E132" s="27" t="s">
        <v>53</v>
      </c>
      <c r="F132" s="27" t="s">
        <v>73</v>
      </c>
      <c r="G132" s="27">
        <v>4900030571</v>
      </c>
      <c r="H132" s="27" t="s">
        <v>54</v>
      </c>
      <c r="I132" s="28">
        <v>45300</v>
      </c>
      <c r="J132" s="27" t="s">
        <v>72</v>
      </c>
      <c r="K132" s="29">
        <v>-2</v>
      </c>
      <c r="L132" s="31">
        <v>1680000722982</v>
      </c>
      <c r="M132" s="28">
        <v>45300</v>
      </c>
      <c r="N132" s="30">
        <v>0.49103009259259001</v>
      </c>
      <c r="O132" s="27" t="s">
        <v>200</v>
      </c>
      <c r="P132" s="137"/>
      <c r="Q132" t="str">
        <f>IFERROR(IF((_xlfn.XLOOKUP(A132,'Set of Installation'!A:A,'Set of Installation'!C:C)+1)&gt;ABS(K132),"OK","Overusage"),"")</f>
        <v>OK</v>
      </c>
      <c r="R132" t="str">
        <f>_xlfn.XLOOKUP(C132,'Checking(ZSERIALS)'!E:E,'Checking(ZSERIALS)'!F:F)</f>
        <v>CHRISTBELLA CONSTRUCTION MANAGEMENT</v>
      </c>
    </row>
    <row r="133" spans="1:18" x14ac:dyDescent="0.3">
      <c r="A133" s="27">
        <v>40000009</v>
      </c>
      <c r="B133" s="27" t="s">
        <v>16</v>
      </c>
      <c r="C133" s="27">
        <v>4500866</v>
      </c>
      <c r="D133" s="27">
        <v>1000</v>
      </c>
      <c r="E133" s="27" t="s">
        <v>53</v>
      </c>
      <c r="F133" s="27" t="s">
        <v>73</v>
      </c>
      <c r="G133" s="27">
        <v>4900025961</v>
      </c>
      <c r="H133" s="27" t="s">
        <v>54</v>
      </c>
      <c r="I133" s="28">
        <v>45299</v>
      </c>
      <c r="J133" s="27" t="s">
        <v>72</v>
      </c>
      <c r="K133" s="29">
        <v>-10</v>
      </c>
      <c r="L133" s="31">
        <v>1680000719107</v>
      </c>
      <c r="M133" s="28">
        <v>45299</v>
      </c>
      <c r="N133" s="30">
        <v>0.52298611111111004</v>
      </c>
      <c r="O133" s="27" t="s">
        <v>182</v>
      </c>
      <c r="P133" s="137"/>
      <c r="Q133" t="str">
        <f>IFERROR(IF((_xlfn.XLOOKUP(A133,'Set of Installation'!A:A,'Set of Installation'!C:C)+1)&gt;ABS(K133),"OK","Overusage"),"")</f>
        <v>OK</v>
      </c>
      <c r="R133" t="str">
        <f>_xlfn.XLOOKUP(C133,'Checking(ZSERIALS)'!E:E,'Checking(ZSERIALS)'!F:F)</f>
        <v>CHRISTBELLA CONSTRUCTION MANAGEMENT</v>
      </c>
    </row>
    <row r="134" spans="1:18" x14ac:dyDescent="0.3">
      <c r="A134" s="27">
        <v>40000009</v>
      </c>
      <c r="B134" s="27" t="s">
        <v>16</v>
      </c>
      <c r="C134" s="27">
        <v>4500866</v>
      </c>
      <c r="D134" s="27">
        <v>1000</v>
      </c>
      <c r="E134" s="27" t="s">
        <v>53</v>
      </c>
      <c r="F134" s="27" t="s">
        <v>73</v>
      </c>
      <c r="G134" s="27">
        <v>4900026206</v>
      </c>
      <c r="H134" s="27" t="s">
        <v>54</v>
      </c>
      <c r="I134" s="28">
        <v>45299</v>
      </c>
      <c r="J134" s="27" t="s">
        <v>72</v>
      </c>
      <c r="K134" s="29">
        <v>-8</v>
      </c>
      <c r="L134" s="31">
        <v>1680000718727</v>
      </c>
      <c r="M134" s="28">
        <v>45299</v>
      </c>
      <c r="N134" s="30">
        <v>0.55628472222222003</v>
      </c>
      <c r="O134" s="27" t="s">
        <v>185</v>
      </c>
      <c r="P134" s="137"/>
      <c r="Q134" t="str">
        <f>IFERROR(IF((_xlfn.XLOOKUP(A134,'Set of Installation'!A:A,'Set of Installation'!C:C)+1)&gt;ABS(K134),"OK","Overusage"),"")</f>
        <v>OK</v>
      </c>
      <c r="R134" t="str">
        <f>_xlfn.XLOOKUP(C134,'Checking(ZSERIALS)'!E:E,'Checking(ZSERIALS)'!F:F)</f>
        <v>CHRISTBELLA CONSTRUCTION MANAGEMENT</v>
      </c>
    </row>
    <row r="135" spans="1:18" x14ac:dyDescent="0.3">
      <c r="A135" s="27">
        <v>40000009</v>
      </c>
      <c r="B135" s="27" t="s">
        <v>16</v>
      </c>
      <c r="C135" s="27">
        <v>4500866</v>
      </c>
      <c r="D135" s="27">
        <v>1000</v>
      </c>
      <c r="E135" s="27" t="s">
        <v>53</v>
      </c>
      <c r="F135" s="27" t="s">
        <v>73</v>
      </c>
      <c r="G135" s="27">
        <v>4900027602</v>
      </c>
      <c r="H135" s="27" t="s">
        <v>54</v>
      </c>
      <c r="I135" s="28">
        <v>45299</v>
      </c>
      <c r="J135" s="27" t="s">
        <v>72</v>
      </c>
      <c r="K135" s="29">
        <v>-8</v>
      </c>
      <c r="L135" s="31">
        <v>1680000695259</v>
      </c>
      <c r="M135" s="28">
        <v>45299</v>
      </c>
      <c r="N135" s="30">
        <v>0.69384259259258996</v>
      </c>
      <c r="O135" s="27" t="s">
        <v>191</v>
      </c>
      <c r="P135" s="137"/>
      <c r="Q135" t="str">
        <f>IFERROR(IF((_xlfn.XLOOKUP(A135,'Set of Installation'!A:A,'Set of Installation'!C:C)+1)&gt;ABS(K135),"OK","Overusage"),"")</f>
        <v>OK</v>
      </c>
      <c r="R135" t="str">
        <f>_xlfn.XLOOKUP(C135,'Checking(ZSERIALS)'!E:E,'Checking(ZSERIALS)'!F:F)</f>
        <v>CHRISTBELLA CONSTRUCTION MANAGEMENT</v>
      </c>
    </row>
    <row r="136" spans="1:18" x14ac:dyDescent="0.3">
      <c r="A136" s="27">
        <v>40000009</v>
      </c>
      <c r="B136" s="27" t="s">
        <v>16</v>
      </c>
      <c r="C136" s="27">
        <v>4500866</v>
      </c>
      <c r="D136" s="27">
        <v>1000</v>
      </c>
      <c r="E136" s="27" t="s">
        <v>53</v>
      </c>
      <c r="F136" s="27" t="s">
        <v>73</v>
      </c>
      <c r="G136" s="27">
        <v>4900023395</v>
      </c>
      <c r="H136" s="27" t="s">
        <v>54</v>
      </c>
      <c r="I136" s="28">
        <v>45298</v>
      </c>
      <c r="J136" s="27" t="s">
        <v>72</v>
      </c>
      <c r="K136" s="29">
        <v>-10</v>
      </c>
      <c r="L136" s="31">
        <v>1680000719137</v>
      </c>
      <c r="M136" s="28">
        <v>45298</v>
      </c>
      <c r="N136" s="30">
        <v>0.66738425925926004</v>
      </c>
      <c r="O136" s="27" t="s">
        <v>173</v>
      </c>
      <c r="P136" s="137"/>
      <c r="Q136" t="str">
        <f>IFERROR(IF((_xlfn.XLOOKUP(A136,'Set of Installation'!A:A,'Set of Installation'!C:C)+1)&gt;ABS(K136),"OK","Overusage"),"")</f>
        <v>OK</v>
      </c>
      <c r="R136" t="str">
        <f>_xlfn.XLOOKUP(C136,'Checking(ZSERIALS)'!E:E,'Checking(ZSERIALS)'!F:F)</f>
        <v>CHRISTBELLA CONSTRUCTION MANAGEMENT</v>
      </c>
    </row>
    <row r="137" spans="1:18" x14ac:dyDescent="0.3">
      <c r="A137" s="27">
        <v>40000009</v>
      </c>
      <c r="B137" s="27" t="s">
        <v>16</v>
      </c>
      <c r="C137" s="27">
        <v>4500866</v>
      </c>
      <c r="D137" s="27">
        <v>1000</v>
      </c>
      <c r="E137" s="27" t="s">
        <v>53</v>
      </c>
      <c r="F137" s="27" t="s">
        <v>73</v>
      </c>
      <c r="G137" s="27">
        <v>4900022702</v>
      </c>
      <c r="H137" s="27" t="s">
        <v>54</v>
      </c>
      <c r="I137" s="28">
        <v>45298</v>
      </c>
      <c r="J137" s="27" t="s">
        <v>72</v>
      </c>
      <c r="K137" s="29">
        <v>-2</v>
      </c>
      <c r="L137" s="31">
        <v>1680000714162</v>
      </c>
      <c r="M137" s="28">
        <v>45298</v>
      </c>
      <c r="N137" s="30">
        <v>0.56460648148147996</v>
      </c>
      <c r="O137" s="27" t="s">
        <v>170</v>
      </c>
      <c r="P137" s="137"/>
      <c r="Q137" t="str">
        <f>IFERROR(IF((_xlfn.XLOOKUP(A137,'Set of Installation'!A:A,'Set of Installation'!C:C)+1)&gt;ABS(K137),"OK","Overusage"),"")</f>
        <v>OK</v>
      </c>
      <c r="R137" t="str">
        <f>_xlfn.XLOOKUP(C137,'Checking(ZSERIALS)'!E:E,'Checking(ZSERIALS)'!F:F)</f>
        <v>CHRISTBELLA CONSTRUCTION MANAGEMENT</v>
      </c>
    </row>
    <row r="138" spans="1:18" x14ac:dyDescent="0.3">
      <c r="A138" s="27">
        <v>40000009</v>
      </c>
      <c r="B138" s="27" t="s">
        <v>16</v>
      </c>
      <c r="C138" s="27">
        <v>4500866</v>
      </c>
      <c r="D138" s="27">
        <v>1000</v>
      </c>
      <c r="E138" s="27" t="s">
        <v>53</v>
      </c>
      <c r="F138" s="27" t="s">
        <v>73</v>
      </c>
      <c r="G138" s="27">
        <v>4900023883</v>
      </c>
      <c r="H138" s="27" t="s">
        <v>54</v>
      </c>
      <c r="I138" s="28">
        <v>45298</v>
      </c>
      <c r="J138" s="27" t="s">
        <v>72</v>
      </c>
      <c r="K138" s="29">
        <v>-10</v>
      </c>
      <c r="L138" s="31">
        <v>1680000720228</v>
      </c>
      <c r="M138" s="28">
        <v>45298</v>
      </c>
      <c r="N138" s="30">
        <v>0.74239583333333004</v>
      </c>
      <c r="O138" s="27" t="s">
        <v>176</v>
      </c>
      <c r="P138" s="137"/>
      <c r="Q138" t="str">
        <f>IFERROR(IF((_xlfn.XLOOKUP(A138,'Set of Installation'!A:A,'Set of Installation'!C:C)+1)&gt;ABS(K138),"OK","Overusage"),"")</f>
        <v>OK</v>
      </c>
      <c r="R138" t="str">
        <f>_xlfn.XLOOKUP(C138,'Checking(ZSERIALS)'!E:E,'Checking(ZSERIALS)'!F:F)</f>
        <v>CHRISTBELLA CONSTRUCTION MANAGEMENT</v>
      </c>
    </row>
    <row r="139" spans="1:18" x14ac:dyDescent="0.3">
      <c r="A139" s="27">
        <v>40000009</v>
      </c>
      <c r="B139" s="27" t="s">
        <v>16</v>
      </c>
      <c r="C139" s="27">
        <v>4500866</v>
      </c>
      <c r="D139" s="27">
        <v>1000</v>
      </c>
      <c r="E139" s="27" t="s">
        <v>53</v>
      </c>
      <c r="F139" s="27" t="s">
        <v>73</v>
      </c>
      <c r="G139" s="27">
        <v>4900022662</v>
      </c>
      <c r="H139" s="27" t="s">
        <v>54</v>
      </c>
      <c r="I139" s="28">
        <v>45298</v>
      </c>
      <c r="J139" s="27" t="s">
        <v>72</v>
      </c>
      <c r="K139" s="29">
        <v>-8</v>
      </c>
      <c r="L139" s="31">
        <v>1680000718039</v>
      </c>
      <c r="M139" s="28">
        <v>45298</v>
      </c>
      <c r="N139" s="30">
        <v>0.55349537037037</v>
      </c>
      <c r="O139" s="27" t="s">
        <v>167</v>
      </c>
      <c r="P139" s="137"/>
      <c r="Q139" t="str">
        <f>IFERROR(IF((_xlfn.XLOOKUP(A139,'Set of Installation'!A:A,'Set of Installation'!C:C)+1)&gt;ABS(K139),"OK","Overusage"),"")</f>
        <v>OK</v>
      </c>
      <c r="R139" t="str">
        <f>_xlfn.XLOOKUP(C139,'Checking(ZSERIALS)'!E:E,'Checking(ZSERIALS)'!F:F)</f>
        <v>CHRISTBELLA CONSTRUCTION MANAGEMENT</v>
      </c>
    </row>
    <row r="140" spans="1:18" x14ac:dyDescent="0.3">
      <c r="A140" s="27">
        <v>40000009</v>
      </c>
      <c r="B140" s="27" t="s">
        <v>16</v>
      </c>
      <c r="C140" s="27">
        <v>4500866</v>
      </c>
      <c r="D140" s="27">
        <v>1000</v>
      </c>
      <c r="E140" s="27" t="s">
        <v>53</v>
      </c>
      <c r="F140" s="27" t="s">
        <v>73</v>
      </c>
      <c r="G140" s="27">
        <v>4900022008</v>
      </c>
      <c r="H140" s="27" t="s">
        <v>54</v>
      </c>
      <c r="I140" s="28">
        <v>45298</v>
      </c>
      <c r="J140" s="27" t="s">
        <v>72</v>
      </c>
      <c r="K140" s="29">
        <v>-6</v>
      </c>
      <c r="L140" s="31">
        <v>1680000714781</v>
      </c>
      <c r="M140" s="28">
        <v>45298</v>
      </c>
      <c r="N140" s="30">
        <v>0.42849537037037</v>
      </c>
      <c r="O140" s="27" t="s">
        <v>161</v>
      </c>
      <c r="P140" s="137"/>
      <c r="Q140" t="str">
        <f>IFERROR(IF((_xlfn.XLOOKUP(A140,'Set of Installation'!A:A,'Set of Installation'!C:C)+1)&gt;ABS(K140),"OK","Overusage"),"")</f>
        <v>OK</v>
      </c>
      <c r="R140" t="str">
        <f>_xlfn.XLOOKUP(C140,'Checking(ZSERIALS)'!E:E,'Checking(ZSERIALS)'!F:F)</f>
        <v>CHRISTBELLA CONSTRUCTION MANAGEMENT</v>
      </c>
    </row>
    <row r="141" spans="1:18" x14ac:dyDescent="0.3">
      <c r="A141" s="27">
        <v>40000009</v>
      </c>
      <c r="B141" s="27" t="s">
        <v>16</v>
      </c>
      <c r="C141" s="27">
        <v>4500866</v>
      </c>
      <c r="D141" s="27">
        <v>1000</v>
      </c>
      <c r="E141" s="27" t="s">
        <v>53</v>
      </c>
      <c r="F141" s="27" t="s">
        <v>73</v>
      </c>
      <c r="G141" s="27">
        <v>4900017966</v>
      </c>
      <c r="H141" s="27" t="s">
        <v>54</v>
      </c>
      <c r="I141" s="28">
        <v>45297</v>
      </c>
      <c r="J141" s="27" t="s">
        <v>72</v>
      </c>
      <c r="K141" s="29">
        <v>-5</v>
      </c>
      <c r="L141" s="31">
        <v>1680000714783</v>
      </c>
      <c r="M141" s="28">
        <v>45297</v>
      </c>
      <c r="N141" s="30">
        <v>0.52988425925925997</v>
      </c>
      <c r="O141" s="27" t="s">
        <v>149</v>
      </c>
      <c r="P141" s="137"/>
      <c r="Q141" t="str">
        <f>IFERROR(IF((_xlfn.XLOOKUP(A141,'Set of Installation'!A:A,'Set of Installation'!C:C)+1)&gt;ABS(K141),"OK","Overusage"),"")</f>
        <v>OK</v>
      </c>
      <c r="R141" t="str">
        <f>_xlfn.XLOOKUP(C141,'Checking(ZSERIALS)'!E:E,'Checking(ZSERIALS)'!F:F)</f>
        <v>CHRISTBELLA CONSTRUCTION MANAGEMENT</v>
      </c>
    </row>
    <row r="142" spans="1:18" x14ac:dyDescent="0.3">
      <c r="A142" s="27">
        <v>40000009</v>
      </c>
      <c r="B142" s="27" t="s">
        <v>16</v>
      </c>
      <c r="C142" s="27">
        <v>4500866</v>
      </c>
      <c r="D142" s="27">
        <v>1000</v>
      </c>
      <c r="E142" s="27" t="s">
        <v>53</v>
      </c>
      <c r="F142" s="27" t="s">
        <v>73</v>
      </c>
      <c r="G142" s="27">
        <v>4900015408</v>
      </c>
      <c r="H142" s="27" t="s">
        <v>54</v>
      </c>
      <c r="I142" s="28">
        <v>45296</v>
      </c>
      <c r="J142" s="27" t="s">
        <v>72</v>
      </c>
      <c r="K142" s="29">
        <v>-15</v>
      </c>
      <c r="L142" s="31">
        <v>1680000713356</v>
      </c>
      <c r="M142" s="28">
        <v>45296</v>
      </c>
      <c r="N142" s="30">
        <v>0.78545138888888999</v>
      </c>
      <c r="O142" s="27" t="s">
        <v>146</v>
      </c>
      <c r="P142" s="137"/>
      <c r="Q142" t="str">
        <f>IFERROR(IF((_xlfn.XLOOKUP(A142,'Set of Installation'!A:A,'Set of Installation'!C:C)+1)&gt;ABS(K142),"OK","Overusage"),"")</f>
        <v>Overusage</v>
      </c>
      <c r="R142" t="str">
        <f>_xlfn.XLOOKUP(C142,'Checking(ZSERIALS)'!E:E,'Checking(ZSERIALS)'!F:F)</f>
        <v>CHRISTBELLA CONSTRUCTION MANAGEMENT</v>
      </c>
    </row>
    <row r="143" spans="1:18" x14ac:dyDescent="0.3">
      <c r="A143" s="27">
        <v>40000009</v>
      </c>
      <c r="B143" s="27" t="s">
        <v>16</v>
      </c>
      <c r="C143" s="27">
        <v>4500866</v>
      </c>
      <c r="D143" s="27">
        <v>1000</v>
      </c>
      <c r="E143" s="27" t="s">
        <v>53</v>
      </c>
      <c r="F143" s="27" t="s">
        <v>73</v>
      </c>
      <c r="G143" s="27">
        <v>4900014547</v>
      </c>
      <c r="H143" s="27" t="s">
        <v>54</v>
      </c>
      <c r="I143" s="28">
        <v>45296</v>
      </c>
      <c r="J143" s="27" t="s">
        <v>72</v>
      </c>
      <c r="K143" s="29">
        <v>-5</v>
      </c>
      <c r="L143" s="31">
        <v>1680000712841</v>
      </c>
      <c r="M143" s="28">
        <v>45296</v>
      </c>
      <c r="N143" s="30">
        <v>0.70487268518518997</v>
      </c>
      <c r="O143" s="27" t="s">
        <v>140</v>
      </c>
      <c r="P143" s="137"/>
      <c r="Q143" t="str">
        <f>IFERROR(IF((_xlfn.XLOOKUP(A143,'Set of Installation'!A:A,'Set of Installation'!C:C)+1)&gt;ABS(K143),"OK","Overusage"),"")</f>
        <v>OK</v>
      </c>
      <c r="R143" t="str">
        <f>_xlfn.XLOOKUP(C143,'Checking(ZSERIALS)'!E:E,'Checking(ZSERIALS)'!F:F)</f>
        <v>CHRISTBELLA CONSTRUCTION MANAGEMENT</v>
      </c>
    </row>
    <row r="144" spans="1:18" x14ac:dyDescent="0.3">
      <c r="A144" s="27">
        <v>40000009</v>
      </c>
      <c r="B144" s="27" t="s">
        <v>16</v>
      </c>
      <c r="C144" s="27">
        <v>4500866</v>
      </c>
      <c r="D144" s="27">
        <v>1000</v>
      </c>
      <c r="E144" s="27" t="s">
        <v>53</v>
      </c>
      <c r="F144" s="27" t="s">
        <v>73</v>
      </c>
      <c r="G144" s="27">
        <v>4900014043</v>
      </c>
      <c r="H144" s="27" t="s">
        <v>54</v>
      </c>
      <c r="I144" s="28">
        <v>45296</v>
      </c>
      <c r="J144" s="27" t="s">
        <v>72</v>
      </c>
      <c r="K144" s="29">
        <v>-8</v>
      </c>
      <c r="L144" s="31">
        <v>1680000712396</v>
      </c>
      <c r="M144" s="28">
        <v>45296</v>
      </c>
      <c r="N144" s="30">
        <v>0.65347222222222001</v>
      </c>
      <c r="O144" s="27" t="s">
        <v>137</v>
      </c>
      <c r="P144" s="137"/>
      <c r="Q144" t="str">
        <f>IFERROR(IF((_xlfn.XLOOKUP(A144,'Set of Installation'!A:A,'Set of Installation'!C:C)+1)&gt;ABS(K144),"OK","Overusage"),"")</f>
        <v>OK</v>
      </c>
      <c r="R144" t="str">
        <f>_xlfn.XLOOKUP(C144,'Checking(ZSERIALS)'!E:E,'Checking(ZSERIALS)'!F:F)</f>
        <v>CHRISTBELLA CONSTRUCTION MANAGEMENT</v>
      </c>
    </row>
    <row r="145" spans="1:18" x14ac:dyDescent="0.3">
      <c r="A145" s="27">
        <v>40000009</v>
      </c>
      <c r="B145" s="27" t="s">
        <v>16</v>
      </c>
      <c r="C145" s="27">
        <v>4500866</v>
      </c>
      <c r="D145" s="27">
        <v>1000</v>
      </c>
      <c r="E145" s="27" t="s">
        <v>53</v>
      </c>
      <c r="F145" s="27" t="s">
        <v>73</v>
      </c>
      <c r="G145" s="27">
        <v>4900013228</v>
      </c>
      <c r="H145" s="27" t="s">
        <v>54</v>
      </c>
      <c r="I145" s="28">
        <v>45296</v>
      </c>
      <c r="J145" s="27" t="s">
        <v>72</v>
      </c>
      <c r="K145" s="29">
        <v>-5</v>
      </c>
      <c r="L145" s="31">
        <v>1680000700036</v>
      </c>
      <c r="M145" s="28">
        <v>45296</v>
      </c>
      <c r="N145" s="30">
        <v>0.56253472222222001</v>
      </c>
      <c r="O145" s="27" t="s">
        <v>134</v>
      </c>
      <c r="P145" s="137"/>
      <c r="Q145" t="str">
        <f>IFERROR(IF((_xlfn.XLOOKUP(A145,'Set of Installation'!A:A,'Set of Installation'!C:C)+1)&gt;ABS(K145),"OK","Overusage"),"")</f>
        <v>OK</v>
      </c>
      <c r="R145" t="str">
        <f>_xlfn.XLOOKUP(C145,'Checking(ZSERIALS)'!E:E,'Checking(ZSERIALS)'!F:F)</f>
        <v>CHRISTBELLA CONSTRUCTION MANAGEMENT</v>
      </c>
    </row>
    <row r="146" spans="1:18" x14ac:dyDescent="0.3">
      <c r="A146" s="27">
        <v>40000009</v>
      </c>
      <c r="B146" s="27" t="s">
        <v>16</v>
      </c>
      <c r="C146" s="27">
        <v>4500866</v>
      </c>
      <c r="D146" s="27">
        <v>1000</v>
      </c>
      <c r="E146" s="27" t="s">
        <v>53</v>
      </c>
      <c r="F146" s="27" t="s">
        <v>73</v>
      </c>
      <c r="G146" s="27">
        <v>4900013196</v>
      </c>
      <c r="H146" s="27" t="s">
        <v>54</v>
      </c>
      <c r="I146" s="28">
        <v>45296</v>
      </c>
      <c r="J146" s="27" t="s">
        <v>72</v>
      </c>
      <c r="K146" s="29">
        <v>-7</v>
      </c>
      <c r="L146" s="31">
        <v>1680000711607</v>
      </c>
      <c r="M146" s="28">
        <v>45296</v>
      </c>
      <c r="N146" s="30">
        <v>0.55972222222222001</v>
      </c>
      <c r="O146" s="27" t="s">
        <v>131</v>
      </c>
      <c r="P146" s="137"/>
      <c r="Q146" t="str">
        <f>IFERROR(IF((_xlfn.XLOOKUP(A146,'Set of Installation'!A:A,'Set of Installation'!C:C)+1)&gt;ABS(K146),"OK","Overusage"),"")</f>
        <v>OK</v>
      </c>
      <c r="R146" t="str">
        <f>_xlfn.XLOOKUP(C146,'Checking(ZSERIALS)'!E:E,'Checking(ZSERIALS)'!F:F)</f>
        <v>CHRISTBELLA CONSTRUCTION MANAGEMENT</v>
      </c>
    </row>
    <row r="147" spans="1:18" x14ac:dyDescent="0.3">
      <c r="A147" s="27">
        <v>40000009</v>
      </c>
      <c r="B147" s="27" t="s">
        <v>16</v>
      </c>
      <c r="C147" s="27">
        <v>4500866</v>
      </c>
      <c r="D147" s="27">
        <v>1000</v>
      </c>
      <c r="E147" s="27" t="s">
        <v>53</v>
      </c>
      <c r="F147" s="27" t="s">
        <v>73</v>
      </c>
      <c r="G147" s="27">
        <v>4900012852</v>
      </c>
      <c r="H147" s="27" t="s">
        <v>54</v>
      </c>
      <c r="I147" s="28">
        <v>45296</v>
      </c>
      <c r="J147" s="27" t="s">
        <v>72</v>
      </c>
      <c r="K147" s="29">
        <v>-8</v>
      </c>
      <c r="L147" s="31">
        <v>1680000710201</v>
      </c>
      <c r="M147" s="28">
        <v>45296</v>
      </c>
      <c r="N147" s="30">
        <v>0.51946759259259001</v>
      </c>
      <c r="O147" s="27" t="s">
        <v>125</v>
      </c>
      <c r="P147" s="137"/>
      <c r="Q147" t="str">
        <f>IFERROR(IF((_xlfn.XLOOKUP(A147,'Set of Installation'!A:A,'Set of Installation'!C:C)+1)&gt;ABS(K147),"OK","Overusage"),"")</f>
        <v>OK</v>
      </c>
      <c r="R147" t="str">
        <f>_xlfn.XLOOKUP(C147,'Checking(ZSERIALS)'!E:E,'Checking(ZSERIALS)'!F:F)</f>
        <v>CHRISTBELLA CONSTRUCTION MANAGEMENT</v>
      </c>
    </row>
    <row r="148" spans="1:18" x14ac:dyDescent="0.3">
      <c r="A148" s="27">
        <v>40000009</v>
      </c>
      <c r="B148" s="27" t="s">
        <v>16</v>
      </c>
      <c r="C148" s="27">
        <v>4500866</v>
      </c>
      <c r="D148" s="27">
        <v>1000</v>
      </c>
      <c r="E148" s="27" t="s">
        <v>53</v>
      </c>
      <c r="F148" s="27" t="s">
        <v>73</v>
      </c>
      <c r="G148" s="27">
        <v>4900010287</v>
      </c>
      <c r="H148" s="27" t="s">
        <v>54</v>
      </c>
      <c r="I148" s="28">
        <v>45295</v>
      </c>
      <c r="J148" s="27" t="s">
        <v>72</v>
      </c>
      <c r="K148" s="29">
        <v>-10</v>
      </c>
      <c r="L148" s="31">
        <v>1680000706966</v>
      </c>
      <c r="M148" s="28">
        <v>45295</v>
      </c>
      <c r="N148" s="30">
        <v>0.76525462962962998</v>
      </c>
      <c r="O148" s="27" t="s">
        <v>116</v>
      </c>
      <c r="P148" s="137"/>
      <c r="Q148" t="str">
        <f>IFERROR(IF((_xlfn.XLOOKUP(A148,'Set of Installation'!A:A,'Set of Installation'!C:C)+1)&gt;ABS(K148),"OK","Overusage"),"")</f>
        <v>OK</v>
      </c>
      <c r="R148" t="str">
        <f>_xlfn.XLOOKUP(C148,'Checking(ZSERIALS)'!E:E,'Checking(ZSERIALS)'!F:F)</f>
        <v>CHRISTBELLA CONSTRUCTION MANAGEMENT</v>
      </c>
    </row>
    <row r="149" spans="1:18" x14ac:dyDescent="0.3">
      <c r="A149" s="27">
        <v>40000009</v>
      </c>
      <c r="B149" s="27" t="s">
        <v>16</v>
      </c>
      <c r="C149" s="27">
        <v>4500866</v>
      </c>
      <c r="D149" s="27">
        <v>1000</v>
      </c>
      <c r="E149" s="27" t="s">
        <v>53</v>
      </c>
      <c r="F149" s="27" t="s">
        <v>73</v>
      </c>
      <c r="G149" s="27">
        <v>4900010391</v>
      </c>
      <c r="H149" s="27" t="s">
        <v>54</v>
      </c>
      <c r="I149" s="28">
        <v>45295</v>
      </c>
      <c r="J149" s="27" t="s">
        <v>72</v>
      </c>
      <c r="K149" s="29">
        <v>-2</v>
      </c>
      <c r="L149" s="31">
        <v>1680000710858</v>
      </c>
      <c r="M149" s="28">
        <v>45295</v>
      </c>
      <c r="N149" s="30">
        <v>0.77778935185185005</v>
      </c>
      <c r="O149" s="27" t="s">
        <v>119</v>
      </c>
      <c r="P149" s="137"/>
      <c r="Q149" t="str">
        <f>IFERROR(IF((_xlfn.XLOOKUP(A149,'Set of Installation'!A:A,'Set of Installation'!C:C)+1)&gt;ABS(K149),"OK","Overusage"),"")</f>
        <v>OK</v>
      </c>
      <c r="R149" t="str">
        <f>_xlfn.XLOOKUP(C149,'Checking(ZSERIALS)'!E:E,'Checking(ZSERIALS)'!F:F)</f>
        <v>CHRISTBELLA CONSTRUCTION MANAGEMENT</v>
      </c>
    </row>
    <row r="150" spans="1:18" x14ac:dyDescent="0.3">
      <c r="A150" s="27">
        <v>40000009</v>
      </c>
      <c r="B150" s="27" t="s">
        <v>16</v>
      </c>
      <c r="C150" s="27">
        <v>4500866</v>
      </c>
      <c r="D150" s="27">
        <v>1000</v>
      </c>
      <c r="E150" s="27" t="s">
        <v>53</v>
      </c>
      <c r="F150" s="27" t="s">
        <v>73</v>
      </c>
      <c r="G150" s="27">
        <v>4900010420</v>
      </c>
      <c r="H150" s="27" t="s">
        <v>54</v>
      </c>
      <c r="I150" s="28">
        <v>45295</v>
      </c>
      <c r="J150" s="27" t="s">
        <v>72</v>
      </c>
      <c r="K150" s="29">
        <v>-5</v>
      </c>
      <c r="L150" s="31">
        <v>1680000710820</v>
      </c>
      <c r="M150" s="28">
        <v>45295</v>
      </c>
      <c r="N150" s="30">
        <v>0.78190972222221999</v>
      </c>
      <c r="O150" s="27" t="s">
        <v>122</v>
      </c>
      <c r="P150" s="137"/>
      <c r="Q150" t="str">
        <f>IFERROR(IF((_xlfn.XLOOKUP(A150,'Set of Installation'!A:A,'Set of Installation'!C:C)+1)&gt;ABS(K150),"OK","Overusage"),"")</f>
        <v>OK</v>
      </c>
      <c r="R150" t="str">
        <f>_xlfn.XLOOKUP(C150,'Checking(ZSERIALS)'!E:E,'Checking(ZSERIALS)'!F:F)</f>
        <v>CHRISTBELLA CONSTRUCTION MANAGEMENT</v>
      </c>
    </row>
    <row r="151" spans="1:18" x14ac:dyDescent="0.3">
      <c r="A151" s="27">
        <v>40000009</v>
      </c>
      <c r="B151" s="27" t="s">
        <v>16</v>
      </c>
      <c r="C151" s="27">
        <v>4500866</v>
      </c>
      <c r="D151" s="27">
        <v>1000</v>
      </c>
      <c r="E151" s="27" t="s">
        <v>53</v>
      </c>
      <c r="F151" s="27" t="s">
        <v>73</v>
      </c>
      <c r="G151" s="27">
        <v>4900008763</v>
      </c>
      <c r="H151" s="27" t="s">
        <v>54</v>
      </c>
      <c r="I151" s="28">
        <v>45295</v>
      </c>
      <c r="J151" s="27" t="s">
        <v>72</v>
      </c>
      <c r="K151" s="29">
        <v>-10</v>
      </c>
      <c r="L151" s="31">
        <v>1680000692316</v>
      </c>
      <c r="M151" s="28">
        <v>45295</v>
      </c>
      <c r="N151" s="30">
        <v>0.61111111111111005</v>
      </c>
      <c r="O151" s="27" t="s">
        <v>113</v>
      </c>
      <c r="P151" s="137"/>
      <c r="Q151" t="str">
        <f>IFERROR(IF((_xlfn.XLOOKUP(A151,'Set of Installation'!A:A,'Set of Installation'!C:C)+1)&gt;ABS(K151),"OK","Overusage"),"")</f>
        <v>OK</v>
      </c>
      <c r="R151" t="str">
        <f>_xlfn.XLOOKUP(C151,'Checking(ZSERIALS)'!E:E,'Checking(ZSERIALS)'!F:F)</f>
        <v>CHRISTBELLA CONSTRUCTION MANAGEMENT</v>
      </c>
    </row>
    <row r="152" spans="1:18" x14ac:dyDescent="0.3">
      <c r="A152" s="27">
        <v>40000009</v>
      </c>
      <c r="B152" s="27" t="s">
        <v>16</v>
      </c>
      <c r="C152" s="27">
        <v>4500866</v>
      </c>
      <c r="D152" s="27">
        <v>1000</v>
      </c>
      <c r="E152" s="27" t="s">
        <v>53</v>
      </c>
      <c r="F152" s="27" t="s">
        <v>73</v>
      </c>
      <c r="G152" s="27">
        <v>4900003797</v>
      </c>
      <c r="H152" s="27" t="s">
        <v>54</v>
      </c>
      <c r="I152" s="28">
        <v>45294</v>
      </c>
      <c r="J152" s="27" t="s">
        <v>72</v>
      </c>
      <c r="K152" s="29">
        <v>-5</v>
      </c>
      <c r="L152" s="31">
        <v>1680000705942</v>
      </c>
      <c r="M152" s="28">
        <v>45294</v>
      </c>
      <c r="N152" s="30">
        <v>0.56662037037037005</v>
      </c>
      <c r="O152" s="27" t="s">
        <v>107</v>
      </c>
      <c r="P152" s="137"/>
      <c r="Q152" t="str">
        <f>IFERROR(IF((_xlfn.XLOOKUP(A152,'Set of Installation'!A:A,'Set of Installation'!C:C)+1)&gt;ABS(K152),"OK","Overusage"),"")</f>
        <v>OK</v>
      </c>
      <c r="R152" t="str">
        <f>_xlfn.XLOOKUP(C152,'Checking(ZSERIALS)'!E:E,'Checking(ZSERIALS)'!F:F)</f>
        <v>CHRISTBELLA CONSTRUCTION MANAGEMENT</v>
      </c>
    </row>
    <row r="153" spans="1:18" x14ac:dyDescent="0.3">
      <c r="A153" s="27">
        <v>40000009</v>
      </c>
      <c r="B153" s="27" t="s">
        <v>16</v>
      </c>
      <c r="C153" s="27">
        <v>4500866</v>
      </c>
      <c r="D153" s="27">
        <v>1000</v>
      </c>
      <c r="E153" s="27" t="s">
        <v>53</v>
      </c>
      <c r="F153" s="27" t="s">
        <v>73</v>
      </c>
      <c r="G153" s="27">
        <v>4900004106</v>
      </c>
      <c r="H153" s="27" t="s">
        <v>54</v>
      </c>
      <c r="I153" s="28">
        <v>45294</v>
      </c>
      <c r="J153" s="27" t="s">
        <v>72</v>
      </c>
      <c r="K153" s="29">
        <v>-10</v>
      </c>
      <c r="L153" s="31">
        <v>1680000701938</v>
      </c>
      <c r="M153" s="28">
        <v>45294</v>
      </c>
      <c r="N153" s="30">
        <v>0.60273148148148004</v>
      </c>
      <c r="O153" s="27" t="s">
        <v>110</v>
      </c>
      <c r="P153" s="137"/>
      <c r="Q153" t="str">
        <f>IFERROR(IF((_xlfn.XLOOKUP(A153,'Set of Installation'!A:A,'Set of Installation'!C:C)+1)&gt;ABS(K153),"OK","Overusage"),"")</f>
        <v>OK</v>
      </c>
      <c r="R153" t="str">
        <f>_xlfn.XLOOKUP(C153,'Checking(ZSERIALS)'!E:E,'Checking(ZSERIALS)'!F:F)</f>
        <v>CHRISTBELLA CONSTRUCTION MANAGEMENT</v>
      </c>
    </row>
    <row r="154" spans="1:18" x14ac:dyDescent="0.3">
      <c r="A154" s="27">
        <v>40000009</v>
      </c>
      <c r="B154" s="27" t="s">
        <v>16</v>
      </c>
      <c r="C154" s="27">
        <v>4500866</v>
      </c>
      <c r="D154" s="27">
        <v>1000</v>
      </c>
      <c r="E154" s="27" t="s">
        <v>53</v>
      </c>
      <c r="F154" s="27" t="s">
        <v>73</v>
      </c>
      <c r="G154" s="27">
        <v>4900140569</v>
      </c>
      <c r="H154" s="27" t="s">
        <v>54</v>
      </c>
      <c r="I154" s="28">
        <v>45291</v>
      </c>
      <c r="J154" s="27" t="s">
        <v>72</v>
      </c>
      <c r="K154" s="29">
        <v>-8</v>
      </c>
      <c r="L154" s="31">
        <v>1680000701674</v>
      </c>
      <c r="M154" s="28">
        <v>45291</v>
      </c>
      <c r="N154" s="30">
        <v>0.42490740740741001</v>
      </c>
      <c r="O154" s="27" t="s">
        <v>392</v>
      </c>
      <c r="P154" s="137"/>
      <c r="Q154" t="str">
        <f>IFERROR(IF((_xlfn.XLOOKUP(A154,'Set of Installation'!A:A,'Set of Installation'!C:C)+1)&gt;ABS(K154),"OK","Overusage"),"")</f>
        <v>OK</v>
      </c>
      <c r="R154" t="str">
        <f>_xlfn.XLOOKUP(C154,'Checking(ZSERIALS)'!E:E,'Checking(ZSERIALS)'!F:F)</f>
        <v>CHRISTBELLA CONSTRUCTION MANAGEMENT</v>
      </c>
    </row>
    <row r="155" spans="1:18" x14ac:dyDescent="0.3">
      <c r="A155" s="27">
        <v>40000009</v>
      </c>
      <c r="B155" s="27" t="s">
        <v>16</v>
      </c>
      <c r="C155" s="27">
        <v>4500866</v>
      </c>
      <c r="D155" s="27">
        <v>1000</v>
      </c>
      <c r="E155" s="27" t="s">
        <v>53</v>
      </c>
      <c r="F155" s="27" t="s">
        <v>73</v>
      </c>
      <c r="G155" s="27">
        <v>4900141377</v>
      </c>
      <c r="H155" s="27" t="s">
        <v>54</v>
      </c>
      <c r="I155" s="28">
        <v>45291</v>
      </c>
      <c r="J155" s="27" t="s">
        <v>72</v>
      </c>
      <c r="K155" s="29">
        <v>-5</v>
      </c>
      <c r="L155" s="31">
        <v>1680000703147</v>
      </c>
      <c r="M155" s="28">
        <v>45291</v>
      </c>
      <c r="N155" s="30">
        <v>0.62630787037036995</v>
      </c>
      <c r="O155" s="27" t="s">
        <v>401</v>
      </c>
      <c r="P155" s="137"/>
      <c r="Q155" t="str">
        <f>IFERROR(IF((_xlfn.XLOOKUP(A155,'Set of Installation'!A:A,'Set of Installation'!C:C)+1)&gt;ABS(K155),"OK","Overusage"),"")</f>
        <v>OK</v>
      </c>
      <c r="R155" t="str">
        <f>_xlfn.XLOOKUP(C155,'Checking(ZSERIALS)'!E:E,'Checking(ZSERIALS)'!F:F)</f>
        <v>CHRISTBELLA CONSTRUCTION MANAGEMENT</v>
      </c>
    </row>
    <row r="156" spans="1:18" x14ac:dyDescent="0.3">
      <c r="A156" s="27">
        <v>40000009</v>
      </c>
      <c r="B156" s="27" t="s">
        <v>16</v>
      </c>
      <c r="C156" s="27">
        <v>4500866</v>
      </c>
      <c r="D156" s="27">
        <v>1000</v>
      </c>
      <c r="E156" s="27" t="s">
        <v>53</v>
      </c>
      <c r="F156" s="27" t="s">
        <v>73</v>
      </c>
      <c r="G156" s="27">
        <v>4900141595</v>
      </c>
      <c r="H156" s="27" t="s">
        <v>54</v>
      </c>
      <c r="I156" s="28">
        <v>45291</v>
      </c>
      <c r="J156" s="27" t="s">
        <v>72</v>
      </c>
      <c r="K156" s="29">
        <v>-8</v>
      </c>
      <c r="L156" s="31">
        <v>1680000698441</v>
      </c>
      <c r="M156" s="28">
        <v>45291</v>
      </c>
      <c r="N156" s="30">
        <v>0.70130787037037001</v>
      </c>
      <c r="O156" s="27" t="s">
        <v>410</v>
      </c>
      <c r="P156" s="137"/>
      <c r="Q156" t="str">
        <f>IFERROR(IF((_xlfn.XLOOKUP(A156,'Set of Installation'!A:A,'Set of Installation'!C:C)+1)&gt;ABS(K156),"OK","Overusage"),"")</f>
        <v>OK</v>
      </c>
      <c r="R156" t="str">
        <f>_xlfn.XLOOKUP(C156,'Checking(ZSERIALS)'!E:E,'Checking(ZSERIALS)'!F:F)</f>
        <v>CHRISTBELLA CONSTRUCTION MANAGEMENT</v>
      </c>
    </row>
    <row r="157" spans="1:18" x14ac:dyDescent="0.3">
      <c r="A157" s="27">
        <v>40000009</v>
      </c>
      <c r="B157" s="27" t="s">
        <v>16</v>
      </c>
      <c r="C157" s="27">
        <v>4500866</v>
      </c>
      <c r="D157" s="27">
        <v>1000</v>
      </c>
      <c r="E157" s="27" t="s">
        <v>53</v>
      </c>
      <c r="F157" s="27" t="s">
        <v>73</v>
      </c>
      <c r="G157" s="27">
        <v>4900136770</v>
      </c>
      <c r="H157" s="27" t="s">
        <v>54</v>
      </c>
      <c r="I157" s="28">
        <v>45290</v>
      </c>
      <c r="J157" s="27" t="s">
        <v>72</v>
      </c>
      <c r="K157" s="29">
        <v>-5</v>
      </c>
      <c r="L157" s="31">
        <v>1680000697589</v>
      </c>
      <c r="M157" s="28">
        <v>45290</v>
      </c>
      <c r="N157" s="30">
        <v>0.48328703703704001</v>
      </c>
      <c r="O157" s="27" t="s">
        <v>377</v>
      </c>
      <c r="P157" s="137"/>
      <c r="Q157" t="str">
        <f>IFERROR(IF((_xlfn.XLOOKUP(A157,'Set of Installation'!A:A,'Set of Installation'!C:C)+1)&gt;ABS(K157),"OK","Overusage"),"")</f>
        <v>OK</v>
      </c>
      <c r="R157" t="str">
        <f>_xlfn.XLOOKUP(C157,'Checking(ZSERIALS)'!E:E,'Checking(ZSERIALS)'!F:F)</f>
        <v>CHRISTBELLA CONSTRUCTION MANAGEMENT</v>
      </c>
    </row>
    <row r="158" spans="1:18" x14ac:dyDescent="0.3">
      <c r="A158" s="27">
        <v>40000009</v>
      </c>
      <c r="B158" s="27" t="s">
        <v>16</v>
      </c>
      <c r="C158" s="27">
        <v>4500866</v>
      </c>
      <c r="D158" s="27">
        <v>1000</v>
      </c>
      <c r="E158" s="27" t="s">
        <v>53</v>
      </c>
      <c r="F158" s="27" t="s">
        <v>73</v>
      </c>
      <c r="G158" s="27">
        <v>4900138147</v>
      </c>
      <c r="H158" s="27" t="s">
        <v>54</v>
      </c>
      <c r="I158" s="28">
        <v>45290</v>
      </c>
      <c r="J158" s="27" t="s">
        <v>72</v>
      </c>
      <c r="K158" s="29">
        <v>-6</v>
      </c>
      <c r="L158" s="31">
        <v>1680000697080</v>
      </c>
      <c r="M158" s="28">
        <v>45290</v>
      </c>
      <c r="N158" s="30">
        <v>0.65128472222222</v>
      </c>
      <c r="O158" s="27" t="s">
        <v>383</v>
      </c>
      <c r="P158" s="137"/>
      <c r="Q158" t="str">
        <f>IFERROR(IF((_xlfn.XLOOKUP(A158,'Set of Installation'!A:A,'Set of Installation'!C:C)+1)&gt;ABS(K158),"OK","Overusage"),"")</f>
        <v>OK</v>
      </c>
      <c r="R158" t="str">
        <f>_xlfn.XLOOKUP(C158,'Checking(ZSERIALS)'!E:E,'Checking(ZSERIALS)'!F:F)</f>
        <v>CHRISTBELLA CONSTRUCTION MANAGEMENT</v>
      </c>
    </row>
    <row r="159" spans="1:18" x14ac:dyDescent="0.3">
      <c r="A159" s="27">
        <v>40000009</v>
      </c>
      <c r="B159" s="27" t="s">
        <v>16</v>
      </c>
      <c r="C159" s="27">
        <v>4500866</v>
      </c>
      <c r="D159" s="27">
        <v>1000</v>
      </c>
      <c r="E159" s="27" t="s">
        <v>53</v>
      </c>
      <c r="F159" s="27" t="s">
        <v>73</v>
      </c>
      <c r="G159" s="27">
        <v>4900134099</v>
      </c>
      <c r="H159" s="27" t="s">
        <v>54</v>
      </c>
      <c r="I159" s="28">
        <v>45289</v>
      </c>
      <c r="J159" s="27" t="s">
        <v>72</v>
      </c>
      <c r="K159" s="29">
        <v>-5</v>
      </c>
      <c r="L159" s="31">
        <v>1680000700506</v>
      </c>
      <c r="M159" s="28">
        <v>45289</v>
      </c>
      <c r="N159" s="30">
        <v>0.70964120370369999</v>
      </c>
      <c r="O159" s="27" t="s">
        <v>366</v>
      </c>
      <c r="P159" s="137"/>
      <c r="Q159" t="str">
        <f>IFERROR(IF((_xlfn.XLOOKUP(A159,'Set of Installation'!A:A,'Set of Installation'!C:C)+1)&gt;ABS(K159),"OK","Overusage"),"")</f>
        <v>OK</v>
      </c>
      <c r="R159" t="str">
        <f>_xlfn.XLOOKUP(C159,'Checking(ZSERIALS)'!E:E,'Checking(ZSERIALS)'!F:F)</f>
        <v>CHRISTBELLA CONSTRUCTION MANAGEMENT</v>
      </c>
    </row>
    <row r="160" spans="1:18" x14ac:dyDescent="0.3">
      <c r="A160" s="27">
        <v>40000009</v>
      </c>
      <c r="B160" s="27" t="s">
        <v>16</v>
      </c>
      <c r="C160" s="27">
        <v>4500866</v>
      </c>
      <c r="D160" s="27">
        <v>1000</v>
      </c>
      <c r="E160" s="27" t="s">
        <v>53</v>
      </c>
      <c r="F160" s="27" t="s">
        <v>73</v>
      </c>
      <c r="G160" s="27">
        <v>4900132654</v>
      </c>
      <c r="H160" s="27" t="s">
        <v>54</v>
      </c>
      <c r="I160" s="28">
        <v>45289</v>
      </c>
      <c r="J160" s="27" t="s">
        <v>72</v>
      </c>
      <c r="K160" s="29">
        <v>-10</v>
      </c>
      <c r="L160" s="31">
        <v>1680000699895</v>
      </c>
      <c r="M160" s="28">
        <v>45289</v>
      </c>
      <c r="N160" s="30">
        <v>0.55685185185185004</v>
      </c>
      <c r="O160" s="27" t="s">
        <v>360</v>
      </c>
      <c r="P160" s="137"/>
      <c r="Q160" t="str">
        <f>IFERROR(IF((_xlfn.XLOOKUP(A160,'Set of Installation'!A:A,'Set of Installation'!C:C)+1)&gt;ABS(K160),"OK","Overusage"),"")</f>
        <v>OK</v>
      </c>
      <c r="R160" t="str">
        <f>_xlfn.XLOOKUP(C160,'Checking(ZSERIALS)'!E:E,'Checking(ZSERIALS)'!F:F)</f>
        <v>CHRISTBELLA CONSTRUCTION MANAGEMENT</v>
      </c>
    </row>
    <row r="161" spans="1:18" x14ac:dyDescent="0.3">
      <c r="A161" s="27">
        <v>40000009</v>
      </c>
      <c r="B161" s="27" t="s">
        <v>16</v>
      </c>
      <c r="C161" s="27">
        <v>4500866</v>
      </c>
      <c r="D161" s="27">
        <v>1000</v>
      </c>
      <c r="E161" s="27" t="s">
        <v>53</v>
      </c>
      <c r="F161" s="27" t="s">
        <v>73</v>
      </c>
      <c r="G161" s="27">
        <v>4900133936</v>
      </c>
      <c r="H161" s="27" t="s">
        <v>54</v>
      </c>
      <c r="I161" s="28">
        <v>45289</v>
      </c>
      <c r="J161" s="27" t="s">
        <v>72</v>
      </c>
      <c r="K161" s="29">
        <v>-8</v>
      </c>
      <c r="L161" s="31">
        <v>1680000700086</v>
      </c>
      <c r="M161" s="28">
        <v>45289</v>
      </c>
      <c r="N161" s="30">
        <v>0.69854166666666995</v>
      </c>
      <c r="O161" s="27" t="s">
        <v>363</v>
      </c>
      <c r="P161" s="137"/>
      <c r="Q161" t="str">
        <f>IFERROR(IF((_xlfn.XLOOKUP(A161,'Set of Installation'!A:A,'Set of Installation'!C:C)+1)&gt;ABS(K161),"OK","Overusage"),"")</f>
        <v>OK</v>
      </c>
      <c r="R161" t="str">
        <f>_xlfn.XLOOKUP(C161,'Checking(ZSERIALS)'!E:E,'Checking(ZSERIALS)'!F:F)</f>
        <v>CHRISTBELLA CONSTRUCTION MANAGEMENT</v>
      </c>
    </row>
    <row r="162" spans="1:18" x14ac:dyDescent="0.3">
      <c r="A162" s="27">
        <v>40000009</v>
      </c>
      <c r="B162" s="27" t="s">
        <v>16</v>
      </c>
      <c r="C162" s="27">
        <v>4500866</v>
      </c>
      <c r="D162" s="27">
        <v>1000</v>
      </c>
      <c r="E162" s="27" t="s">
        <v>53</v>
      </c>
      <c r="F162" s="27" t="s">
        <v>73</v>
      </c>
      <c r="G162" s="27">
        <v>4900134267</v>
      </c>
      <c r="H162" s="27" t="s">
        <v>54</v>
      </c>
      <c r="I162" s="28">
        <v>45289</v>
      </c>
      <c r="J162" s="27" t="s">
        <v>72</v>
      </c>
      <c r="K162" s="29">
        <v>-2</v>
      </c>
      <c r="L162" s="31">
        <v>1680000699442</v>
      </c>
      <c r="M162" s="28">
        <v>45289</v>
      </c>
      <c r="N162" s="30">
        <v>0.72211805555555997</v>
      </c>
      <c r="O162" s="27" t="s">
        <v>369</v>
      </c>
      <c r="P162" s="137"/>
      <c r="Q162" t="str">
        <f>IFERROR(IF((_xlfn.XLOOKUP(A162,'Set of Installation'!A:A,'Set of Installation'!C:C)+1)&gt;ABS(K162),"OK","Overusage"),"")</f>
        <v>OK</v>
      </c>
      <c r="R162" t="str">
        <f>_xlfn.XLOOKUP(C162,'Checking(ZSERIALS)'!E:E,'Checking(ZSERIALS)'!F:F)</f>
        <v>CHRISTBELLA CONSTRUCTION MANAGEMENT</v>
      </c>
    </row>
    <row r="163" spans="1:18" x14ac:dyDescent="0.3">
      <c r="A163" s="27">
        <v>40000009</v>
      </c>
      <c r="B163" s="27" t="s">
        <v>16</v>
      </c>
      <c r="C163" s="27">
        <v>4500866</v>
      </c>
      <c r="D163" s="27">
        <v>1000</v>
      </c>
      <c r="E163" s="27" t="s">
        <v>53</v>
      </c>
      <c r="F163" s="27" t="s">
        <v>73</v>
      </c>
      <c r="G163" s="27">
        <v>4900135136</v>
      </c>
      <c r="H163" s="27" t="s">
        <v>101</v>
      </c>
      <c r="I163" s="28">
        <v>45289</v>
      </c>
      <c r="J163" s="27" t="s">
        <v>72</v>
      </c>
      <c r="K163" s="29">
        <v>-10</v>
      </c>
      <c r="L163" s="31" t="s">
        <v>103</v>
      </c>
      <c r="M163" s="28">
        <v>45289</v>
      </c>
      <c r="N163" s="30">
        <v>0.83835648148148001</v>
      </c>
      <c r="O163" s="27" t="s">
        <v>104</v>
      </c>
      <c r="P163" s="137"/>
      <c r="Q163" t="str">
        <f>IFERROR(IF((_xlfn.XLOOKUP(A163,'Set of Installation'!A:A,'Set of Installation'!C:C)+1)&gt;ABS(K163),"OK","Overusage"),"")</f>
        <v>OK</v>
      </c>
      <c r="R163" t="str">
        <f>_xlfn.XLOOKUP(C163,'Checking(ZSERIALS)'!E:E,'Checking(ZSERIALS)'!F:F)</f>
        <v>CHRISTBELLA CONSTRUCTION MANAGEMENT</v>
      </c>
    </row>
    <row r="164" spans="1:18" x14ac:dyDescent="0.3">
      <c r="A164" s="27">
        <v>40000009</v>
      </c>
      <c r="B164" s="27" t="s">
        <v>16</v>
      </c>
      <c r="C164" s="27">
        <v>4500866</v>
      </c>
      <c r="D164" s="27">
        <v>1000</v>
      </c>
      <c r="E164" s="27" t="s">
        <v>53</v>
      </c>
      <c r="F164" s="27" t="s">
        <v>73</v>
      </c>
      <c r="G164" s="27">
        <v>4900134950</v>
      </c>
      <c r="H164" s="27" t="s">
        <v>54</v>
      </c>
      <c r="I164" s="28">
        <v>45289</v>
      </c>
      <c r="J164" s="27" t="s">
        <v>72</v>
      </c>
      <c r="K164" s="29">
        <v>-5</v>
      </c>
      <c r="L164" s="31">
        <v>1680000697821</v>
      </c>
      <c r="M164" s="28">
        <v>45289</v>
      </c>
      <c r="N164" s="30">
        <v>0.80824074074074004</v>
      </c>
      <c r="O164" s="27" t="s">
        <v>374</v>
      </c>
      <c r="P164" s="137"/>
      <c r="Q164" t="str">
        <f>IFERROR(IF((_xlfn.XLOOKUP(A164,'Set of Installation'!A:A,'Set of Installation'!C:C)+1)&gt;ABS(K164),"OK","Overusage"),"")</f>
        <v>OK</v>
      </c>
      <c r="R164" t="str">
        <f>_xlfn.XLOOKUP(C164,'Checking(ZSERIALS)'!E:E,'Checking(ZSERIALS)'!F:F)</f>
        <v>CHRISTBELLA CONSTRUCTION MANAGEMENT</v>
      </c>
    </row>
    <row r="165" spans="1:18" x14ac:dyDescent="0.3">
      <c r="A165" s="27">
        <v>40000009</v>
      </c>
      <c r="B165" s="27" t="s">
        <v>16</v>
      </c>
      <c r="C165" s="27">
        <v>4500866</v>
      </c>
      <c r="D165" s="27">
        <v>1000</v>
      </c>
      <c r="E165" s="27" t="s">
        <v>53</v>
      </c>
      <c r="F165" s="27" t="s">
        <v>73</v>
      </c>
      <c r="G165" s="27">
        <v>4900126968</v>
      </c>
      <c r="H165" s="27" t="s">
        <v>54</v>
      </c>
      <c r="I165" s="28">
        <v>45288</v>
      </c>
      <c r="J165" s="27" t="s">
        <v>72</v>
      </c>
      <c r="K165" s="29">
        <v>-5</v>
      </c>
      <c r="L165" s="31">
        <v>1680000695397</v>
      </c>
      <c r="M165" s="28">
        <v>45288</v>
      </c>
      <c r="N165" s="30">
        <v>0.43185185185184999</v>
      </c>
      <c r="O165" s="27" t="s">
        <v>343</v>
      </c>
      <c r="P165" s="137"/>
      <c r="Q165" t="str">
        <f>IFERROR(IF((_xlfn.XLOOKUP(A165,'Set of Installation'!A:A,'Set of Installation'!C:C)+1)&gt;ABS(K165),"OK","Overusage"),"")</f>
        <v>OK</v>
      </c>
      <c r="R165" t="str">
        <f>_xlfn.XLOOKUP(C165,'Checking(ZSERIALS)'!E:E,'Checking(ZSERIALS)'!F:F)</f>
        <v>CHRISTBELLA CONSTRUCTION MANAGEMENT</v>
      </c>
    </row>
    <row r="166" spans="1:18" x14ac:dyDescent="0.3">
      <c r="A166" s="27">
        <v>40000009</v>
      </c>
      <c r="B166" s="27" t="s">
        <v>16</v>
      </c>
      <c r="C166" s="27">
        <v>4500866</v>
      </c>
      <c r="D166" s="27">
        <v>1000</v>
      </c>
      <c r="E166" s="27" t="s">
        <v>53</v>
      </c>
      <c r="F166" s="27" t="s">
        <v>73</v>
      </c>
      <c r="G166" s="27">
        <v>4900127847</v>
      </c>
      <c r="H166" s="27" t="s">
        <v>54</v>
      </c>
      <c r="I166" s="28">
        <v>45288</v>
      </c>
      <c r="J166" s="27" t="s">
        <v>72</v>
      </c>
      <c r="K166" s="29">
        <v>-5</v>
      </c>
      <c r="L166" s="31">
        <v>1680000696871</v>
      </c>
      <c r="M166" s="28">
        <v>45288</v>
      </c>
      <c r="N166" s="30">
        <v>0.54297453703704002</v>
      </c>
      <c r="O166" s="27" t="s">
        <v>346</v>
      </c>
      <c r="P166" s="137"/>
      <c r="Q166" t="str">
        <f>IFERROR(IF((_xlfn.XLOOKUP(A166,'Set of Installation'!A:A,'Set of Installation'!C:C)+1)&gt;ABS(K166),"OK","Overusage"),"")</f>
        <v>OK</v>
      </c>
      <c r="R166" t="str">
        <f>_xlfn.XLOOKUP(C166,'Checking(ZSERIALS)'!E:E,'Checking(ZSERIALS)'!F:F)</f>
        <v>CHRISTBELLA CONSTRUCTION MANAGEMENT</v>
      </c>
    </row>
    <row r="167" spans="1:18" x14ac:dyDescent="0.3">
      <c r="A167" s="27">
        <v>40000009</v>
      </c>
      <c r="B167" s="27" t="s">
        <v>16</v>
      </c>
      <c r="C167" s="27">
        <v>4500866</v>
      </c>
      <c r="D167" s="27">
        <v>1000</v>
      </c>
      <c r="E167" s="27" t="s">
        <v>53</v>
      </c>
      <c r="F167" s="27" t="s">
        <v>73</v>
      </c>
      <c r="G167" s="27">
        <v>4900129298</v>
      </c>
      <c r="H167" s="27" t="s">
        <v>54</v>
      </c>
      <c r="I167" s="28">
        <v>45288</v>
      </c>
      <c r="J167" s="27" t="s">
        <v>72</v>
      </c>
      <c r="K167" s="29">
        <v>-6</v>
      </c>
      <c r="L167" s="31">
        <v>1680000696970</v>
      </c>
      <c r="M167" s="28">
        <v>45288</v>
      </c>
      <c r="N167" s="30">
        <v>0.70821759259258998</v>
      </c>
      <c r="O167" s="27" t="s">
        <v>357</v>
      </c>
      <c r="P167" s="137"/>
      <c r="Q167" t="str">
        <f>IFERROR(IF((_xlfn.XLOOKUP(A167,'Set of Installation'!A:A,'Set of Installation'!C:C)+1)&gt;ABS(K167),"OK","Overusage"),"")</f>
        <v>OK</v>
      </c>
      <c r="R167" t="str">
        <f>_xlfn.XLOOKUP(C167,'Checking(ZSERIALS)'!E:E,'Checking(ZSERIALS)'!F:F)</f>
        <v>CHRISTBELLA CONSTRUCTION MANAGEMENT</v>
      </c>
    </row>
    <row r="168" spans="1:18" x14ac:dyDescent="0.3">
      <c r="A168" s="27">
        <v>40000009</v>
      </c>
      <c r="B168" s="27" t="s">
        <v>16</v>
      </c>
      <c r="C168" s="27">
        <v>4500866</v>
      </c>
      <c r="D168" s="27">
        <v>1000</v>
      </c>
      <c r="E168" s="27" t="s">
        <v>53</v>
      </c>
      <c r="F168" s="27" t="s">
        <v>73</v>
      </c>
      <c r="G168" s="27">
        <v>4900129226</v>
      </c>
      <c r="H168" s="27" t="s">
        <v>54</v>
      </c>
      <c r="I168" s="28">
        <v>45288</v>
      </c>
      <c r="J168" s="27" t="s">
        <v>72</v>
      </c>
      <c r="K168" s="29">
        <v>-5</v>
      </c>
      <c r="L168" s="31">
        <v>1680000696047</v>
      </c>
      <c r="M168" s="28">
        <v>45288</v>
      </c>
      <c r="N168" s="30">
        <v>0.69991898148148002</v>
      </c>
      <c r="O168" s="27" t="s">
        <v>354</v>
      </c>
      <c r="P168" s="137"/>
      <c r="Q168" t="str">
        <f>IFERROR(IF((_xlfn.XLOOKUP(A168,'Set of Installation'!A:A,'Set of Installation'!C:C)+1)&gt;ABS(K168),"OK","Overusage"),"")</f>
        <v>OK</v>
      </c>
      <c r="R168" t="str">
        <f>_xlfn.XLOOKUP(C168,'Checking(ZSERIALS)'!E:E,'Checking(ZSERIALS)'!F:F)</f>
        <v>CHRISTBELLA CONSTRUCTION MANAGEMENT</v>
      </c>
    </row>
    <row r="169" spans="1:18" x14ac:dyDescent="0.3">
      <c r="A169" s="27">
        <v>40000009</v>
      </c>
      <c r="B169" s="27" t="s">
        <v>16</v>
      </c>
      <c r="C169" s="27">
        <v>4500866</v>
      </c>
      <c r="D169" s="27">
        <v>1000</v>
      </c>
      <c r="E169" s="27" t="s">
        <v>53</v>
      </c>
      <c r="F169" s="27" t="s">
        <v>73</v>
      </c>
      <c r="G169" s="27">
        <v>4900128934</v>
      </c>
      <c r="H169" s="27" t="s">
        <v>54</v>
      </c>
      <c r="I169" s="28">
        <v>45288</v>
      </c>
      <c r="J169" s="27" t="s">
        <v>72</v>
      </c>
      <c r="K169" s="29">
        <v>-10</v>
      </c>
      <c r="L169" s="31">
        <v>1680000697505</v>
      </c>
      <c r="M169" s="28">
        <v>45288</v>
      </c>
      <c r="N169" s="30">
        <v>0.67491898148148</v>
      </c>
      <c r="O169" s="27" t="s">
        <v>349</v>
      </c>
      <c r="P169" s="137"/>
      <c r="Q169" t="str">
        <f>IFERROR(IF((_xlfn.XLOOKUP(A169,'Set of Installation'!A:A,'Set of Installation'!C:C)+1)&gt;ABS(K169),"OK","Overusage"),"")</f>
        <v>OK</v>
      </c>
      <c r="R169" t="str">
        <f>_xlfn.XLOOKUP(C169,'Checking(ZSERIALS)'!E:E,'Checking(ZSERIALS)'!F:F)</f>
        <v>CHRISTBELLA CONSTRUCTION MANAGEMENT</v>
      </c>
    </row>
    <row r="170" spans="1:18" x14ac:dyDescent="0.3">
      <c r="A170" s="27">
        <v>40000009</v>
      </c>
      <c r="B170" s="27" t="s">
        <v>16</v>
      </c>
      <c r="C170" s="27">
        <v>4500866</v>
      </c>
      <c r="D170" s="27">
        <v>1000</v>
      </c>
      <c r="E170" s="27" t="s">
        <v>53</v>
      </c>
      <c r="F170" s="27" t="s">
        <v>73</v>
      </c>
      <c r="G170" s="27">
        <v>4900123873</v>
      </c>
      <c r="H170" s="27" t="s">
        <v>54</v>
      </c>
      <c r="I170" s="28">
        <v>45287</v>
      </c>
      <c r="J170" s="27" t="s">
        <v>72</v>
      </c>
      <c r="K170" s="29">
        <v>-5</v>
      </c>
      <c r="L170" s="31">
        <v>1680000693742</v>
      </c>
      <c r="M170" s="28">
        <v>45287</v>
      </c>
      <c r="N170" s="30">
        <v>0.61238425925925999</v>
      </c>
      <c r="O170" s="27" t="s">
        <v>335</v>
      </c>
      <c r="P170" s="137"/>
      <c r="Q170" t="str">
        <f>IFERROR(IF((_xlfn.XLOOKUP(A170,'Set of Installation'!A:A,'Set of Installation'!C:C)+1)&gt;ABS(K170),"OK","Overusage"),"")</f>
        <v>OK</v>
      </c>
      <c r="R170" t="str">
        <f>_xlfn.XLOOKUP(C170,'Checking(ZSERIALS)'!E:E,'Checking(ZSERIALS)'!F:F)</f>
        <v>CHRISTBELLA CONSTRUCTION MANAGEMENT</v>
      </c>
    </row>
    <row r="171" spans="1:18" x14ac:dyDescent="0.3">
      <c r="A171" s="27">
        <v>40000009</v>
      </c>
      <c r="B171" s="27" t="s">
        <v>16</v>
      </c>
      <c r="C171" s="27">
        <v>4500866</v>
      </c>
      <c r="D171" s="27">
        <v>1000</v>
      </c>
      <c r="E171" s="27" t="s">
        <v>53</v>
      </c>
      <c r="F171" s="27" t="s">
        <v>73</v>
      </c>
      <c r="G171" s="27">
        <v>4900125233</v>
      </c>
      <c r="H171" s="27" t="s">
        <v>54</v>
      </c>
      <c r="I171" s="28">
        <v>45287</v>
      </c>
      <c r="J171" s="27" t="s">
        <v>72</v>
      </c>
      <c r="K171" s="29">
        <v>-5</v>
      </c>
      <c r="L171" s="31">
        <v>1680000692270</v>
      </c>
      <c r="M171" s="28">
        <v>45287</v>
      </c>
      <c r="N171" s="30">
        <v>0.75821759259259003</v>
      </c>
      <c r="O171" s="27" t="s">
        <v>340</v>
      </c>
      <c r="P171" s="137"/>
      <c r="Q171" t="str">
        <f>IFERROR(IF((_xlfn.XLOOKUP(A171,'Set of Installation'!A:A,'Set of Installation'!C:C)+1)&gt;ABS(K171),"OK","Overusage"),"")</f>
        <v>OK</v>
      </c>
      <c r="R171" t="str">
        <f>_xlfn.XLOOKUP(C171,'Checking(ZSERIALS)'!E:E,'Checking(ZSERIALS)'!F:F)</f>
        <v>CHRISTBELLA CONSTRUCTION MANAGEMENT</v>
      </c>
    </row>
    <row r="172" spans="1:18" x14ac:dyDescent="0.3">
      <c r="A172" s="27">
        <v>40000009</v>
      </c>
      <c r="B172" s="27" t="s">
        <v>16</v>
      </c>
      <c r="C172" s="27">
        <v>4500866</v>
      </c>
      <c r="D172" s="27">
        <v>1000</v>
      </c>
      <c r="E172" s="27" t="s">
        <v>53</v>
      </c>
      <c r="F172" s="27" t="s">
        <v>73</v>
      </c>
      <c r="G172" s="27">
        <v>4900120407</v>
      </c>
      <c r="H172" s="27" t="s">
        <v>54</v>
      </c>
      <c r="I172" s="28">
        <v>45286</v>
      </c>
      <c r="J172" s="27" t="s">
        <v>72</v>
      </c>
      <c r="K172" s="29">
        <v>-5</v>
      </c>
      <c r="L172" s="31">
        <v>1680000691706</v>
      </c>
      <c r="M172" s="28">
        <v>45286</v>
      </c>
      <c r="N172" s="30">
        <v>0.56234953703704005</v>
      </c>
      <c r="O172" s="27" t="s">
        <v>332</v>
      </c>
      <c r="P172" s="137"/>
      <c r="Q172" t="str">
        <f>IFERROR(IF((_xlfn.XLOOKUP(A172,'Set of Installation'!A:A,'Set of Installation'!C:C)+1)&gt;ABS(K172),"OK","Overusage"),"")</f>
        <v>OK</v>
      </c>
      <c r="R172" t="str">
        <f>_xlfn.XLOOKUP(C172,'Checking(ZSERIALS)'!E:E,'Checking(ZSERIALS)'!F:F)</f>
        <v>CHRISTBELLA CONSTRUCTION MANAGEMENT</v>
      </c>
    </row>
    <row r="173" spans="1:18" x14ac:dyDescent="0.3">
      <c r="A173" s="27">
        <v>40000011</v>
      </c>
      <c r="B173" s="27" t="s">
        <v>27</v>
      </c>
      <c r="C173" s="27">
        <v>4500866</v>
      </c>
      <c r="D173" s="27">
        <v>1000</v>
      </c>
      <c r="E173" s="27" t="s">
        <v>53</v>
      </c>
      <c r="F173" s="27" t="s">
        <v>73</v>
      </c>
      <c r="G173" s="27">
        <v>4900065493</v>
      </c>
      <c r="H173" s="27" t="s">
        <v>54</v>
      </c>
      <c r="I173" s="28">
        <v>45307</v>
      </c>
      <c r="J173" s="27" t="s">
        <v>72</v>
      </c>
      <c r="K173" s="29">
        <v>-8</v>
      </c>
      <c r="L173" s="31">
        <v>1680000745079</v>
      </c>
      <c r="M173" s="28">
        <v>45307</v>
      </c>
      <c r="N173" s="30">
        <v>0.54668981481481005</v>
      </c>
      <c r="O173" s="27" t="s">
        <v>329</v>
      </c>
      <c r="P173" s="137"/>
      <c r="Q173" t="str">
        <f>IFERROR(IF((_xlfn.XLOOKUP(A173,'Set of Installation'!A:A,'Set of Installation'!C:C)+1)&gt;ABS(K173),"OK","Overusage"),"")</f>
        <v>OK</v>
      </c>
      <c r="R173" t="str">
        <f>_xlfn.XLOOKUP(C173,'Checking(ZSERIALS)'!E:E,'Checking(ZSERIALS)'!F:F)</f>
        <v>CHRISTBELLA CONSTRUCTION MANAGEMENT</v>
      </c>
    </row>
    <row r="174" spans="1:18" x14ac:dyDescent="0.3">
      <c r="A174" s="27">
        <v>40000011</v>
      </c>
      <c r="B174" s="27" t="s">
        <v>27</v>
      </c>
      <c r="C174" s="27">
        <v>4500866</v>
      </c>
      <c r="D174" s="27">
        <v>1000</v>
      </c>
      <c r="E174" s="27" t="s">
        <v>53</v>
      </c>
      <c r="F174" s="27" t="s">
        <v>73</v>
      </c>
      <c r="G174" s="27">
        <v>4900065059</v>
      </c>
      <c r="H174" s="27" t="s">
        <v>54</v>
      </c>
      <c r="I174" s="28">
        <v>45307</v>
      </c>
      <c r="J174" s="27" t="s">
        <v>72</v>
      </c>
      <c r="K174" s="29">
        <v>-8</v>
      </c>
      <c r="L174" s="31">
        <v>1680000745056</v>
      </c>
      <c r="M174" s="28">
        <v>45307</v>
      </c>
      <c r="N174" s="30">
        <v>0.49394675925926002</v>
      </c>
      <c r="O174" s="27" t="s">
        <v>326</v>
      </c>
      <c r="P174" s="137"/>
      <c r="Q174" t="str">
        <f>IFERROR(IF((_xlfn.XLOOKUP(A174,'Set of Installation'!A:A,'Set of Installation'!C:C)+1)&gt;ABS(K174),"OK","Overusage"),"")</f>
        <v>OK</v>
      </c>
      <c r="R174" t="str">
        <f>_xlfn.XLOOKUP(C174,'Checking(ZSERIALS)'!E:E,'Checking(ZSERIALS)'!F:F)</f>
        <v>CHRISTBELLA CONSTRUCTION MANAGEMENT</v>
      </c>
    </row>
    <row r="175" spans="1:18" x14ac:dyDescent="0.3">
      <c r="A175" s="27">
        <v>40000011</v>
      </c>
      <c r="B175" s="27" t="s">
        <v>27</v>
      </c>
      <c r="C175" s="27">
        <v>4500866</v>
      </c>
      <c r="D175" s="27">
        <v>1000</v>
      </c>
      <c r="E175" s="27" t="s">
        <v>53</v>
      </c>
      <c r="F175" s="27" t="s">
        <v>73</v>
      </c>
      <c r="G175" s="27">
        <v>4900061188</v>
      </c>
      <c r="H175" s="27" t="s">
        <v>54</v>
      </c>
      <c r="I175" s="28">
        <v>45306</v>
      </c>
      <c r="J175" s="27" t="s">
        <v>72</v>
      </c>
      <c r="K175" s="29">
        <v>-8</v>
      </c>
      <c r="L175" s="31">
        <v>1680000740302</v>
      </c>
      <c r="M175" s="28">
        <v>45306</v>
      </c>
      <c r="N175" s="30">
        <v>0.63283564814814997</v>
      </c>
      <c r="O175" s="27" t="s">
        <v>311</v>
      </c>
      <c r="P175" s="137"/>
      <c r="Q175" t="str">
        <f>IFERROR(IF((_xlfn.XLOOKUP(A175,'Set of Installation'!A:A,'Set of Installation'!C:C)+1)&gt;ABS(K175),"OK","Overusage"),"")</f>
        <v>OK</v>
      </c>
      <c r="R175" t="str">
        <f>_xlfn.XLOOKUP(C175,'Checking(ZSERIALS)'!E:E,'Checking(ZSERIALS)'!F:F)</f>
        <v>CHRISTBELLA CONSTRUCTION MANAGEMENT</v>
      </c>
    </row>
    <row r="176" spans="1:18" x14ac:dyDescent="0.3">
      <c r="A176" s="27">
        <v>40000011</v>
      </c>
      <c r="B176" s="27" t="s">
        <v>27</v>
      </c>
      <c r="C176" s="27">
        <v>4500866</v>
      </c>
      <c r="D176" s="27">
        <v>1000</v>
      </c>
      <c r="E176" s="27" t="s">
        <v>53</v>
      </c>
      <c r="F176" s="27" t="s">
        <v>73</v>
      </c>
      <c r="G176" s="27">
        <v>4900061363</v>
      </c>
      <c r="H176" s="27" t="s">
        <v>54</v>
      </c>
      <c r="I176" s="28">
        <v>45306</v>
      </c>
      <c r="J176" s="27" t="s">
        <v>72</v>
      </c>
      <c r="K176" s="29">
        <v>-10</v>
      </c>
      <c r="L176" s="31">
        <v>1680000740804</v>
      </c>
      <c r="M176" s="28">
        <v>45306</v>
      </c>
      <c r="N176" s="30">
        <v>0.64531249999999996</v>
      </c>
      <c r="O176" s="27" t="s">
        <v>314</v>
      </c>
      <c r="P176" s="137"/>
      <c r="Q176" t="str">
        <f>IFERROR(IF((_xlfn.XLOOKUP(A176,'Set of Installation'!A:A,'Set of Installation'!C:C)+1)&gt;ABS(K176),"OK","Overusage"),"")</f>
        <v>OK</v>
      </c>
      <c r="R176" t="str">
        <f>_xlfn.XLOOKUP(C176,'Checking(ZSERIALS)'!E:E,'Checking(ZSERIALS)'!F:F)</f>
        <v>CHRISTBELLA CONSTRUCTION MANAGEMENT</v>
      </c>
    </row>
    <row r="177" spans="1:18" x14ac:dyDescent="0.3">
      <c r="A177" s="27">
        <v>40000011</v>
      </c>
      <c r="B177" s="27" t="s">
        <v>27</v>
      </c>
      <c r="C177" s="27">
        <v>4500866</v>
      </c>
      <c r="D177" s="27">
        <v>1000</v>
      </c>
      <c r="E177" s="27" t="s">
        <v>53</v>
      </c>
      <c r="F177" s="27" t="s">
        <v>73</v>
      </c>
      <c r="G177" s="27">
        <v>4900060842</v>
      </c>
      <c r="H177" s="27" t="s">
        <v>54</v>
      </c>
      <c r="I177" s="28">
        <v>45306</v>
      </c>
      <c r="J177" s="27" t="s">
        <v>72</v>
      </c>
      <c r="K177" s="29">
        <v>-8</v>
      </c>
      <c r="L177" s="31">
        <v>1680000742601</v>
      </c>
      <c r="M177" s="28">
        <v>45306</v>
      </c>
      <c r="N177" s="30">
        <v>0.59668981481480998</v>
      </c>
      <c r="O177" s="27" t="s">
        <v>308</v>
      </c>
      <c r="P177" s="137"/>
      <c r="Q177" t="str">
        <f>IFERROR(IF((_xlfn.XLOOKUP(A177,'Set of Installation'!A:A,'Set of Installation'!C:C)+1)&gt;ABS(K177),"OK","Overusage"),"")</f>
        <v>OK</v>
      </c>
      <c r="R177" t="str">
        <f>_xlfn.XLOOKUP(C177,'Checking(ZSERIALS)'!E:E,'Checking(ZSERIALS)'!F:F)</f>
        <v>CHRISTBELLA CONSTRUCTION MANAGEMENT</v>
      </c>
    </row>
    <row r="178" spans="1:18" x14ac:dyDescent="0.3">
      <c r="A178" s="27">
        <v>40000011</v>
      </c>
      <c r="B178" s="27" t="s">
        <v>27</v>
      </c>
      <c r="C178" s="27">
        <v>4500866</v>
      </c>
      <c r="D178" s="27">
        <v>1000</v>
      </c>
      <c r="E178" s="27" t="s">
        <v>53</v>
      </c>
      <c r="F178" s="27" t="s">
        <v>73</v>
      </c>
      <c r="G178" s="27">
        <v>4900061600</v>
      </c>
      <c r="H178" s="27" t="s">
        <v>54</v>
      </c>
      <c r="I178" s="28">
        <v>45306</v>
      </c>
      <c r="J178" s="27" t="s">
        <v>72</v>
      </c>
      <c r="K178" s="29">
        <v>-8</v>
      </c>
      <c r="L178" s="31">
        <v>1680000743530</v>
      </c>
      <c r="M178" s="28">
        <v>45306</v>
      </c>
      <c r="N178" s="30">
        <v>0.66474537037036996</v>
      </c>
      <c r="O178" s="27" t="s">
        <v>317</v>
      </c>
      <c r="P178" s="137"/>
      <c r="Q178" t="str">
        <f>IFERROR(IF((_xlfn.XLOOKUP(A178,'Set of Installation'!A:A,'Set of Installation'!C:C)+1)&gt;ABS(K178),"OK","Overusage"),"")</f>
        <v>OK</v>
      </c>
      <c r="R178" t="str">
        <f>_xlfn.XLOOKUP(C178,'Checking(ZSERIALS)'!E:E,'Checking(ZSERIALS)'!F:F)</f>
        <v>CHRISTBELLA CONSTRUCTION MANAGEMENT</v>
      </c>
    </row>
    <row r="179" spans="1:18" x14ac:dyDescent="0.3">
      <c r="A179" s="27">
        <v>40000011</v>
      </c>
      <c r="B179" s="27" t="s">
        <v>27</v>
      </c>
      <c r="C179" s="27">
        <v>4500866</v>
      </c>
      <c r="D179" s="27">
        <v>1000</v>
      </c>
      <c r="E179" s="27" t="s">
        <v>53</v>
      </c>
      <c r="F179" s="27" t="s">
        <v>73</v>
      </c>
      <c r="G179" s="27">
        <v>4900062310</v>
      </c>
      <c r="H179" s="27" t="s">
        <v>54</v>
      </c>
      <c r="I179" s="28">
        <v>45306</v>
      </c>
      <c r="J179" s="27" t="s">
        <v>72</v>
      </c>
      <c r="K179" s="29">
        <v>-8</v>
      </c>
      <c r="L179" s="31">
        <v>1680000743454</v>
      </c>
      <c r="M179" s="28">
        <v>45306</v>
      </c>
      <c r="N179" s="30">
        <v>0.73282407407407002</v>
      </c>
      <c r="O179" s="27" t="s">
        <v>323</v>
      </c>
      <c r="P179" s="137"/>
      <c r="Q179" t="str">
        <f>IFERROR(IF((_xlfn.XLOOKUP(A179,'Set of Installation'!A:A,'Set of Installation'!C:C)+1)&gt;ABS(K179),"OK","Overusage"),"")</f>
        <v>OK</v>
      </c>
      <c r="R179" t="str">
        <f>_xlfn.XLOOKUP(C179,'Checking(ZSERIALS)'!E:E,'Checking(ZSERIALS)'!F:F)</f>
        <v>CHRISTBELLA CONSTRUCTION MANAGEMENT</v>
      </c>
    </row>
    <row r="180" spans="1:18" x14ac:dyDescent="0.3">
      <c r="A180" s="27">
        <v>40000011</v>
      </c>
      <c r="B180" s="27" t="s">
        <v>27</v>
      </c>
      <c r="C180" s="27">
        <v>4500866</v>
      </c>
      <c r="D180" s="27">
        <v>1000</v>
      </c>
      <c r="E180" s="27" t="s">
        <v>53</v>
      </c>
      <c r="F180" s="27" t="s">
        <v>73</v>
      </c>
      <c r="G180" s="27">
        <v>4900055724</v>
      </c>
      <c r="H180" s="27" t="s">
        <v>54</v>
      </c>
      <c r="I180" s="28">
        <v>45305</v>
      </c>
      <c r="J180" s="27" t="s">
        <v>72</v>
      </c>
      <c r="K180" s="29">
        <v>-8</v>
      </c>
      <c r="L180" s="31">
        <v>1680000735112</v>
      </c>
      <c r="M180" s="28">
        <v>45305</v>
      </c>
      <c r="N180" s="30">
        <v>0.46473379629630002</v>
      </c>
      <c r="O180" s="27" t="s">
        <v>296</v>
      </c>
      <c r="P180" s="137"/>
      <c r="Q180" t="str">
        <f>IFERROR(IF((_xlfn.XLOOKUP(A180,'Set of Installation'!A:A,'Set of Installation'!C:C)+1)&gt;ABS(K180),"OK","Overusage"),"")</f>
        <v>OK</v>
      </c>
      <c r="R180" t="str">
        <f>_xlfn.XLOOKUP(C180,'Checking(ZSERIALS)'!E:E,'Checking(ZSERIALS)'!F:F)</f>
        <v>CHRISTBELLA CONSTRUCTION MANAGEMENT</v>
      </c>
    </row>
    <row r="181" spans="1:18" x14ac:dyDescent="0.3">
      <c r="A181" s="27">
        <v>40000011</v>
      </c>
      <c r="B181" s="27" t="s">
        <v>27</v>
      </c>
      <c r="C181" s="27">
        <v>4500866</v>
      </c>
      <c r="D181" s="27">
        <v>1000</v>
      </c>
      <c r="E181" s="27" t="s">
        <v>53</v>
      </c>
      <c r="F181" s="27" t="s">
        <v>73</v>
      </c>
      <c r="G181" s="27">
        <v>4900056186</v>
      </c>
      <c r="H181" s="27" t="s">
        <v>54</v>
      </c>
      <c r="I181" s="28">
        <v>45305</v>
      </c>
      <c r="J181" s="27" t="s">
        <v>72</v>
      </c>
      <c r="K181" s="29">
        <v>-8</v>
      </c>
      <c r="L181" s="31">
        <v>1680000735786</v>
      </c>
      <c r="M181" s="28">
        <v>45305</v>
      </c>
      <c r="N181" s="30">
        <v>0.53276620370369998</v>
      </c>
      <c r="O181" s="27" t="s">
        <v>299</v>
      </c>
      <c r="P181" s="137"/>
      <c r="Q181" t="str">
        <f>IFERROR(IF((_xlfn.XLOOKUP(A181,'Set of Installation'!A:A,'Set of Installation'!C:C)+1)&gt;ABS(K181),"OK","Overusage"),"")</f>
        <v>OK</v>
      </c>
      <c r="R181" t="str">
        <f>_xlfn.XLOOKUP(C181,'Checking(ZSERIALS)'!E:E,'Checking(ZSERIALS)'!F:F)</f>
        <v>CHRISTBELLA CONSTRUCTION MANAGEMENT</v>
      </c>
    </row>
    <row r="182" spans="1:18" x14ac:dyDescent="0.3">
      <c r="A182" s="27">
        <v>40000011</v>
      </c>
      <c r="B182" s="27" t="s">
        <v>27</v>
      </c>
      <c r="C182" s="27">
        <v>4500866</v>
      </c>
      <c r="D182" s="27">
        <v>1000</v>
      </c>
      <c r="E182" s="27" t="s">
        <v>53</v>
      </c>
      <c r="F182" s="27" t="s">
        <v>73</v>
      </c>
      <c r="G182" s="27">
        <v>4900051046</v>
      </c>
      <c r="H182" s="27" t="s">
        <v>54</v>
      </c>
      <c r="I182" s="28">
        <v>45304</v>
      </c>
      <c r="J182" s="27" t="s">
        <v>72</v>
      </c>
      <c r="K182" s="29">
        <v>-10</v>
      </c>
      <c r="L182" s="31">
        <v>1680000725181</v>
      </c>
      <c r="M182" s="28">
        <v>45304</v>
      </c>
      <c r="N182" s="30">
        <v>0.54524305555555996</v>
      </c>
      <c r="O182" s="27" t="s">
        <v>287</v>
      </c>
      <c r="P182" s="137"/>
      <c r="Q182" t="str">
        <f>IFERROR(IF((_xlfn.XLOOKUP(A182,'Set of Installation'!A:A,'Set of Installation'!C:C)+1)&gt;ABS(K182),"OK","Overusage"),"")</f>
        <v>OK</v>
      </c>
      <c r="R182" t="str">
        <f>_xlfn.XLOOKUP(C182,'Checking(ZSERIALS)'!E:E,'Checking(ZSERIALS)'!F:F)</f>
        <v>CHRISTBELLA CONSTRUCTION MANAGEMENT</v>
      </c>
    </row>
    <row r="183" spans="1:18" x14ac:dyDescent="0.3">
      <c r="A183" s="27">
        <v>40000011</v>
      </c>
      <c r="B183" s="27" t="s">
        <v>27</v>
      </c>
      <c r="C183" s="27">
        <v>4500866</v>
      </c>
      <c r="D183" s="27">
        <v>1000</v>
      </c>
      <c r="E183" s="27" t="s">
        <v>53</v>
      </c>
      <c r="F183" s="27" t="s">
        <v>73</v>
      </c>
      <c r="G183" s="27">
        <v>4900047384</v>
      </c>
      <c r="H183" s="27" t="s">
        <v>54</v>
      </c>
      <c r="I183" s="28">
        <v>45303</v>
      </c>
      <c r="J183" s="27" t="s">
        <v>72</v>
      </c>
      <c r="K183" s="29">
        <v>-8</v>
      </c>
      <c r="L183" s="31">
        <v>1680000734654</v>
      </c>
      <c r="M183" s="28">
        <v>45303</v>
      </c>
      <c r="N183" s="30">
        <v>0.67997685185184997</v>
      </c>
      <c r="O183" s="27" t="s">
        <v>278</v>
      </c>
      <c r="P183" s="137"/>
      <c r="Q183" t="str">
        <f>IFERROR(IF((_xlfn.XLOOKUP(A183,'Set of Installation'!A:A,'Set of Installation'!C:C)+1)&gt;ABS(K183),"OK","Overusage"),"")</f>
        <v>OK</v>
      </c>
      <c r="R183" t="str">
        <f>_xlfn.XLOOKUP(C183,'Checking(ZSERIALS)'!E:E,'Checking(ZSERIALS)'!F:F)</f>
        <v>CHRISTBELLA CONSTRUCTION MANAGEMENT</v>
      </c>
    </row>
    <row r="184" spans="1:18" x14ac:dyDescent="0.3">
      <c r="A184" s="27">
        <v>40000011</v>
      </c>
      <c r="B184" s="27" t="s">
        <v>27</v>
      </c>
      <c r="C184" s="27">
        <v>4500866</v>
      </c>
      <c r="D184" s="27">
        <v>1000</v>
      </c>
      <c r="E184" s="27" t="s">
        <v>53</v>
      </c>
      <c r="F184" s="27" t="s">
        <v>73</v>
      </c>
      <c r="G184" s="27">
        <v>4900048171</v>
      </c>
      <c r="H184" s="27" t="s">
        <v>54</v>
      </c>
      <c r="I184" s="28">
        <v>45303</v>
      </c>
      <c r="J184" s="27" t="s">
        <v>72</v>
      </c>
      <c r="K184" s="29">
        <v>-8</v>
      </c>
      <c r="L184" s="31">
        <v>1680000734332</v>
      </c>
      <c r="M184" s="28">
        <v>45303</v>
      </c>
      <c r="N184" s="30">
        <v>0.75217592592592997</v>
      </c>
      <c r="O184" s="27" t="s">
        <v>281</v>
      </c>
      <c r="P184" s="137"/>
      <c r="Q184" t="str">
        <f>IFERROR(IF((_xlfn.XLOOKUP(A184,'Set of Installation'!A:A,'Set of Installation'!C:C)+1)&gt;ABS(K184),"OK","Overusage"),"")</f>
        <v>OK</v>
      </c>
      <c r="R184" t="str">
        <f>_xlfn.XLOOKUP(C184,'Checking(ZSERIALS)'!E:E,'Checking(ZSERIALS)'!F:F)</f>
        <v>CHRISTBELLA CONSTRUCTION MANAGEMENT</v>
      </c>
    </row>
    <row r="185" spans="1:18" x14ac:dyDescent="0.3">
      <c r="A185" s="27">
        <v>40000011</v>
      </c>
      <c r="B185" s="27" t="s">
        <v>27</v>
      </c>
      <c r="C185" s="27">
        <v>4500866</v>
      </c>
      <c r="D185" s="27">
        <v>1000</v>
      </c>
      <c r="E185" s="27" t="s">
        <v>53</v>
      </c>
      <c r="F185" s="27" t="s">
        <v>73</v>
      </c>
      <c r="G185" s="27">
        <v>4900045352</v>
      </c>
      <c r="H185" s="27" t="s">
        <v>54</v>
      </c>
      <c r="I185" s="28">
        <v>45303</v>
      </c>
      <c r="J185" s="27" t="s">
        <v>72</v>
      </c>
      <c r="K185" s="29">
        <v>-8</v>
      </c>
      <c r="L185" s="31">
        <v>1680000718073</v>
      </c>
      <c r="M185" s="28">
        <v>45303</v>
      </c>
      <c r="N185" s="30">
        <v>0.46888888888889002</v>
      </c>
      <c r="O185" s="27" t="s">
        <v>272</v>
      </c>
      <c r="P185" s="137"/>
      <c r="Q185" t="str">
        <f>IFERROR(IF((_xlfn.XLOOKUP(A185,'Set of Installation'!A:A,'Set of Installation'!C:C)+1)&gt;ABS(K185),"OK","Overusage"),"")</f>
        <v>OK</v>
      </c>
      <c r="R185" t="str">
        <f>_xlfn.XLOOKUP(C185,'Checking(ZSERIALS)'!E:E,'Checking(ZSERIALS)'!F:F)</f>
        <v>CHRISTBELLA CONSTRUCTION MANAGEMENT</v>
      </c>
    </row>
    <row r="186" spans="1:18" x14ac:dyDescent="0.3">
      <c r="A186" s="27">
        <v>40000011</v>
      </c>
      <c r="B186" s="27" t="s">
        <v>27</v>
      </c>
      <c r="C186" s="27">
        <v>4500866</v>
      </c>
      <c r="D186" s="27">
        <v>1000</v>
      </c>
      <c r="E186" s="27" t="s">
        <v>53</v>
      </c>
      <c r="F186" s="27" t="s">
        <v>73</v>
      </c>
      <c r="G186" s="27">
        <v>4900042490</v>
      </c>
      <c r="H186" s="27" t="s">
        <v>54</v>
      </c>
      <c r="I186" s="28">
        <v>45302</v>
      </c>
      <c r="J186" s="27" t="s">
        <v>72</v>
      </c>
      <c r="K186" s="29">
        <v>-8</v>
      </c>
      <c r="L186" s="31">
        <v>1680000728388</v>
      </c>
      <c r="M186" s="28">
        <v>45302</v>
      </c>
      <c r="N186" s="30">
        <v>0.68828703703703997</v>
      </c>
      <c r="O186" s="27" t="s">
        <v>257</v>
      </c>
      <c r="P186" s="137"/>
      <c r="Q186" t="str">
        <f>IFERROR(IF((_xlfn.XLOOKUP(A186,'Set of Installation'!A:A,'Set of Installation'!C:C)+1)&gt;ABS(K186),"OK","Overusage"),"")</f>
        <v>OK</v>
      </c>
      <c r="R186" t="str">
        <f>_xlfn.XLOOKUP(C186,'Checking(ZSERIALS)'!E:E,'Checking(ZSERIALS)'!F:F)</f>
        <v>CHRISTBELLA CONSTRUCTION MANAGEMENT</v>
      </c>
    </row>
    <row r="187" spans="1:18" x14ac:dyDescent="0.3">
      <c r="A187" s="27">
        <v>40000011</v>
      </c>
      <c r="B187" s="27" t="s">
        <v>27</v>
      </c>
      <c r="C187" s="27">
        <v>4500866</v>
      </c>
      <c r="D187" s="27">
        <v>1000</v>
      </c>
      <c r="E187" s="27" t="s">
        <v>53</v>
      </c>
      <c r="F187" s="27" t="s">
        <v>73</v>
      </c>
      <c r="G187" s="27">
        <v>4900042946</v>
      </c>
      <c r="H187" s="27" t="s">
        <v>54</v>
      </c>
      <c r="I187" s="28">
        <v>45302</v>
      </c>
      <c r="J187" s="27" t="s">
        <v>72</v>
      </c>
      <c r="K187" s="29">
        <v>-8</v>
      </c>
      <c r="L187" s="31">
        <v>1680000726647</v>
      </c>
      <c r="M187" s="28">
        <v>45302</v>
      </c>
      <c r="N187" s="30">
        <v>0.72856481481480995</v>
      </c>
      <c r="O187" s="27" t="s">
        <v>260</v>
      </c>
      <c r="P187" s="137"/>
      <c r="Q187" t="str">
        <f>IFERROR(IF((_xlfn.XLOOKUP(A187,'Set of Installation'!A:A,'Set of Installation'!C:C)+1)&gt;ABS(K187),"OK","Overusage"),"")</f>
        <v>OK</v>
      </c>
      <c r="R187" t="str">
        <f>_xlfn.XLOOKUP(C187,'Checking(ZSERIALS)'!E:E,'Checking(ZSERIALS)'!F:F)</f>
        <v>CHRISTBELLA CONSTRUCTION MANAGEMENT</v>
      </c>
    </row>
    <row r="188" spans="1:18" x14ac:dyDescent="0.3">
      <c r="A188" s="27">
        <v>40000011</v>
      </c>
      <c r="B188" s="27" t="s">
        <v>27</v>
      </c>
      <c r="C188" s="27">
        <v>4500866</v>
      </c>
      <c r="D188" s="27">
        <v>1000</v>
      </c>
      <c r="E188" s="27" t="s">
        <v>53</v>
      </c>
      <c r="F188" s="27" t="s">
        <v>73</v>
      </c>
      <c r="G188" s="27">
        <v>4900040450</v>
      </c>
      <c r="H188" s="27" t="s">
        <v>54</v>
      </c>
      <c r="I188" s="28">
        <v>45302</v>
      </c>
      <c r="J188" s="27" t="s">
        <v>72</v>
      </c>
      <c r="K188" s="29">
        <v>-8</v>
      </c>
      <c r="L188" s="31">
        <v>1680000728514</v>
      </c>
      <c r="M188" s="28">
        <v>45302</v>
      </c>
      <c r="N188" s="30">
        <v>0.47855324074074002</v>
      </c>
      <c r="O188" s="27" t="s">
        <v>248</v>
      </c>
      <c r="P188" s="137"/>
      <c r="Q188" t="str">
        <f>IFERROR(IF((_xlfn.XLOOKUP(A188,'Set of Installation'!A:A,'Set of Installation'!C:C)+1)&gt;ABS(K188),"OK","Overusage"),"")</f>
        <v>OK</v>
      </c>
      <c r="R188" t="str">
        <f>_xlfn.XLOOKUP(C188,'Checking(ZSERIALS)'!E:E,'Checking(ZSERIALS)'!F:F)</f>
        <v>CHRISTBELLA CONSTRUCTION MANAGEMENT</v>
      </c>
    </row>
    <row r="189" spans="1:18" x14ac:dyDescent="0.3">
      <c r="A189" s="27">
        <v>40000011</v>
      </c>
      <c r="B189" s="27" t="s">
        <v>27</v>
      </c>
      <c r="C189" s="27">
        <v>4500866</v>
      </c>
      <c r="D189" s="27">
        <v>1000</v>
      </c>
      <c r="E189" s="27" t="s">
        <v>53</v>
      </c>
      <c r="F189" s="27" t="s">
        <v>73</v>
      </c>
      <c r="G189" s="27">
        <v>4900043348</v>
      </c>
      <c r="H189" s="27" t="s">
        <v>54</v>
      </c>
      <c r="I189" s="28">
        <v>45302</v>
      </c>
      <c r="J189" s="27" t="s">
        <v>72</v>
      </c>
      <c r="K189" s="29">
        <v>-8</v>
      </c>
      <c r="L189" s="31">
        <v>1680000720805</v>
      </c>
      <c r="M189" s="28">
        <v>45302</v>
      </c>
      <c r="N189" s="30">
        <v>0.76328703703704004</v>
      </c>
      <c r="O189" s="27" t="s">
        <v>266</v>
      </c>
      <c r="P189" s="137"/>
      <c r="Q189" t="str">
        <f>IFERROR(IF((_xlfn.XLOOKUP(A189,'Set of Installation'!A:A,'Set of Installation'!C:C)+1)&gt;ABS(K189),"OK","Overusage"),"")</f>
        <v>OK</v>
      </c>
      <c r="R189" t="str">
        <f>_xlfn.XLOOKUP(C189,'Checking(ZSERIALS)'!E:E,'Checking(ZSERIALS)'!F:F)</f>
        <v>CHRISTBELLA CONSTRUCTION MANAGEMENT</v>
      </c>
    </row>
    <row r="190" spans="1:18" x14ac:dyDescent="0.3">
      <c r="A190" s="27">
        <v>40000011</v>
      </c>
      <c r="B190" s="27" t="s">
        <v>27</v>
      </c>
      <c r="C190" s="27">
        <v>4500866</v>
      </c>
      <c r="D190" s="27">
        <v>1000</v>
      </c>
      <c r="E190" s="27" t="s">
        <v>53</v>
      </c>
      <c r="F190" s="27" t="s">
        <v>73</v>
      </c>
      <c r="G190" s="27">
        <v>4900040030</v>
      </c>
      <c r="H190" s="27" t="s">
        <v>54</v>
      </c>
      <c r="I190" s="28">
        <v>45302</v>
      </c>
      <c r="J190" s="27" t="s">
        <v>72</v>
      </c>
      <c r="K190" s="29">
        <v>-10</v>
      </c>
      <c r="L190" s="31">
        <v>1680000728217</v>
      </c>
      <c r="M190" s="28">
        <v>45302</v>
      </c>
      <c r="N190" s="30">
        <v>0.42299768518518999</v>
      </c>
      <c r="O190" s="27" t="s">
        <v>242</v>
      </c>
      <c r="P190" s="137"/>
      <c r="Q190" t="str">
        <f>IFERROR(IF((_xlfn.XLOOKUP(A190,'Set of Installation'!A:A,'Set of Installation'!C:C)+1)&gt;ABS(K190),"OK","Overusage"),"")</f>
        <v>OK</v>
      </c>
      <c r="R190" t="str">
        <f>_xlfn.XLOOKUP(C190,'Checking(ZSERIALS)'!E:E,'Checking(ZSERIALS)'!F:F)</f>
        <v>CHRISTBELLA CONSTRUCTION MANAGEMENT</v>
      </c>
    </row>
    <row r="191" spans="1:18" x14ac:dyDescent="0.3">
      <c r="A191" s="27">
        <v>40000011</v>
      </c>
      <c r="B191" s="27" t="s">
        <v>27</v>
      </c>
      <c r="C191" s="27">
        <v>4500866</v>
      </c>
      <c r="D191" s="27">
        <v>1000</v>
      </c>
      <c r="E191" s="27" t="s">
        <v>53</v>
      </c>
      <c r="F191" s="27" t="s">
        <v>73</v>
      </c>
      <c r="G191" s="27">
        <v>4900040436</v>
      </c>
      <c r="H191" s="27" t="s">
        <v>54</v>
      </c>
      <c r="I191" s="28">
        <v>45302</v>
      </c>
      <c r="J191" s="27" t="s">
        <v>72</v>
      </c>
      <c r="K191" s="29">
        <v>-8</v>
      </c>
      <c r="L191" s="31">
        <v>1680000725722</v>
      </c>
      <c r="M191" s="28">
        <v>45302</v>
      </c>
      <c r="N191" s="30">
        <v>0.47716435185185002</v>
      </c>
      <c r="O191" s="27" t="s">
        <v>245</v>
      </c>
      <c r="P191" s="137"/>
      <c r="Q191" t="str">
        <f>IFERROR(IF((_xlfn.XLOOKUP(A191,'Set of Installation'!A:A,'Set of Installation'!C:C)+1)&gt;ABS(K191),"OK","Overusage"),"")</f>
        <v>OK</v>
      </c>
      <c r="R191" t="str">
        <f>_xlfn.XLOOKUP(C191,'Checking(ZSERIALS)'!E:E,'Checking(ZSERIALS)'!F:F)</f>
        <v>CHRISTBELLA CONSTRUCTION MANAGEMENT</v>
      </c>
    </row>
    <row r="192" spans="1:18" x14ac:dyDescent="0.3">
      <c r="A192" s="27">
        <v>40000011</v>
      </c>
      <c r="B192" s="27" t="s">
        <v>27</v>
      </c>
      <c r="C192" s="27">
        <v>4500866</v>
      </c>
      <c r="D192" s="27">
        <v>1000</v>
      </c>
      <c r="E192" s="27" t="s">
        <v>53</v>
      </c>
      <c r="F192" s="27" t="s">
        <v>73</v>
      </c>
      <c r="G192" s="27">
        <v>4900037993</v>
      </c>
      <c r="H192" s="27" t="s">
        <v>54</v>
      </c>
      <c r="I192" s="28">
        <v>45301</v>
      </c>
      <c r="J192" s="27" t="s">
        <v>72</v>
      </c>
      <c r="K192" s="29">
        <v>-8</v>
      </c>
      <c r="L192" s="31">
        <v>1680000715654</v>
      </c>
      <c r="M192" s="28">
        <v>45301</v>
      </c>
      <c r="N192" s="30">
        <v>0.74383101851851996</v>
      </c>
      <c r="O192" s="27" t="s">
        <v>230</v>
      </c>
      <c r="P192" s="137"/>
      <c r="Q192" t="str">
        <f>IFERROR(IF((_xlfn.XLOOKUP(A192,'Set of Installation'!A:A,'Set of Installation'!C:C)+1)&gt;ABS(K192),"OK","Overusage"),"")</f>
        <v>OK</v>
      </c>
      <c r="R192" t="str">
        <f>_xlfn.XLOOKUP(C192,'Checking(ZSERIALS)'!E:E,'Checking(ZSERIALS)'!F:F)</f>
        <v>CHRISTBELLA CONSTRUCTION MANAGEMENT</v>
      </c>
    </row>
    <row r="193" spans="1:18" x14ac:dyDescent="0.3">
      <c r="A193" s="27">
        <v>40000011</v>
      </c>
      <c r="B193" s="27" t="s">
        <v>27</v>
      </c>
      <c r="C193" s="27">
        <v>4500866</v>
      </c>
      <c r="D193" s="27">
        <v>1000</v>
      </c>
      <c r="E193" s="27" t="s">
        <v>53</v>
      </c>
      <c r="F193" s="27" t="s">
        <v>73</v>
      </c>
      <c r="G193" s="27">
        <v>4900038113</v>
      </c>
      <c r="H193" s="27" t="s">
        <v>54</v>
      </c>
      <c r="I193" s="28">
        <v>45301</v>
      </c>
      <c r="J193" s="27" t="s">
        <v>72</v>
      </c>
      <c r="K193" s="29">
        <v>-8</v>
      </c>
      <c r="L193" s="31">
        <v>1680000704179</v>
      </c>
      <c r="M193" s="28">
        <v>45301</v>
      </c>
      <c r="N193" s="30">
        <v>0.75495370370369996</v>
      </c>
      <c r="O193" s="27" t="s">
        <v>233</v>
      </c>
      <c r="P193" s="137"/>
      <c r="Q193" t="str">
        <f>IFERROR(IF((_xlfn.XLOOKUP(A193,'Set of Installation'!A:A,'Set of Installation'!C:C)+1)&gt;ABS(K193),"OK","Overusage"),"")</f>
        <v>OK</v>
      </c>
      <c r="R193" t="str">
        <f>_xlfn.XLOOKUP(C193,'Checking(ZSERIALS)'!E:E,'Checking(ZSERIALS)'!F:F)</f>
        <v>CHRISTBELLA CONSTRUCTION MANAGEMENT</v>
      </c>
    </row>
    <row r="194" spans="1:18" x14ac:dyDescent="0.3">
      <c r="A194" s="27">
        <v>40000011</v>
      </c>
      <c r="B194" s="27" t="s">
        <v>27</v>
      </c>
      <c r="C194" s="27">
        <v>4500866</v>
      </c>
      <c r="D194" s="27">
        <v>1000</v>
      </c>
      <c r="E194" s="27" t="s">
        <v>53</v>
      </c>
      <c r="F194" s="27" t="s">
        <v>73</v>
      </c>
      <c r="G194" s="27">
        <v>4900035703</v>
      </c>
      <c r="H194" s="27" t="s">
        <v>54</v>
      </c>
      <c r="I194" s="28">
        <v>45301</v>
      </c>
      <c r="J194" s="27" t="s">
        <v>72</v>
      </c>
      <c r="K194" s="29">
        <v>-8</v>
      </c>
      <c r="L194" s="31">
        <v>1680000724825</v>
      </c>
      <c r="M194" s="28">
        <v>45301</v>
      </c>
      <c r="N194" s="30">
        <v>0.50910879629630001</v>
      </c>
      <c r="O194" s="27" t="s">
        <v>212</v>
      </c>
      <c r="P194" s="137"/>
      <c r="Q194" t="str">
        <f>IFERROR(IF((_xlfn.XLOOKUP(A194,'Set of Installation'!A:A,'Set of Installation'!C:C)+1)&gt;ABS(K194),"OK","Overusage"),"")</f>
        <v>OK</v>
      </c>
      <c r="R194" t="str">
        <f>_xlfn.XLOOKUP(C194,'Checking(ZSERIALS)'!E:E,'Checking(ZSERIALS)'!F:F)</f>
        <v>CHRISTBELLA CONSTRUCTION MANAGEMENT</v>
      </c>
    </row>
    <row r="195" spans="1:18" x14ac:dyDescent="0.3">
      <c r="A195" s="27">
        <v>40000011</v>
      </c>
      <c r="B195" s="27" t="s">
        <v>27</v>
      </c>
      <c r="C195" s="27">
        <v>4500866</v>
      </c>
      <c r="D195" s="27">
        <v>1000</v>
      </c>
      <c r="E195" s="27" t="s">
        <v>53</v>
      </c>
      <c r="F195" s="27" t="s">
        <v>73</v>
      </c>
      <c r="G195" s="27">
        <v>4900036099</v>
      </c>
      <c r="H195" s="27" t="s">
        <v>54</v>
      </c>
      <c r="I195" s="28">
        <v>45301</v>
      </c>
      <c r="J195" s="27" t="s">
        <v>72</v>
      </c>
      <c r="K195" s="29">
        <v>-8</v>
      </c>
      <c r="L195" s="31">
        <v>1680000724851</v>
      </c>
      <c r="M195" s="28">
        <v>45301</v>
      </c>
      <c r="N195" s="30">
        <v>0.56048611111111002</v>
      </c>
      <c r="O195" s="27" t="s">
        <v>215</v>
      </c>
      <c r="P195" s="137"/>
      <c r="Q195" t="str">
        <f>IFERROR(IF((_xlfn.XLOOKUP(A195,'Set of Installation'!A:A,'Set of Installation'!C:C)+1)&gt;ABS(K195),"OK","Overusage"),"")</f>
        <v>OK</v>
      </c>
      <c r="R195" t="str">
        <f>_xlfn.XLOOKUP(C195,'Checking(ZSERIALS)'!E:E,'Checking(ZSERIALS)'!F:F)</f>
        <v>CHRISTBELLA CONSTRUCTION MANAGEMENT</v>
      </c>
    </row>
    <row r="196" spans="1:18" x14ac:dyDescent="0.3">
      <c r="A196" s="27">
        <v>40000011</v>
      </c>
      <c r="B196" s="27" t="s">
        <v>27</v>
      </c>
      <c r="C196" s="27">
        <v>4500866</v>
      </c>
      <c r="D196" s="27">
        <v>1000</v>
      </c>
      <c r="E196" s="27" t="s">
        <v>53</v>
      </c>
      <c r="F196" s="27" t="s">
        <v>73</v>
      </c>
      <c r="G196" s="27">
        <v>4900037928</v>
      </c>
      <c r="H196" s="27" t="s">
        <v>54</v>
      </c>
      <c r="I196" s="28">
        <v>45301</v>
      </c>
      <c r="J196" s="27" t="s">
        <v>72</v>
      </c>
      <c r="K196" s="29">
        <v>-8</v>
      </c>
      <c r="L196" s="31">
        <v>1680000716616</v>
      </c>
      <c r="M196" s="28">
        <v>45301</v>
      </c>
      <c r="N196" s="30">
        <v>0.73967592592593001</v>
      </c>
      <c r="O196" s="27" t="s">
        <v>227</v>
      </c>
      <c r="P196" s="137"/>
      <c r="Q196" t="str">
        <f>IFERROR(IF((_xlfn.XLOOKUP(A196,'Set of Installation'!A:A,'Set of Installation'!C:C)+1)&gt;ABS(K196),"OK","Overusage"),"")</f>
        <v>OK</v>
      </c>
      <c r="R196" t="str">
        <f>_xlfn.XLOOKUP(C196,'Checking(ZSERIALS)'!E:E,'Checking(ZSERIALS)'!F:F)</f>
        <v>CHRISTBELLA CONSTRUCTION MANAGEMENT</v>
      </c>
    </row>
    <row r="197" spans="1:18" x14ac:dyDescent="0.3">
      <c r="A197" s="27">
        <v>40000011</v>
      </c>
      <c r="B197" s="27" t="s">
        <v>27</v>
      </c>
      <c r="C197" s="27">
        <v>4500866</v>
      </c>
      <c r="D197" s="27">
        <v>1000</v>
      </c>
      <c r="E197" s="27" t="s">
        <v>53</v>
      </c>
      <c r="F197" s="27" t="s">
        <v>73</v>
      </c>
      <c r="G197" s="27">
        <v>4900037869</v>
      </c>
      <c r="H197" s="27" t="s">
        <v>54</v>
      </c>
      <c r="I197" s="28">
        <v>45301</v>
      </c>
      <c r="J197" s="27" t="s">
        <v>72</v>
      </c>
      <c r="K197" s="29">
        <v>-8</v>
      </c>
      <c r="L197" s="31">
        <v>1680000725443</v>
      </c>
      <c r="M197" s="28">
        <v>45301</v>
      </c>
      <c r="N197" s="30">
        <v>0.73275462962963001</v>
      </c>
      <c r="O197" s="27" t="s">
        <v>224</v>
      </c>
      <c r="P197" s="137"/>
      <c r="Q197" t="str">
        <f>IFERROR(IF((_xlfn.XLOOKUP(A197,'Set of Installation'!A:A,'Set of Installation'!C:C)+1)&gt;ABS(K197),"OK","Overusage"),"")</f>
        <v>OK</v>
      </c>
      <c r="R197" t="str">
        <f>_xlfn.XLOOKUP(C197,'Checking(ZSERIALS)'!E:E,'Checking(ZSERIALS)'!F:F)</f>
        <v>CHRISTBELLA CONSTRUCTION MANAGEMENT</v>
      </c>
    </row>
    <row r="198" spans="1:18" x14ac:dyDescent="0.3">
      <c r="A198" s="27">
        <v>40000011</v>
      </c>
      <c r="B198" s="27" t="s">
        <v>27</v>
      </c>
      <c r="C198" s="27">
        <v>4500866</v>
      </c>
      <c r="D198" s="27">
        <v>1000</v>
      </c>
      <c r="E198" s="27" t="s">
        <v>53</v>
      </c>
      <c r="F198" s="27" t="s">
        <v>73</v>
      </c>
      <c r="G198" s="27">
        <v>4900035645</v>
      </c>
      <c r="H198" s="27" t="s">
        <v>54</v>
      </c>
      <c r="I198" s="28">
        <v>45301</v>
      </c>
      <c r="J198" s="27" t="s">
        <v>72</v>
      </c>
      <c r="K198" s="29">
        <v>-8</v>
      </c>
      <c r="L198" s="31">
        <v>1680000725440</v>
      </c>
      <c r="M198" s="28">
        <v>45301</v>
      </c>
      <c r="N198" s="30">
        <v>0.50354166666667</v>
      </c>
      <c r="O198" s="27" t="s">
        <v>209</v>
      </c>
      <c r="P198" s="137"/>
      <c r="Q198" t="str">
        <f>IFERROR(IF((_xlfn.XLOOKUP(A198,'Set of Installation'!A:A,'Set of Installation'!C:C)+1)&gt;ABS(K198),"OK","Overusage"),"")</f>
        <v>OK</v>
      </c>
      <c r="R198" t="str">
        <f>_xlfn.XLOOKUP(C198,'Checking(ZSERIALS)'!E:E,'Checking(ZSERIALS)'!F:F)</f>
        <v>CHRISTBELLA CONSTRUCTION MANAGEMENT</v>
      </c>
    </row>
    <row r="199" spans="1:18" x14ac:dyDescent="0.3">
      <c r="A199" s="27">
        <v>40000011</v>
      </c>
      <c r="B199" s="27" t="s">
        <v>27</v>
      </c>
      <c r="C199" s="27">
        <v>4500866</v>
      </c>
      <c r="D199" s="27">
        <v>1000</v>
      </c>
      <c r="E199" s="27" t="s">
        <v>53</v>
      </c>
      <c r="F199" s="27" t="s">
        <v>73</v>
      </c>
      <c r="G199" s="27">
        <v>4900030288</v>
      </c>
      <c r="H199" s="27" t="s">
        <v>54</v>
      </c>
      <c r="I199" s="28">
        <v>45300</v>
      </c>
      <c r="J199" s="27" t="s">
        <v>72</v>
      </c>
      <c r="K199" s="29">
        <v>-10</v>
      </c>
      <c r="L199" s="31">
        <v>1680000721575</v>
      </c>
      <c r="M199" s="28">
        <v>45300</v>
      </c>
      <c r="N199" s="30">
        <v>0.45773148148148002</v>
      </c>
      <c r="O199" s="27" t="s">
        <v>197</v>
      </c>
      <c r="P199" s="137"/>
      <c r="Q199" t="str">
        <f>IFERROR(IF((_xlfn.XLOOKUP(A199,'Set of Installation'!A:A,'Set of Installation'!C:C)+1)&gt;ABS(K199),"OK","Overusage"),"")</f>
        <v>OK</v>
      </c>
      <c r="R199" t="str">
        <f>_xlfn.XLOOKUP(C199,'Checking(ZSERIALS)'!E:E,'Checking(ZSERIALS)'!F:F)</f>
        <v>CHRISTBELLA CONSTRUCTION MANAGEMENT</v>
      </c>
    </row>
    <row r="200" spans="1:18" x14ac:dyDescent="0.3">
      <c r="A200" s="27">
        <v>40000011</v>
      </c>
      <c r="B200" s="27" t="s">
        <v>27</v>
      </c>
      <c r="C200" s="27">
        <v>4500866</v>
      </c>
      <c r="D200" s="27">
        <v>1000</v>
      </c>
      <c r="E200" s="27" t="s">
        <v>53</v>
      </c>
      <c r="F200" s="27" t="s">
        <v>73</v>
      </c>
      <c r="G200" s="27">
        <v>4900030571</v>
      </c>
      <c r="H200" s="27" t="s">
        <v>54</v>
      </c>
      <c r="I200" s="28">
        <v>45300</v>
      </c>
      <c r="J200" s="27" t="s">
        <v>72</v>
      </c>
      <c r="K200" s="29">
        <v>-8</v>
      </c>
      <c r="L200" s="31">
        <v>1680000722982</v>
      </c>
      <c r="M200" s="28">
        <v>45300</v>
      </c>
      <c r="N200" s="30">
        <v>0.49103009259259001</v>
      </c>
      <c r="O200" s="27" t="s">
        <v>200</v>
      </c>
      <c r="P200" s="137"/>
      <c r="Q200" t="str">
        <f>IFERROR(IF((_xlfn.XLOOKUP(A200,'Set of Installation'!A:A,'Set of Installation'!C:C)+1)&gt;ABS(K200),"OK","Overusage"),"")</f>
        <v>OK</v>
      </c>
      <c r="R200" t="str">
        <f>_xlfn.XLOOKUP(C200,'Checking(ZSERIALS)'!E:E,'Checking(ZSERIALS)'!F:F)</f>
        <v>CHRISTBELLA CONSTRUCTION MANAGEMENT</v>
      </c>
    </row>
    <row r="201" spans="1:18" x14ac:dyDescent="0.3">
      <c r="A201" s="27">
        <v>40000011</v>
      </c>
      <c r="B201" s="27" t="s">
        <v>27</v>
      </c>
      <c r="C201" s="27">
        <v>4500866</v>
      </c>
      <c r="D201" s="27">
        <v>1000</v>
      </c>
      <c r="E201" s="27" t="s">
        <v>53</v>
      </c>
      <c r="F201" s="27" t="s">
        <v>73</v>
      </c>
      <c r="G201" s="27">
        <v>4900026206</v>
      </c>
      <c r="H201" s="27" t="s">
        <v>54</v>
      </c>
      <c r="I201" s="28">
        <v>45299</v>
      </c>
      <c r="J201" s="27" t="s">
        <v>72</v>
      </c>
      <c r="K201" s="29">
        <v>-8</v>
      </c>
      <c r="L201" s="31">
        <v>1680000718727</v>
      </c>
      <c r="M201" s="28">
        <v>45299</v>
      </c>
      <c r="N201" s="30">
        <v>0.55628472222222003</v>
      </c>
      <c r="O201" s="27" t="s">
        <v>185</v>
      </c>
      <c r="P201" s="137"/>
      <c r="Q201" t="str">
        <f>IFERROR(IF((_xlfn.XLOOKUP(A201,'Set of Installation'!A:A,'Set of Installation'!C:C)+1)&gt;ABS(K201),"OK","Overusage"),"")</f>
        <v>OK</v>
      </c>
      <c r="R201" t="str">
        <f>_xlfn.XLOOKUP(C201,'Checking(ZSERIALS)'!E:E,'Checking(ZSERIALS)'!F:F)</f>
        <v>CHRISTBELLA CONSTRUCTION MANAGEMENT</v>
      </c>
    </row>
    <row r="202" spans="1:18" x14ac:dyDescent="0.3">
      <c r="A202" s="27">
        <v>40000011</v>
      </c>
      <c r="B202" s="27" t="s">
        <v>27</v>
      </c>
      <c r="C202" s="27">
        <v>4500866</v>
      </c>
      <c r="D202" s="27">
        <v>1000</v>
      </c>
      <c r="E202" s="27" t="s">
        <v>53</v>
      </c>
      <c r="F202" s="27" t="s">
        <v>73</v>
      </c>
      <c r="G202" s="27">
        <v>4900025961</v>
      </c>
      <c r="H202" s="27" t="s">
        <v>54</v>
      </c>
      <c r="I202" s="28">
        <v>45299</v>
      </c>
      <c r="J202" s="27" t="s">
        <v>72</v>
      </c>
      <c r="K202" s="29">
        <v>-10</v>
      </c>
      <c r="L202" s="31">
        <v>1680000719107</v>
      </c>
      <c r="M202" s="28">
        <v>45299</v>
      </c>
      <c r="N202" s="30">
        <v>0.52298611111111004</v>
      </c>
      <c r="O202" s="27" t="s">
        <v>182</v>
      </c>
      <c r="P202" s="137"/>
      <c r="Q202" t="str">
        <f>IFERROR(IF((_xlfn.XLOOKUP(A202,'Set of Installation'!A:A,'Set of Installation'!C:C)+1)&gt;ABS(K202),"OK","Overusage"),"")</f>
        <v>OK</v>
      </c>
      <c r="R202" t="str">
        <f>_xlfn.XLOOKUP(C202,'Checking(ZSERIALS)'!E:E,'Checking(ZSERIALS)'!F:F)</f>
        <v>CHRISTBELLA CONSTRUCTION MANAGEMENT</v>
      </c>
    </row>
    <row r="203" spans="1:18" x14ac:dyDescent="0.3">
      <c r="A203" s="27">
        <v>40000011</v>
      </c>
      <c r="B203" s="27" t="s">
        <v>27</v>
      </c>
      <c r="C203" s="27">
        <v>4500866</v>
      </c>
      <c r="D203" s="27">
        <v>1000</v>
      </c>
      <c r="E203" s="27" t="s">
        <v>53</v>
      </c>
      <c r="F203" s="27" t="s">
        <v>73</v>
      </c>
      <c r="G203" s="27">
        <v>4900027602</v>
      </c>
      <c r="H203" s="27" t="s">
        <v>54</v>
      </c>
      <c r="I203" s="28">
        <v>45299</v>
      </c>
      <c r="J203" s="27" t="s">
        <v>72</v>
      </c>
      <c r="K203" s="29">
        <v>-8</v>
      </c>
      <c r="L203" s="31">
        <v>1680000695259</v>
      </c>
      <c r="M203" s="28">
        <v>45299</v>
      </c>
      <c r="N203" s="30">
        <v>0.69384259259258996</v>
      </c>
      <c r="O203" s="27" t="s">
        <v>191</v>
      </c>
      <c r="P203" s="137"/>
      <c r="Q203" t="str">
        <f>IFERROR(IF((_xlfn.XLOOKUP(A203,'Set of Installation'!A:A,'Set of Installation'!C:C)+1)&gt;ABS(K203),"OK","Overusage"),"")</f>
        <v>OK</v>
      </c>
      <c r="R203" t="str">
        <f>_xlfn.XLOOKUP(C203,'Checking(ZSERIALS)'!E:E,'Checking(ZSERIALS)'!F:F)</f>
        <v>CHRISTBELLA CONSTRUCTION MANAGEMENT</v>
      </c>
    </row>
    <row r="204" spans="1:18" x14ac:dyDescent="0.3">
      <c r="A204" s="27">
        <v>40000011</v>
      </c>
      <c r="B204" s="27" t="s">
        <v>27</v>
      </c>
      <c r="C204" s="27">
        <v>4500866</v>
      </c>
      <c r="D204" s="27">
        <v>1000</v>
      </c>
      <c r="E204" s="27" t="s">
        <v>53</v>
      </c>
      <c r="F204" s="27" t="s">
        <v>73</v>
      </c>
      <c r="G204" s="27">
        <v>4900023883</v>
      </c>
      <c r="H204" s="27" t="s">
        <v>54</v>
      </c>
      <c r="I204" s="28">
        <v>45298</v>
      </c>
      <c r="J204" s="27" t="s">
        <v>72</v>
      </c>
      <c r="K204" s="29">
        <v>-8</v>
      </c>
      <c r="L204" s="31">
        <v>1680000720228</v>
      </c>
      <c r="M204" s="28">
        <v>45298</v>
      </c>
      <c r="N204" s="30">
        <v>0.74239583333333004</v>
      </c>
      <c r="O204" s="27" t="s">
        <v>176</v>
      </c>
      <c r="P204" s="137"/>
      <c r="Q204" t="str">
        <f>IFERROR(IF((_xlfn.XLOOKUP(A204,'Set of Installation'!A:A,'Set of Installation'!C:C)+1)&gt;ABS(K204),"OK","Overusage"),"")</f>
        <v>OK</v>
      </c>
      <c r="R204" t="str">
        <f>_xlfn.XLOOKUP(C204,'Checking(ZSERIALS)'!E:E,'Checking(ZSERIALS)'!F:F)</f>
        <v>CHRISTBELLA CONSTRUCTION MANAGEMENT</v>
      </c>
    </row>
    <row r="205" spans="1:18" x14ac:dyDescent="0.3">
      <c r="A205" s="27">
        <v>40000011</v>
      </c>
      <c r="B205" s="27" t="s">
        <v>27</v>
      </c>
      <c r="C205" s="27">
        <v>4500866</v>
      </c>
      <c r="D205" s="27">
        <v>1000</v>
      </c>
      <c r="E205" s="27" t="s">
        <v>53</v>
      </c>
      <c r="F205" s="27" t="s">
        <v>73</v>
      </c>
      <c r="G205" s="27">
        <v>4900022008</v>
      </c>
      <c r="H205" s="27" t="s">
        <v>54</v>
      </c>
      <c r="I205" s="28">
        <v>45298</v>
      </c>
      <c r="J205" s="27" t="s">
        <v>72</v>
      </c>
      <c r="K205" s="29">
        <v>-8</v>
      </c>
      <c r="L205" s="31">
        <v>1680000714781</v>
      </c>
      <c r="M205" s="28">
        <v>45298</v>
      </c>
      <c r="N205" s="30">
        <v>0.42849537037037</v>
      </c>
      <c r="O205" s="27" t="s">
        <v>161</v>
      </c>
      <c r="P205" s="137"/>
      <c r="Q205" t="str">
        <f>IFERROR(IF((_xlfn.XLOOKUP(A205,'Set of Installation'!A:A,'Set of Installation'!C:C)+1)&gt;ABS(K205),"OK","Overusage"),"")</f>
        <v>OK</v>
      </c>
      <c r="R205" t="str">
        <f>_xlfn.XLOOKUP(C205,'Checking(ZSERIALS)'!E:E,'Checking(ZSERIALS)'!F:F)</f>
        <v>CHRISTBELLA CONSTRUCTION MANAGEMENT</v>
      </c>
    </row>
    <row r="206" spans="1:18" x14ac:dyDescent="0.3">
      <c r="A206" s="27">
        <v>40000011</v>
      </c>
      <c r="B206" s="27" t="s">
        <v>27</v>
      </c>
      <c r="C206" s="27">
        <v>4500866</v>
      </c>
      <c r="D206" s="27">
        <v>1000</v>
      </c>
      <c r="E206" s="27" t="s">
        <v>53</v>
      </c>
      <c r="F206" s="27" t="s">
        <v>73</v>
      </c>
      <c r="G206" s="27">
        <v>4900022662</v>
      </c>
      <c r="H206" s="27" t="s">
        <v>54</v>
      </c>
      <c r="I206" s="28">
        <v>45298</v>
      </c>
      <c r="J206" s="27" t="s">
        <v>72</v>
      </c>
      <c r="K206" s="29">
        <v>-8</v>
      </c>
      <c r="L206" s="31">
        <v>1680000718039</v>
      </c>
      <c r="M206" s="28">
        <v>45298</v>
      </c>
      <c r="N206" s="30">
        <v>0.55349537037037</v>
      </c>
      <c r="O206" s="27" t="s">
        <v>167</v>
      </c>
      <c r="P206" s="137"/>
      <c r="Q206" t="str">
        <f>IFERROR(IF((_xlfn.XLOOKUP(A206,'Set of Installation'!A:A,'Set of Installation'!C:C)+1)&gt;ABS(K206),"OK","Overusage"),"")</f>
        <v>OK</v>
      </c>
      <c r="R206" t="str">
        <f>_xlfn.XLOOKUP(C206,'Checking(ZSERIALS)'!E:E,'Checking(ZSERIALS)'!F:F)</f>
        <v>CHRISTBELLA CONSTRUCTION MANAGEMENT</v>
      </c>
    </row>
    <row r="207" spans="1:18" x14ac:dyDescent="0.3">
      <c r="A207" s="27">
        <v>40000011</v>
      </c>
      <c r="B207" s="27" t="s">
        <v>27</v>
      </c>
      <c r="C207" s="27">
        <v>4500866</v>
      </c>
      <c r="D207" s="27">
        <v>1000</v>
      </c>
      <c r="E207" s="27" t="s">
        <v>53</v>
      </c>
      <c r="F207" s="27" t="s">
        <v>73</v>
      </c>
      <c r="G207" s="27">
        <v>4900023395</v>
      </c>
      <c r="H207" s="27" t="s">
        <v>54</v>
      </c>
      <c r="I207" s="28">
        <v>45298</v>
      </c>
      <c r="J207" s="27" t="s">
        <v>72</v>
      </c>
      <c r="K207" s="29">
        <v>-8</v>
      </c>
      <c r="L207" s="31">
        <v>1680000719137</v>
      </c>
      <c r="M207" s="28">
        <v>45298</v>
      </c>
      <c r="N207" s="30">
        <v>0.66738425925926004</v>
      </c>
      <c r="O207" s="27" t="s">
        <v>173</v>
      </c>
      <c r="P207" s="137"/>
      <c r="Q207" t="str">
        <f>IFERROR(IF((_xlfn.XLOOKUP(A207,'Set of Installation'!A:A,'Set of Installation'!C:C)+1)&gt;ABS(K207),"OK","Overusage"),"")</f>
        <v>OK</v>
      </c>
      <c r="R207" t="str">
        <f>_xlfn.XLOOKUP(C207,'Checking(ZSERIALS)'!E:E,'Checking(ZSERIALS)'!F:F)</f>
        <v>CHRISTBELLA CONSTRUCTION MANAGEMENT</v>
      </c>
    </row>
    <row r="208" spans="1:18" x14ac:dyDescent="0.3">
      <c r="A208" s="27">
        <v>40000011</v>
      </c>
      <c r="B208" s="27" t="s">
        <v>27</v>
      </c>
      <c r="C208" s="27">
        <v>4500866</v>
      </c>
      <c r="D208" s="27">
        <v>1000</v>
      </c>
      <c r="E208" s="27" t="s">
        <v>53</v>
      </c>
      <c r="F208" s="27" t="s">
        <v>73</v>
      </c>
      <c r="G208" s="27">
        <v>4900014043</v>
      </c>
      <c r="H208" s="27" t="s">
        <v>54</v>
      </c>
      <c r="I208" s="28">
        <v>45296</v>
      </c>
      <c r="J208" s="27" t="s">
        <v>72</v>
      </c>
      <c r="K208" s="29">
        <v>-8</v>
      </c>
      <c r="L208" s="31">
        <v>1680000712396</v>
      </c>
      <c r="M208" s="28">
        <v>45296</v>
      </c>
      <c r="N208" s="30">
        <v>0.65347222222222001</v>
      </c>
      <c r="O208" s="27" t="s">
        <v>137</v>
      </c>
      <c r="P208" s="137"/>
      <c r="Q208" t="str">
        <f>IFERROR(IF((_xlfn.XLOOKUP(A208,'Set of Installation'!A:A,'Set of Installation'!C:C)+1)&gt;ABS(K208),"OK","Overusage"),"")</f>
        <v>OK</v>
      </c>
      <c r="R208" t="str">
        <f>_xlfn.XLOOKUP(C208,'Checking(ZSERIALS)'!E:E,'Checking(ZSERIALS)'!F:F)</f>
        <v>CHRISTBELLA CONSTRUCTION MANAGEMENT</v>
      </c>
    </row>
    <row r="209" spans="1:18" x14ac:dyDescent="0.3">
      <c r="A209" s="27">
        <v>40000011</v>
      </c>
      <c r="B209" s="27" t="s">
        <v>27</v>
      </c>
      <c r="C209" s="27">
        <v>4500866</v>
      </c>
      <c r="D209" s="27">
        <v>1000</v>
      </c>
      <c r="E209" s="27" t="s">
        <v>53</v>
      </c>
      <c r="F209" s="27" t="s">
        <v>73</v>
      </c>
      <c r="G209" s="27">
        <v>4900015408</v>
      </c>
      <c r="H209" s="27" t="s">
        <v>54</v>
      </c>
      <c r="I209" s="28">
        <v>45296</v>
      </c>
      <c r="J209" s="27" t="s">
        <v>72</v>
      </c>
      <c r="K209" s="29">
        <v>-8</v>
      </c>
      <c r="L209" s="31">
        <v>1680000713356</v>
      </c>
      <c r="M209" s="28">
        <v>45296</v>
      </c>
      <c r="N209" s="30">
        <v>0.78545138888888999</v>
      </c>
      <c r="O209" s="27" t="s">
        <v>146</v>
      </c>
      <c r="P209" s="137"/>
      <c r="Q209" t="str">
        <f>IFERROR(IF((_xlfn.XLOOKUP(A209,'Set of Installation'!A:A,'Set of Installation'!C:C)+1)&gt;ABS(K209),"OK","Overusage"),"")</f>
        <v>OK</v>
      </c>
      <c r="R209" t="str">
        <f>_xlfn.XLOOKUP(C209,'Checking(ZSERIALS)'!E:E,'Checking(ZSERIALS)'!F:F)</f>
        <v>CHRISTBELLA CONSTRUCTION MANAGEMENT</v>
      </c>
    </row>
    <row r="210" spans="1:18" x14ac:dyDescent="0.3">
      <c r="A210" s="27">
        <v>40000011</v>
      </c>
      <c r="B210" s="27" t="s">
        <v>27</v>
      </c>
      <c r="C210" s="27">
        <v>4500866</v>
      </c>
      <c r="D210" s="27">
        <v>1000</v>
      </c>
      <c r="E210" s="27" t="s">
        <v>53</v>
      </c>
      <c r="F210" s="27" t="s">
        <v>73</v>
      </c>
      <c r="G210" s="27">
        <v>4900012852</v>
      </c>
      <c r="H210" s="27" t="s">
        <v>54</v>
      </c>
      <c r="I210" s="28">
        <v>45296</v>
      </c>
      <c r="J210" s="27" t="s">
        <v>72</v>
      </c>
      <c r="K210" s="29">
        <v>-8</v>
      </c>
      <c r="L210" s="31">
        <v>1680000710201</v>
      </c>
      <c r="M210" s="28">
        <v>45296</v>
      </c>
      <c r="N210" s="30">
        <v>0.51946759259259001</v>
      </c>
      <c r="O210" s="27" t="s">
        <v>125</v>
      </c>
      <c r="P210" s="137"/>
      <c r="Q210" t="str">
        <f>IFERROR(IF((_xlfn.XLOOKUP(A210,'Set of Installation'!A:A,'Set of Installation'!C:C)+1)&gt;ABS(K210),"OK","Overusage"),"")</f>
        <v>OK</v>
      </c>
      <c r="R210" t="str">
        <f>_xlfn.XLOOKUP(C210,'Checking(ZSERIALS)'!E:E,'Checking(ZSERIALS)'!F:F)</f>
        <v>CHRISTBELLA CONSTRUCTION MANAGEMENT</v>
      </c>
    </row>
    <row r="211" spans="1:18" x14ac:dyDescent="0.3">
      <c r="A211" s="27">
        <v>40000011</v>
      </c>
      <c r="B211" s="27" t="s">
        <v>27</v>
      </c>
      <c r="C211" s="27">
        <v>4500866</v>
      </c>
      <c r="D211" s="27">
        <v>1000</v>
      </c>
      <c r="E211" s="27" t="s">
        <v>53</v>
      </c>
      <c r="F211" s="27" t="s">
        <v>73</v>
      </c>
      <c r="G211" s="27">
        <v>4900008763</v>
      </c>
      <c r="H211" s="27" t="s">
        <v>54</v>
      </c>
      <c r="I211" s="28">
        <v>45295</v>
      </c>
      <c r="J211" s="27" t="s">
        <v>72</v>
      </c>
      <c r="K211" s="29">
        <v>-10</v>
      </c>
      <c r="L211" s="31">
        <v>1680000692316</v>
      </c>
      <c r="M211" s="28">
        <v>45295</v>
      </c>
      <c r="N211" s="30">
        <v>0.61111111111111005</v>
      </c>
      <c r="O211" s="27" t="s">
        <v>113</v>
      </c>
      <c r="P211" s="137"/>
      <c r="Q211" t="str">
        <f>IFERROR(IF((_xlfn.XLOOKUP(A211,'Set of Installation'!A:A,'Set of Installation'!C:C)+1)&gt;ABS(K211),"OK","Overusage"),"")</f>
        <v>OK</v>
      </c>
      <c r="R211" t="str">
        <f>_xlfn.XLOOKUP(C211,'Checking(ZSERIALS)'!E:E,'Checking(ZSERIALS)'!F:F)</f>
        <v>CHRISTBELLA CONSTRUCTION MANAGEMENT</v>
      </c>
    </row>
    <row r="212" spans="1:18" x14ac:dyDescent="0.3">
      <c r="A212" s="27">
        <v>40000011</v>
      </c>
      <c r="B212" s="27" t="s">
        <v>27</v>
      </c>
      <c r="C212" s="27">
        <v>4500866</v>
      </c>
      <c r="D212" s="27">
        <v>1000</v>
      </c>
      <c r="E212" s="27" t="s">
        <v>53</v>
      </c>
      <c r="F212" s="27" t="s">
        <v>73</v>
      </c>
      <c r="G212" s="27">
        <v>4900010287</v>
      </c>
      <c r="H212" s="27" t="s">
        <v>54</v>
      </c>
      <c r="I212" s="28">
        <v>45295</v>
      </c>
      <c r="J212" s="27" t="s">
        <v>72</v>
      </c>
      <c r="K212" s="29">
        <v>-10</v>
      </c>
      <c r="L212" s="31">
        <v>1680000706966</v>
      </c>
      <c r="M212" s="28">
        <v>45295</v>
      </c>
      <c r="N212" s="30">
        <v>0.76525462962962998</v>
      </c>
      <c r="O212" s="27" t="s">
        <v>116</v>
      </c>
      <c r="P212" s="137"/>
      <c r="Q212" t="str">
        <f>IFERROR(IF((_xlfn.XLOOKUP(A212,'Set of Installation'!A:A,'Set of Installation'!C:C)+1)&gt;ABS(K212),"OK","Overusage"),"")</f>
        <v>OK</v>
      </c>
      <c r="R212" t="str">
        <f>_xlfn.XLOOKUP(C212,'Checking(ZSERIALS)'!E:E,'Checking(ZSERIALS)'!F:F)</f>
        <v>CHRISTBELLA CONSTRUCTION MANAGEMENT</v>
      </c>
    </row>
    <row r="213" spans="1:18" x14ac:dyDescent="0.3">
      <c r="A213" s="27">
        <v>40000011</v>
      </c>
      <c r="B213" s="27" t="s">
        <v>27</v>
      </c>
      <c r="C213" s="27">
        <v>4500866</v>
      </c>
      <c r="D213" s="27">
        <v>1000</v>
      </c>
      <c r="E213" s="27" t="s">
        <v>53</v>
      </c>
      <c r="F213" s="27" t="s">
        <v>73</v>
      </c>
      <c r="G213" s="27">
        <v>4900004106</v>
      </c>
      <c r="H213" s="27" t="s">
        <v>54</v>
      </c>
      <c r="I213" s="28">
        <v>45294</v>
      </c>
      <c r="J213" s="27" t="s">
        <v>72</v>
      </c>
      <c r="K213" s="29">
        <v>-8</v>
      </c>
      <c r="L213" s="31">
        <v>1680000701938</v>
      </c>
      <c r="M213" s="28">
        <v>45294</v>
      </c>
      <c r="N213" s="30">
        <v>0.60273148148148004</v>
      </c>
      <c r="O213" s="27" t="s">
        <v>110</v>
      </c>
      <c r="P213" s="137"/>
      <c r="Q213" t="str">
        <f>IFERROR(IF((_xlfn.XLOOKUP(A213,'Set of Installation'!A:A,'Set of Installation'!C:C)+1)&gt;ABS(K213),"OK","Overusage"),"")</f>
        <v>OK</v>
      </c>
      <c r="R213" t="str">
        <f>_xlfn.XLOOKUP(C213,'Checking(ZSERIALS)'!E:E,'Checking(ZSERIALS)'!F:F)</f>
        <v>CHRISTBELLA CONSTRUCTION MANAGEMENT</v>
      </c>
    </row>
    <row r="214" spans="1:18" x14ac:dyDescent="0.3">
      <c r="A214" s="27">
        <v>40000011</v>
      </c>
      <c r="B214" s="27" t="s">
        <v>27</v>
      </c>
      <c r="C214" s="27">
        <v>4500866</v>
      </c>
      <c r="D214" s="27">
        <v>1000</v>
      </c>
      <c r="E214" s="27" t="s">
        <v>53</v>
      </c>
      <c r="F214" s="27" t="s">
        <v>73</v>
      </c>
      <c r="G214" s="27">
        <v>4900141595</v>
      </c>
      <c r="H214" s="27" t="s">
        <v>54</v>
      </c>
      <c r="I214" s="28">
        <v>45291</v>
      </c>
      <c r="J214" s="27" t="s">
        <v>72</v>
      </c>
      <c r="K214" s="29">
        <v>-8</v>
      </c>
      <c r="L214" s="31">
        <v>1680000698441</v>
      </c>
      <c r="M214" s="28">
        <v>45291</v>
      </c>
      <c r="N214" s="30">
        <v>0.70130787037037001</v>
      </c>
      <c r="O214" s="27" t="s">
        <v>410</v>
      </c>
      <c r="P214" s="137"/>
      <c r="Q214" t="str">
        <f>IFERROR(IF((_xlfn.XLOOKUP(A214,'Set of Installation'!A:A,'Set of Installation'!C:C)+1)&gt;ABS(K214),"OK","Overusage"),"")</f>
        <v>OK</v>
      </c>
      <c r="R214" t="str">
        <f>_xlfn.XLOOKUP(C214,'Checking(ZSERIALS)'!E:E,'Checking(ZSERIALS)'!F:F)</f>
        <v>CHRISTBELLA CONSTRUCTION MANAGEMENT</v>
      </c>
    </row>
    <row r="215" spans="1:18" x14ac:dyDescent="0.3">
      <c r="A215" s="27">
        <v>40000011</v>
      </c>
      <c r="B215" s="27" t="s">
        <v>27</v>
      </c>
      <c r="C215" s="27">
        <v>4500866</v>
      </c>
      <c r="D215" s="27">
        <v>1000</v>
      </c>
      <c r="E215" s="27" t="s">
        <v>53</v>
      </c>
      <c r="F215" s="27" t="s">
        <v>73</v>
      </c>
      <c r="G215" s="27">
        <v>4900140569</v>
      </c>
      <c r="H215" s="27" t="s">
        <v>54</v>
      </c>
      <c r="I215" s="28">
        <v>45291</v>
      </c>
      <c r="J215" s="27" t="s">
        <v>72</v>
      </c>
      <c r="K215" s="29">
        <v>-8</v>
      </c>
      <c r="L215" s="31">
        <v>1680000701674</v>
      </c>
      <c r="M215" s="28">
        <v>45291</v>
      </c>
      <c r="N215" s="30">
        <v>0.42490740740741001</v>
      </c>
      <c r="O215" s="27" t="s">
        <v>392</v>
      </c>
      <c r="P215" s="137"/>
      <c r="Q215" t="str">
        <f>IFERROR(IF((_xlfn.XLOOKUP(A215,'Set of Installation'!A:A,'Set of Installation'!C:C)+1)&gt;ABS(K215),"OK","Overusage"),"")</f>
        <v>OK</v>
      </c>
      <c r="R215" t="str">
        <f>_xlfn.XLOOKUP(C215,'Checking(ZSERIALS)'!E:E,'Checking(ZSERIALS)'!F:F)</f>
        <v>CHRISTBELLA CONSTRUCTION MANAGEMENT</v>
      </c>
    </row>
    <row r="216" spans="1:18" x14ac:dyDescent="0.3">
      <c r="A216" s="27">
        <v>40000011</v>
      </c>
      <c r="B216" s="27" t="s">
        <v>27</v>
      </c>
      <c r="C216" s="27">
        <v>4500866</v>
      </c>
      <c r="D216" s="27">
        <v>1000</v>
      </c>
      <c r="E216" s="27" t="s">
        <v>53</v>
      </c>
      <c r="F216" s="27" t="s">
        <v>73</v>
      </c>
      <c r="G216" s="27">
        <v>4900135136</v>
      </c>
      <c r="H216" s="27" t="s">
        <v>101</v>
      </c>
      <c r="I216" s="28">
        <v>45289</v>
      </c>
      <c r="J216" s="27" t="s">
        <v>72</v>
      </c>
      <c r="K216" s="29">
        <v>-10</v>
      </c>
      <c r="L216" s="31" t="s">
        <v>103</v>
      </c>
      <c r="M216" s="28">
        <v>45289</v>
      </c>
      <c r="N216" s="30">
        <v>0.83835648148148001</v>
      </c>
      <c r="O216" s="27" t="s">
        <v>104</v>
      </c>
      <c r="P216" s="137"/>
      <c r="Q216" t="str">
        <f>IFERROR(IF((_xlfn.XLOOKUP(A216,'Set of Installation'!A:A,'Set of Installation'!C:C)+1)&gt;ABS(K216),"OK","Overusage"),"")</f>
        <v>OK</v>
      </c>
      <c r="R216" t="str">
        <f>_xlfn.XLOOKUP(C216,'Checking(ZSERIALS)'!E:E,'Checking(ZSERIALS)'!F:F)</f>
        <v>CHRISTBELLA CONSTRUCTION MANAGEMENT</v>
      </c>
    </row>
    <row r="217" spans="1:18" x14ac:dyDescent="0.3">
      <c r="A217" s="27">
        <v>40000011</v>
      </c>
      <c r="B217" s="27" t="s">
        <v>27</v>
      </c>
      <c r="C217" s="27">
        <v>4500866</v>
      </c>
      <c r="D217" s="27">
        <v>1000</v>
      </c>
      <c r="E217" s="27" t="s">
        <v>53</v>
      </c>
      <c r="F217" s="27" t="s">
        <v>73</v>
      </c>
      <c r="G217" s="27">
        <v>4900134267</v>
      </c>
      <c r="H217" s="27" t="s">
        <v>54</v>
      </c>
      <c r="I217" s="28">
        <v>45289</v>
      </c>
      <c r="J217" s="27" t="s">
        <v>72</v>
      </c>
      <c r="K217" s="29">
        <v>-8</v>
      </c>
      <c r="L217" s="31">
        <v>1680000699442</v>
      </c>
      <c r="M217" s="28">
        <v>45289</v>
      </c>
      <c r="N217" s="30">
        <v>0.72211805555555997</v>
      </c>
      <c r="O217" s="27" t="s">
        <v>369</v>
      </c>
      <c r="P217" s="137"/>
      <c r="Q217" t="str">
        <f>IFERROR(IF((_xlfn.XLOOKUP(A217,'Set of Installation'!A:A,'Set of Installation'!C:C)+1)&gt;ABS(K217),"OK","Overusage"),"")</f>
        <v>OK</v>
      </c>
      <c r="R217" t="str">
        <f>_xlfn.XLOOKUP(C217,'Checking(ZSERIALS)'!E:E,'Checking(ZSERIALS)'!F:F)</f>
        <v>CHRISTBELLA CONSTRUCTION MANAGEMENT</v>
      </c>
    </row>
    <row r="218" spans="1:18" x14ac:dyDescent="0.3">
      <c r="A218" s="27">
        <v>40000011</v>
      </c>
      <c r="B218" s="27" t="s">
        <v>27</v>
      </c>
      <c r="C218" s="27">
        <v>4500866</v>
      </c>
      <c r="D218" s="27">
        <v>1000</v>
      </c>
      <c r="E218" s="27" t="s">
        <v>53</v>
      </c>
      <c r="F218" s="27" t="s">
        <v>73</v>
      </c>
      <c r="G218" s="27">
        <v>4900133936</v>
      </c>
      <c r="H218" s="27" t="s">
        <v>54</v>
      </c>
      <c r="I218" s="28">
        <v>45289</v>
      </c>
      <c r="J218" s="27" t="s">
        <v>72</v>
      </c>
      <c r="K218" s="29">
        <v>-8</v>
      </c>
      <c r="L218" s="31">
        <v>1680000700086</v>
      </c>
      <c r="M218" s="28">
        <v>45289</v>
      </c>
      <c r="N218" s="30">
        <v>0.69854166666666995</v>
      </c>
      <c r="O218" s="27" t="s">
        <v>363</v>
      </c>
      <c r="P218" s="137"/>
      <c r="Q218" t="str">
        <f>IFERROR(IF((_xlfn.XLOOKUP(A218,'Set of Installation'!A:A,'Set of Installation'!C:C)+1)&gt;ABS(K218),"OK","Overusage"),"")</f>
        <v>OK</v>
      </c>
      <c r="R218" t="str">
        <f>_xlfn.XLOOKUP(C218,'Checking(ZSERIALS)'!E:E,'Checking(ZSERIALS)'!F:F)</f>
        <v>CHRISTBELLA CONSTRUCTION MANAGEMENT</v>
      </c>
    </row>
    <row r="219" spans="1:18" x14ac:dyDescent="0.3">
      <c r="A219" s="27">
        <v>40000011</v>
      </c>
      <c r="B219" s="27" t="s">
        <v>27</v>
      </c>
      <c r="C219" s="27">
        <v>4500866</v>
      </c>
      <c r="D219" s="27">
        <v>1000</v>
      </c>
      <c r="E219" s="27" t="s">
        <v>53</v>
      </c>
      <c r="F219" s="27" t="s">
        <v>73</v>
      </c>
      <c r="G219" s="27">
        <v>4900132654</v>
      </c>
      <c r="H219" s="27" t="s">
        <v>54</v>
      </c>
      <c r="I219" s="28">
        <v>45289</v>
      </c>
      <c r="J219" s="27" t="s">
        <v>72</v>
      </c>
      <c r="K219" s="29">
        <v>-10</v>
      </c>
      <c r="L219" s="31">
        <v>1680000699895</v>
      </c>
      <c r="M219" s="28">
        <v>45289</v>
      </c>
      <c r="N219" s="30">
        <v>0.55685185185185004</v>
      </c>
      <c r="O219" s="27" t="s">
        <v>360</v>
      </c>
      <c r="P219" s="137"/>
      <c r="Q219" t="str">
        <f>IFERROR(IF((_xlfn.XLOOKUP(A219,'Set of Installation'!A:A,'Set of Installation'!C:C)+1)&gt;ABS(K219),"OK","Overusage"),"")</f>
        <v>OK</v>
      </c>
      <c r="R219" t="str">
        <f>_xlfn.XLOOKUP(C219,'Checking(ZSERIALS)'!E:E,'Checking(ZSERIALS)'!F:F)</f>
        <v>CHRISTBELLA CONSTRUCTION MANAGEMENT</v>
      </c>
    </row>
    <row r="220" spans="1:18" x14ac:dyDescent="0.3">
      <c r="A220" s="27">
        <v>40000011</v>
      </c>
      <c r="B220" s="27" t="s">
        <v>27</v>
      </c>
      <c r="C220" s="27">
        <v>4500866</v>
      </c>
      <c r="D220" s="27">
        <v>1000</v>
      </c>
      <c r="E220" s="27" t="s">
        <v>53</v>
      </c>
      <c r="F220" s="27" t="s">
        <v>73</v>
      </c>
      <c r="G220" s="27">
        <v>4900129298</v>
      </c>
      <c r="H220" s="27" t="s">
        <v>54</v>
      </c>
      <c r="I220" s="28">
        <v>45288</v>
      </c>
      <c r="J220" s="27" t="s">
        <v>72</v>
      </c>
      <c r="K220" s="29">
        <v>-10</v>
      </c>
      <c r="L220" s="31">
        <v>1680000696970</v>
      </c>
      <c r="M220" s="28">
        <v>45288</v>
      </c>
      <c r="N220" s="30">
        <v>0.70821759259258998</v>
      </c>
      <c r="O220" s="27" t="s">
        <v>357</v>
      </c>
      <c r="P220" s="137"/>
      <c r="Q220" t="str">
        <f>IFERROR(IF((_xlfn.XLOOKUP(A220,'Set of Installation'!A:A,'Set of Installation'!C:C)+1)&gt;ABS(K220),"OK","Overusage"),"")</f>
        <v>OK</v>
      </c>
      <c r="R220" t="str">
        <f>_xlfn.XLOOKUP(C220,'Checking(ZSERIALS)'!E:E,'Checking(ZSERIALS)'!F:F)</f>
        <v>CHRISTBELLA CONSTRUCTION MANAGEMENT</v>
      </c>
    </row>
    <row r="221" spans="1:18" x14ac:dyDescent="0.3">
      <c r="A221" s="27">
        <v>40000011</v>
      </c>
      <c r="B221" s="27" t="s">
        <v>27</v>
      </c>
      <c r="C221" s="27">
        <v>4500866</v>
      </c>
      <c r="D221" s="27">
        <v>1000</v>
      </c>
      <c r="E221" s="27" t="s">
        <v>53</v>
      </c>
      <c r="F221" s="27" t="s">
        <v>73</v>
      </c>
      <c r="G221" s="27">
        <v>4900128934</v>
      </c>
      <c r="H221" s="27" t="s">
        <v>54</v>
      </c>
      <c r="I221" s="28">
        <v>45288</v>
      </c>
      <c r="J221" s="27" t="s">
        <v>72</v>
      </c>
      <c r="K221" s="29">
        <v>-8</v>
      </c>
      <c r="L221" s="31">
        <v>1680000697505</v>
      </c>
      <c r="M221" s="28">
        <v>45288</v>
      </c>
      <c r="N221" s="30">
        <v>0.67491898148148</v>
      </c>
      <c r="O221" s="27" t="s">
        <v>349</v>
      </c>
      <c r="P221" s="137"/>
      <c r="Q221" t="str">
        <f>IFERROR(IF((_xlfn.XLOOKUP(A221,'Set of Installation'!A:A,'Set of Installation'!C:C)+1)&gt;ABS(K221),"OK","Overusage"),"")</f>
        <v>OK</v>
      </c>
      <c r="R221" t="str">
        <f>_xlfn.XLOOKUP(C221,'Checking(ZSERIALS)'!E:E,'Checking(ZSERIALS)'!F:F)</f>
        <v>CHRISTBELLA CONSTRUCTION MANAGEMENT</v>
      </c>
    </row>
    <row r="222" spans="1:18" x14ac:dyDescent="0.3">
      <c r="A222" s="27">
        <v>40000011</v>
      </c>
      <c r="B222" s="27" t="s">
        <v>27</v>
      </c>
      <c r="C222" s="27">
        <v>4500866</v>
      </c>
      <c r="D222" s="27">
        <v>1000</v>
      </c>
      <c r="E222" s="27" t="s">
        <v>53</v>
      </c>
      <c r="F222" s="27" t="s">
        <v>73</v>
      </c>
      <c r="G222" s="27">
        <v>4900127847</v>
      </c>
      <c r="H222" s="27" t="s">
        <v>54</v>
      </c>
      <c r="I222" s="28">
        <v>45288</v>
      </c>
      <c r="J222" s="27" t="s">
        <v>72</v>
      </c>
      <c r="K222" s="29">
        <v>-8</v>
      </c>
      <c r="L222" s="31">
        <v>1680000696871</v>
      </c>
      <c r="M222" s="28">
        <v>45288</v>
      </c>
      <c r="N222" s="30">
        <v>0.54297453703704002</v>
      </c>
      <c r="O222" s="27" t="s">
        <v>346</v>
      </c>
      <c r="P222" s="137"/>
      <c r="Q222" t="str">
        <f>IFERROR(IF((_xlfn.XLOOKUP(A222,'Set of Installation'!A:A,'Set of Installation'!C:C)+1)&gt;ABS(K222),"OK","Overusage"),"")</f>
        <v>OK</v>
      </c>
      <c r="R222" t="str">
        <f>_xlfn.XLOOKUP(C222,'Checking(ZSERIALS)'!E:E,'Checking(ZSERIALS)'!F:F)</f>
        <v>CHRISTBELLA CONSTRUCTION MANAGEMENT</v>
      </c>
    </row>
    <row r="223" spans="1:18" x14ac:dyDescent="0.3">
      <c r="A223" s="27">
        <v>40000011</v>
      </c>
      <c r="B223" s="27" t="s">
        <v>27</v>
      </c>
      <c r="C223" s="27">
        <v>4500866</v>
      </c>
      <c r="D223" s="27">
        <v>1000</v>
      </c>
      <c r="E223" s="27" t="s">
        <v>53</v>
      </c>
      <c r="F223" s="27" t="s">
        <v>73</v>
      </c>
      <c r="G223" s="27">
        <v>4900126968</v>
      </c>
      <c r="H223" s="27" t="s">
        <v>54</v>
      </c>
      <c r="I223" s="28">
        <v>45288</v>
      </c>
      <c r="J223" s="27" t="s">
        <v>72</v>
      </c>
      <c r="K223" s="29">
        <v>-8</v>
      </c>
      <c r="L223" s="31">
        <v>1680000695397</v>
      </c>
      <c r="M223" s="28">
        <v>45288</v>
      </c>
      <c r="N223" s="30">
        <v>0.43185185185184999</v>
      </c>
      <c r="O223" s="27" t="s">
        <v>343</v>
      </c>
      <c r="P223" s="137"/>
      <c r="Q223" t="str">
        <f>IFERROR(IF((_xlfn.XLOOKUP(A223,'Set of Installation'!A:A,'Set of Installation'!C:C)+1)&gt;ABS(K223),"OK","Overusage"),"")</f>
        <v>OK</v>
      </c>
      <c r="R223" t="str">
        <f>_xlfn.XLOOKUP(C223,'Checking(ZSERIALS)'!E:E,'Checking(ZSERIALS)'!F:F)</f>
        <v>CHRISTBELLA CONSTRUCTION MANAGEMENT</v>
      </c>
    </row>
    <row r="224" spans="1:18" x14ac:dyDescent="0.3">
      <c r="A224" s="27">
        <v>40000011</v>
      </c>
      <c r="B224" s="27" t="s">
        <v>27</v>
      </c>
      <c r="C224" s="27">
        <v>4500866</v>
      </c>
      <c r="D224" s="27">
        <v>1000</v>
      </c>
      <c r="E224" s="27" t="s">
        <v>53</v>
      </c>
      <c r="F224" s="27" t="s">
        <v>73</v>
      </c>
      <c r="G224" s="27">
        <v>4900123873</v>
      </c>
      <c r="H224" s="27" t="s">
        <v>54</v>
      </c>
      <c r="I224" s="28">
        <v>45287</v>
      </c>
      <c r="J224" s="27" t="s">
        <v>72</v>
      </c>
      <c r="K224" s="29">
        <v>-8</v>
      </c>
      <c r="L224" s="31">
        <v>1680000693742</v>
      </c>
      <c r="M224" s="28">
        <v>45287</v>
      </c>
      <c r="N224" s="30">
        <v>0.61238425925925999</v>
      </c>
      <c r="O224" s="27" t="s">
        <v>335</v>
      </c>
      <c r="P224" s="137"/>
      <c r="Q224" t="str">
        <f>IFERROR(IF((_xlfn.XLOOKUP(A224,'Set of Installation'!A:A,'Set of Installation'!C:C)+1)&gt;ABS(K224),"OK","Overusage"),"")</f>
        <v>OK</v>
      </c>
      <c r="R224" t="str">
        <f>_xlfn.XLOOKUP(C224,'Checking(ZSERIALS)'!E:E,'Checking(ZSERIALS)'!F:F)</f>
        <v>CHRISTBELLA CONSTRUCTION MANAGEMENT</v>
      </c>
    </row>
    <row r="225" spans="1:18" x14ac:dyDescent="0.3">
      <c r="A225" s="27">
        <v>40000048</v>
      </c>
      <c r="B225" s="27" t="s">
        <v>12</v>
      </c>
      <c r="C225" s="27">
        <v>4500866</v>
      </c>
      <c r="D225" s="27">
        <v>1000</v>
      </c>
      <c r="E225" s="27" t="s">
        <v>53</v>
      </c>
      <c r="F225" s="27" t="s">
        <v>73</v>
      </c>
      <c r="G225" s="27">
        <v>4900040436</v>
      </c>
      <c r="H225" s="27" t="s">
        <v>54</v>
      </c>
      <c r="I225" s="28">
        <v>45302</v>
      </c>
      <c r="J225" s="27" t="s">
        <v>72</v>
      </c>
      <c r="K225" s="29">
        <v>-4</v>
      </c>
      <c r="L225" s="31">
        <v>1680000725722</v>
      </c>
      <c r="M225" s="28">
        <v>45302</v>
      </c>
      <c r="N225" s="30">
        <v>0.47716435185185002</v>
      </c>
      <c r="O225" s="27" t="s">
        <v>245</v>
      </c>
      <c r="P225" s="137"/>
      <c r="Q225" t="str">
        <f>IFERROR(IF((_xlfn.XLOOKUP(A225,'Set of Installation'!A:A,'Set of Installation'!C:C)+1)&gt;ABS(K225),"OK","Overusage"),"")</f>
        <v>OK</v>
      </c>
      <c r="R225" t="str">
        <f>_xlfn.XLOOKUP(C225,'Checking(ZSERIALS)'!E:E,'Checking(ZSERIALS)'!F:F)</f>
        <v>CHRISTBELLA CONSTRUCTION MANAGEMENT</v>
      </c>
    </row>
    <row r="226" spans="1:18" x14ac:dyDescent="0.3">
      <c r="A226" s="27">
        <v>40000048</v>
      </c>
      <c r="B226" s="27" t="s">
        <v>12</v>
      </c>
      <c r="C226" s="27">
        <v>4500866</v>
      </c>
      <c r="D226" s="27">
        <v>1000</v>
      </c>
      <c r="E226" s="27" t="s">
        <v>53</v>
      </c>
      <c r="F226" s="27" t="s">
        <v>73</v>
      </c>
      <c r="G226" s="27">
        <v>4900008763</v>
      </c>
      <c r="H226" s="27" t="s">
        <v>54</v>
      </c>
      <c r="I226" s="28">
        <v>45295</v>
      </c>
      <c r="J226" s="27" t="s">
        <v>72</v>
      </c>
      <c r="K226" s="29">
        <v>-10</v>
      </c>
      <c r="L226" s="31">
        <v>1680000692316</v>
      </c>
      <c r="M226" s="28">
        <v>45295</v>
      </c>
      <c r="N226" s="30">
        <v>0.61111111111111005</v>
      </c>
      <c r="O226" s="27" t="s">
        <v>113</v>
      </c>
      <c r="P226" s="137"/>
      <c r="Q226" t="str">
        <f>IFERROR(IF((_xlfn.XLOOKUP(A226,'Set of Installation'!A:A,'Set of Installation'!C:C)+1)&gt;ABS(K226),"OK","Overusage"),"")</f>
        <v>OK</v>
      </c>
      <c r="R226" t="str">
        <f>_xlfn.XLOOKUP(C226,'Checking(ZSERIALS)'!E:E,'Checking(ZSERIALS)'!F:F)</f>
        <v>CHRISTBELLA CONSTRUCTION MANAGEMENT</v>
      </c>
    </row>
    <row r="227" spans="1:18" x14ac:dyDescent="0.3">
      <c r="A227" s="27">
        <v>40000048</v>
      </c>
      <c r="B227" s="27" t="s">
        <v>12</v>
      </c>
      <c r="C227" s="27">
        <v>4500866</v>
      </c>
      <c r="D227" s="27">
        <v>1000</v>
      </c>
      <c r="E227" s="27" t="s">
        <v>53</v>
      </c>
      <c r="F227" s="27" t="s">
        <v>73</v>
      </c>
      <c r="G227" s="27">
        <v>4900135136</v>
      </c>
      <c r="H227" s="27" t="s">
        <v>101</v>
      </c>
      <c r="I227" s="28">
        <v>45289</v>
      </c>
      <c r="J227" s="27" t="s">
        <v>72</v>
      </c>
      <c r="K227" s="29">
        <v>-12</v>
      </c>
      <c r="L227" s="31" t="s">
        <v>103</v>
      </c>
      <c r="M227" s="28">
        <v>45289</v>
      </c>
      <c r="N227" s="30">
        <v>0.83835648148148001</v>
      </c>
      <c r="O227" s="27" t="s">
        <v>104</v>
      </c>
      <c r="P227" s="137"/>
      <c r="Q227" t="str">
        <f>IFERROR(IF((_xlfn.XLOOKUP(A227,'Set of Installation'!A:A,'Set of Installation'!C:C)+1)&gt;ABS(K227),"OK","Overusage"),"")</f>
        <v>OK</v>
      </c>
      <c r="R227" t="str">
        <f>_xlfn.XLOOKUP(C227,'Checking(ZSERIALS)'!E:E,'Checking(ZSERIALS)'!F:F)</f>
        <v>CHRISTBELLA CONSTRUCTION MANAGEMENT</v>
      </c>
    </row>
    <row r="228" spans="1:18" x14ac:dyDescent="0.3">
      <c r="A228" s="27">
        <v>40000048</v>
      </c>
      <c r="B228" s="27" t="s">
        <v>12</v>
      </c>
      <c r="C228" s="27">
        <v>4500866</v>
      </c>
      <c r="D228" s="27">
        <v>1000</v>
      </c>
      <c r="E228" s="27" t="s">
        <v>53</v>
      </c>
      <c r="F228" s="27" t="s">
        <v>73</v>
      </c>
      <c r="G228" s="27">
        <v>4900134267</v>
      </c>
      <c r="H228" s="27" t="s">
        <v>54</v>
      </c>
      <c r="I228" s="28">
        <v>45289</v>
      </c>
      <c r="J228" s="27" t="s">
        <v>72</v>
      </c>
      <c r="K228" s="29">
        <v>-5</v>
      </c>
      <c r="L228" s="31">
        <v>1680000699442</v>
      </c>
      <c r="M228" s="28">
        <v>45289</v>
      </c>
      <c r="N228" s="30">
        <v>0.72211805555555997</v>
      </c>
      <c r="O228" s="27" t="s">
        <v>369</v>
      </c>
      <c r="P228" s="137"/>
      <c r="Q228" t="str">
        <f>IFERROR(IF((_xlfn.XLOOKUP(A228,'Set of Installation'!A:A,'Set of Installation'!C:C)+1)&gt;ABS(K228),"OK","Overusage"),"")</f>
        <v>OK</v>
      </c>
      <c r="R228" t="str">
        <f>_xlfn.XLOOKUP(C228,'Checking(ZSERIALS)'!E:E,'Checking(ZSERIALS)'!F:F)</f>
        <v>CHRISTBELLA CONSTRUCTION MANAGEMENT</v>
      </c>
    </row>
    <row r="229" spans="1:18" x14ac:dyDescent="0.3">
      <c r="A229" s="27">
        <v>40000048</v>
      </c>
      <c r="B229" s="27" t="s">
        <v>12</v>
      </c>
      <c r="C229" s="27">
        <v>4500866</v>
      </c>
      <c r="D229" s="27">
        <v>1000</v>
      </c>
      <c r="E229" s="27" t="s">
        <v>53</v>
      </c>
      <c r="F229" s="27" t="s">
        <v>73</v>
      </c>
      <c r="G229" s="27">
        <v>4900129298</v>
      </c>
      <c r="H229" s="27" t="s">
        <v>54</v>
      </c>
      <c r="I229" s="28">
        <v>45288</v>
      </c>
      <c r="J229" s="27" t="s">
        <v>72</v>
      </c>
      <c r="K229" s="29">
        <v>-12</v>
      </c>
      <c r="L229" s="31">
        <v>1680000696970</v>
      </c>
      <c r="M229" s="28">
        <v>45288</v>
      </c>
      <c r="N229" s="30">
        <v>0.70821759259258998</v>
      </c>
      <c r="O229" s="27" t="s">
        <v>357</v>
      </c>
      <c r="P229" s="137"/>
      <c r="Q229" t="str">
        <f>IFERROR(IF((_xlfn.XLOOKUP(A229,'Set of Installation'!A:A,'Set of Installation'!C:C)+1)&gt;ABS(K229),"OK","Overusage"),"")</f>
        <v>OK</v>
      </c>
      <c r="R229" t="str">
        <f>_xlfn.XLOOKUP(C229,'Checking(ZSERIALS)'!E:E,'Checking(ZSERIALS)'!F:F)</f>
        <v>CHRISTBELLA CONSTRUCTION MANAGEMENT</v>
      </c>
    </row>
    <row r="230" spans="1:18" x14ac:dyDescent="0.3">
      <c r="A230" s="27">
        <v>40000051</v>
      </c>
      <c r="B230" s="27" t="s">
        <v>10</v>
      </c>
      <c r="C230" s="27">
        <v>4500866</v>
      </c>
      <c r="D230" s="27">
        <v>1000</v>
      </c>
      <c r="E230" s="27" t="s">
        <v>53</v>
      </c>
      <c r="F230" s="27" t="s">
        <v>73</v>
      </c>
      <c r="G230" s="27">
        <v>4900040436</v>
      </c>
      <c r="H230" s="27" t="s">
        <v>54</v>
      </c>
      <c r="I230" s="28">
        <v>45302</v>
      </c>
      <c r="J230" s="27" t="s">
        <v>74</v>
      </c>
      <c r="K230" s="29">
        <v>-38</v>
      </c>
      <c r="L230" s="31">
        <v>1680000725722</v>
      </c>
      <c r="M230" s="28">
        <v>45302</v>
      </c>
      <c r="N230" s="30">
        <v>0.47716435185185002</v>
      </c>
      <c r="O230" s="27" t="s">
        <v>245</v>
      </c>
      <c r="P230" s="137"/>
      <c r="Q230" t="str">
        <f>IFERROR(IF((_xlfn.XLOOKUP(A230,'Set of Installation'!A:A,'Set of Installation'!C:C)+1)&gt;ABS(K230),"OK","Overusage"),"")</f>
        <v>OK</v>
      </c>
      <c r="R230" t="str">
        <f>_xlfn.XLOOKUP(C230,'Checking(ZSERIALS)'!E:E,'Checking(ZSERIALS)'!F:F)</f>
        <v>CHRISTBELLA CONSTRUCTION MANAGEMENT</v>
      </c>
    </row>
    <row r="231" spans="1:18" x14ac:dyDescent="0.3">
      <c r="A231" s="27">
        <v>40000051</v>
      </c>
      <c r="B231" s="27" t="s">
        <v>10</v>
      </c>
      <c r="C231" s="27">
        <v>4500866</v>
      </c>
      <c r="D231" s="27">
        <v>1000</v>
      </c>
      <c r="E231" s="27" t="s">
        <v>53</v>
      </c>
      <c r="F231" s="27" t="s">
        <v>73</v>
      </c>
      <c r="G231" s="27">
        <v>4900141377</v>
      </c>
      <c r="H231" s="27" t="s">
        <v>54</v>
      </c>
      <c r="I231" s="28">
        <v>45291</v>
      </c>
      <c r="J231" s="27" t="s">
        <v>74</v>
      </c>
      <c r="K231" s="29">
        <v>-799</v>
      </c>
      <c r="L231" s="31">
        <v>1680000703147</v>
      </c>
      <c r="M231" s="28">
        <v>45291</v>
      </c>
      <c r="N231" s="30">
        <v>0.62630787037036995</v>
      </c>
      <c r="O231" s="27" t="s">
        <v>401</v>
      </c>
      <c r="P231" s="137"/>
      <c r="Q231" t="str">
        <f>IFERROR(IF((_xlfn.XLOOKUP(A231,'Set of Installation'!A:A,'Set of Installation'!C:C)+1)&gt;ABS(K231),"OK","Overusage"),"")</f>
        <v>Overusage</v>
      </c>
      <c r="R231" t="str">
        <f>_xlfn.XLOOKUP(C231,'Checking(ZSERIALS)'!E:E,'Checking(ZSERIALS)'!F:F)</f>
        <v>CHRISTBELLA CONSTRUCTION MANAGEMENT</v>
      </c>
    </row>
    <row r="232" spans="1:18" x14ac:dyDescent="0.3">
      <c r="A232" s="27">
        <v>40000051</v>
      </c>
      <c r="B232" s="27" t="s">
        <v>10</v>
      </c>
      <c r="C232" s="27">
        <v>4500866</v>
      </c>
      <c r="D232" s="27">
        <v>1000</v>
      </c>
      <c r="E232" s="27" t="s">
        <v>53</v>
      </c>
      <c r="F232" s="27" t="s">
        <v>73</v>
      </c>
      <c r="G232" s="27">
        <v>4900136770</v>
      </c>
      <c r="H232" s="27" t="s">
        <v>54</v>
      </c>
      <c r="I232" s="28">
        <v>45290</v>
      </c>
      <c r="J232" s="27" t="s">
        <v>74</v>
      </c>
      <c r="K232" s="29">
        <v>-1190</v>
      </c>
      <c r="L232" s="31">
        <v>1680000697589</v>
      </c>
      <c r="M232" s="28">
        <v>45290</v>
      </c>
      <c r="N232" s="30">
        <v>0.48328703703704001</v>
      </c>
      <c r="O232" s="27" t="s">
        <v>377</v>
      </c>
      <c r="P232" s="137"/>
      <c r="Q232" t="str">
        <f>IFERROR(IF((_xlfn.XLOOKUP(A232,'Set of Installation'!A:A,'Set of Installation'!C:C)+1)&gt;ABS(K232),"OK","Overusage"),"")</f>
        <v>Overusage</v>
      </c>
      <c r="R232" t="str">
        <f>_xlfn.XLOOKUP(C232,'Checking(ZSERIALS)'!E:E,'Checking(ZSERIALS)'!F:F)</f>
        <v>CHRISTBELLA CONSTRUCTION MANAGEMENT</v>
      </c>
    </row>
    <row r="233" spans="1:18" x14ac:dyDescent="0.3">
      <c r="A233" s="27">
        <v>40000051</v>
      </c>
      <c r="B233" s="27" t="s">
        <v>10</v>
      </c>
      <c r="C233" s="27">
        <v>4500866</v>
      </c>
      <c r="D233" s="27">
        <v>1000</v>
      </c>
      <c r="E233" s="27" t="s">
        <v>53</v>
      </c>
      <c r="F233" s="27" t="s">
        <v>73</v>
      </c>
      <c r="G233" s="27">
        <v>4900138147</v>
      </c>
      <c r="H233" s="27" t="s">
        <v>54</v>
      </c>
      <c r="I233" s="28">
        <v>45290</v>
      </c>
      <c r="J233" s="27" t="s">
        <v>74</v>
      </c>
      <c r="K233" s="29">
        <v>-925</v>
      </c>
      <c r="L233" s="31">
        <v>1680000697080</v>
      </c>
      <c r="M233" s="28">
        <v>45290</v>
      </c>
      <c r="N233" s="30">
        <v>0.65128472222222</v>
      </c>
      <c r="O233" s="27" t="s">
        <v>383</v>
      </c>
      <c r="P233" s="137"/>
      <c r="Q233" t="str">
        <f>IFERROR(IF((_xlfn.XLOOKUP(A233,'Set of Installation'!A:A,'Set of Installation'!C:C)+1)&gt;ABS(K233),"OK","Overusage"),"")</f>
        <v>Overusage</v>
      </c>
      <c r="R233" t="str">
        <f>_xlfn.XLOOKUP(C233,'Checking(ZSERIALS)'!E:E,'Checking(ZSERIALS)'!F:F)</f>
        <v>CHRISTBELLA CONSTRUCTION MANAGEMENT</v>
      </c>
    </row>
    <row r="234" spans="1:18" x14ac:dyDescent="0.3">
      <c r="A234" s="27">
        <v>40000051</v>
      </c>
      <c r="B234" s="27" t="s">
        <v>10</v>
      </c>
      <c r="C234" s="27">
        <v>4500866</v>
      </c>
      <c r="D234" s="27">
        <v>1000</v>
      </c>
      <c r="E234" s="27" t="s">
        <v>53</v>
      </c>
      <c r="F234" s="27" t="s">
        <v>73</v>
      </c>
      <c r="G234" s="27">
        <v>4900133936</v>
      </c>
      <c r="H234" s="27" t="s">
        <v>54</v>
      </c>
      <c r="I234" s="28">
        <v>45289</v>
      </c>
      <c r="J234" s="27" t="s">
        <v>74</v>
      </c>
      <c r="K234" s="29">
        <v>-1163</v>
      </c>
      <c r="L234" s="31">
        <v>1680000700086</v>
      </c>
      <c r="M234" s="28">
        <v>45289</v>
      </c>
      <c r="N234" s="30">
        <v>0.69854166666666995</v>
      </c>
      <c r="O234" s="27" t="s">
        <v>363</v>
      </c>
      <c r="P234" s="137"/>
      <c r="Q234" t="str">
        <f>IFERROR(IF((_xlfn.XLOOKUP(A234,'Set of Installation'!A:A,'Set of Installation'!C:C)+1)&gt;ABS(K234),"OK","Overusage"),"")</f>
        <v>Overusage</v>
      </c>
      <c r="R234" t="str">
        <f>_xlfn.XLOOKUP(C234,'Checking(ZSERIALS)'!E:E,'Checking(ZSERIALS)'!F:F)</f>
        <v>CHRISTBELLA CONSTRUCTION MANAGEMENT</v>
      </c>
    </row>
    <row r="235" spans="1:18" x14ac:dyDescent="0.3">
      <c r="A235" s="27">
        <v>40000051</v>
      </c>
      <c r="B235" s="27" t="s">
        <v>10</v>
      </c>
      <c r="C235" s="27">
        <v>4500866</v>
      </c>
      <c r="D235" s="27">
        <v>1000</v>
      </c>
      <c r="E235" s="27" t="s">
        <v>53</v>
      </c>
      <c r="F235" s="27" t="s">
        <v>73</v>
      </c>
      <c r="G235" s="27">
        <v>4900132654</v>
      </c>
      <c r="H235" s="27" t="s">
        <v>54</v>
      </c>
      <c r="I235" s="28">
        <v>45289</v>
      </c>
      <c r="J235" s="27" t="s">
        <v>74</v>
      </c>
      <c r="K235" s="29">
        <v>-1220</v>
      </c>
      <c r="L235" s="31">
        <v>1680000699895</v>
      </c>
      <c r="M235" s="28">
        <v>45289</v>
      </c>
      <c r="N235" s="30">
        <v>0.55685185185185004</v>
      </c>
      <c r="O235" s="27" t="s">
        <v>360</v>
      </c>
      <c r="P235" s="137"/>
      <c r="Q235" t="str">
        <f>IFERROR(IF((_xlfn.XLOOKUP(A235,'Set of Installation'!A:A,'Set of Installation'!C:C)+1)&gt;ABS(K235),"OK","Overusage"),"")</f>
        <v>Overusage</v>
      </c>
      <c r="R235" t="str">
        <f>_xlfn.XLOOKUP(C235,'Checking(ZSERIALS)'!E:E,'Checking(ZSERIALS)'!F:F)</f>
        <v>CHRISTBELLA CONSTRUCTION MANAGEMENT</v>
      </c>
    </row>
    <row r="236" spans="1:18" x14ac:dyDescent="0.3">
      <c r="A236" s="27">
        <v>40000051</v>
      </c>
      <c r="B236" s="27" t="s">
        <v>10</v>
      </c>
      <c r="C236" s="27">
        <v>4500866</v>
      </c>
      <c r="D236" s="27">
        <v>1000</v>
      </c>
      <c r="E236" s="27" t="s">
        <v>53</v>
      </c>
      <c r="F236" s="27" t="s">
        <v>73</v>
      </c>
      <c r="G236" s="27">
        <v>4900134267</v>
      </c>
      <c r="H236" s="27" t="s">
        <v>54</v>
      </c>
      <c r="I236" s="28">
        <v>45289</v>
      </c>
      <c r="J236" s="27" t="s">
        <v>74</v>
      </c>
      <c r="K236" s="29">
        <v>-89</v>
      </c>
      <c r="L236" s="31">
        <v>1680000699442</v>
      </c>
      <c r="M236" s="28">
        <v>45289</v>
      </c>
      <c r="N236" s="30">
        <v>0.72211805555555997</v>
      </c>
      <c r="O236" s="27" t="s">
        <v>369</v>
      </c>
      <c r="P236" s="137"/>
      <c r="Q236" t="str">
        <f>IFERROR(IF((_xlfn.XLOOKUP(A236,'Set of Installation'!A:A,'Set of Installation'!C:C)+1)&gt;ABS(K236),"OK","Overusage"),"")</f>
        <v>OK</v>
      </c>
      <c r="R236" t="str">
        <f>_xlfn.XLOOKUP(C236,'Checking(ZSERIALS)'!E:E,'Checking(ZSERIALS)'!F:F)</f>
        <v>CHRISTBELLA CONSTRUCTION MANAGEMENT</v>
      </c>
    </row>
    <row r="237" spans="1:18" x14ac:dyDescent="0.3">
      <c r="A237" s="27">
        <v>40000051</v>
      </c>
      <c r="B237" s="27" t="s">
        <v>10</v>
      </c>
      <c r="C237" s="27">
        <v>4500866</v>
      </c>
      <c r="D237" s="27">
        <v>1000</v>
      </c>
      <c r="E237" s="27" t="s">
        <v>53</v>
      </c>
      <c r="F237" s="27" t="s">
        <v>73</v>
      </c>
      <c r="G237" s="27">
        <v>4900134950</v>
      </c>
      <c r="H237" s="27" t="s">
        <v>54</v>
      </c>
      <c r="I237" s="28">
        <v>45289</v>
      </c>
      <c r="J237" s="27" t="s">
        <v>74</v>
      </c>
      <c r="K237" s="29">
        <v>-1240</v>
      </c>
      <c r="L237" s="31">
        <v>1680000697821</v>
      </c>
      <c r="M237" s="28">
        <v>45289</v>
      </c>
      <c r="N237" s="30">
        <v>0.80824074074074004</v>
      </c>
      <c r="O237" s="27" t="s">
        <v>374</v>
      </c>
      <c r="P237" s="137"/>
      <c r="Q237" t="str">
        <f>IFERROR(IF((_xlfn.XLOOKUP(A237,'Set of Installation'!A:A,'Set of Installation'!C:C)+1)&gt;ABS(K237),"OK","Overusage"),"")</f>
        <v>Overusage</v>
      </c>
      <c r="R237" t="str">
        <f>_xlfn.XLOOKUP(C237,'Checking(ZSERIALS)'!E:E,'Checking(ZSERIALS)'!F:F)</f>
        <v>CHRISTBELLA CONSTRUCTION MANAGEMENT</v>
      </c>
    </row>
    <row r="238" spans="1:18" x14ac:dyDescent="0.3">
      <c r="A238" s="27">
        <v>40000051</v>
      </c>
      <c r="B238" s="27" t="s">
        <v>10</v>
      </c>
      <c r="C238" s="27">
        <v>4500866</v>
      </c>
      <c r="D238" s="27">
        <v>1000</v>
      </c>
      <c r="E238" s="27" t="s">
        <v>53</v>
      </c>
      <c r="F238" s="27" t="s">
        <v>73</v>
      </c>
      <c r="G238" s="27">
        <v>4900134099</v>
      </c>
      <c r="H238" s="27" t="s">
        <v>54</v>
      </c>
      <c r="I238" s="28">
        <v>45289</v>
      </c>
      <c r="J238" s="27" t="s">
        <v>74</v>
      </c>
      <c r="K238" s="29">
        <v>-1592</v>
      </c>
      <c r="L238" s="31">
        <v>1680000700506</v>
      </c>
      <c r="M238" s="28">
        <v>45289</v>
      </c>
      <c r="N238" s="30">
        <v>0.70964120370369999</v>
      </c>
      <c r="O238" s="27" t="s">
        <v>366</v>
      </c>
      <c r="P238" s="137"/>
      <c r="Q238" t="str">
        <f>IFERROR(IF((_xlfn.XLOOKUP(A238,'Set of Installation'!A:A,'Set of Installation'!C:C)+1)&gt;ABS(K238),"OK","Overusage"),"")</f>
        <v>Overusage</v>
      </c>
      <c r="R238" t="str">
        <f>_xlfn.XLOOKUP(C238,'Checking(ZSERIALS)'!E:E,'Checking(ZSERIALS)'!F:F)</f>
        <v>CHRISTBELLA CONSTRUCTION MANAGEMENT</v>
      </c>
    </row>
    <row r="239" spans="1:18" x14ac:dyDescent="0.3">
      <c r="A239" s="27">
        <v>40000051</v>
      </c>
      <c r="B239" s="27" t="s">
        <v>10</v>
      </c>
      <c r="C239" s="27">
        <v>4500866</v>
      </c>
      <c r="D239" s="27">
        <v>1000</v>
      </c>
      <c r="E239" s="27" t="s">
        <v>53</v>
      </c>
      <c r="F239" s="27" t="s">
        <v>73</v>
      </c>
      <c r="G239" s="27">
        <v>4900128934</v>
      </c>
      <c r="H239" s="27" t="s">
        <v>54</v>
      </c>
      <c r="I239" s="28">
        <v>45288</v>
      </c>
      <c r="J239" s="27" t="s">
        <v>74</v>
      </c>
      <c r="K239" s="29">
        <v>-1262</v>
      </c>
      <c r="L239" s="31">
        <v>1680000697505</v>
      </c>
      <c r="M239" s="28">
        <v>45288</v>
      </c>
      <c r="N239" s="30">
        <v>0.67491898148148</v>
      </c>
      <c r="O239" s="27" t="s">
        <v>349</v>
      </c>
      <c r="P239" s="137"/>
      <c r="Q239" t="str">
        <f>IFERROR(IF((_xlfn.XLOOKUP(A239,'Set of Installation'!A:A,'Set of Installation'!C:C)+1)&gt;ABS(K239),"OK","Overusage"),"")</f>
        <v>Overusage</v>
      </c>
      <c r="R239" t="str">
        <f>_xlfn.XLOOKUP(C239,'Checking(ZSERIALS)'!E:E,'Checking(ZSERIALS)'!F:F)</f>
        <v>CHRISTBELLA CONSTRUCTION MANAGEMENT</v>
      </c>
    </row>
    <row r="240" spans="1:18" x14ac:dyDescent="0.3">
      <c r="A240" s="27">
        <v>40000051</v>
      </c>
      <c r="B240" s="27" t="s">
        <v>10</v>
      </c>
      <c r="C240" s="27">
        <v>4500866</v>
      </c>
      <c r="D240" s="27">
        <v>1000</v>
      </c>
      <c r="E240" s="27" t="s">
        <v>53</v>
      </c>
      <c r="F240" s="27" t="s">
        <v>73</v>
      </c>
      <c r="G240" s="27">
        <v>4900127847</v>
      </c>
      <c r="H240" s="27" t="s">
        <v>54</v>
      </c>
      <c r="I240" s="28">
        <v>45288</v>
      </c>
      <c r="J240" s="27" t="s">
        <v>74</v>
      </c>
      <c r="K240" s="29">
        <v>-1559</v>
      </c>
      <c r="L240" s="31">
        <v>1680000696871</v>
      </c>
      <c r="M240" s="28">
        <v>45288</v>
      </c>
      <c r="N240" s="30">
        <v>0.54297453703704002</v>
      </c>
      <c r="O240" s="27" t="s">
        <v>346</v>
      </c>
      <c r="P240" s="137"/>
      <c r="Q240" t="str">
        <f>IFERROR(IF((_xlfn.XLOOKUP(A240,'Set of Installation'!A:A,'Set of Installation'!C:C)+1)&gt;ABS(K240),"OK","Overusage"),"")</f>
        <v>Overusage</v>
      </c>
      <c r="R240" t="str">
        <f>_xlfn.XLOOKUP(C240,'Checking(ZSERIALS)'!E:E,'Checking(ZSERIALS)'!F:F)</f>
        <v>CHRISTBELLA CONSTRUCTION MANAGEMENT</v>
      </c>
    </row>
    <row r="241" spans="1:18" x14ac:dyDescent="0.3">
      <c r="A241" s="27">
        <v>40000051</v>
      </c>
      <c r="B241" s="27" t="s">
        <v>10</v>
      </c>
      <c r="C241" s="27">
        <v>4500866</v>
      </c>
      <c r="D241" s="27">
        <v>1000</v>
      </c>
      <c r="E241" s="27" t="s">
        <v>53</v>
      </c>
      <c r="F241" s="27" t="s">
        <v>73</v>
      </c>
      <c r="G241" s="27">
        <v>4900126968</v>
      </c>
      <c r="H241" s="27" t="s">
        <v>54</v>
      </c>
      <c r="I241" s="28">
        <v>45288</v>
      </c>
      <c r="J241" s="27" t="s">
        <v>74</v>
      </c>
      <c r="K241" s="29">
        <v>-1627</v>
      </c>
      <c r="L241" s="31">
        <v>1680000695397</v>
      </c>
      <c r="M241" s="28">
        <v>45288</v>
      </c>
      <c r="N241" s="30">
        <v>0.43185185185184999</v>
      </c>
      <c r="O241" s="27" t="s">
        <v>343</v>
      </c>
      <c r="P241" s="137"/>
      <c r="Q241" t="str">
        <f>IFERROR(IF((_xlfn.XLOOKUP(A241,'Set of Installation'!A:A,'Set of Installation'!C:C)+1)&gt;ABS(K241),"OK","Overusage"),"")</f>
        <v>Overusage</v>
      </c>
      <c r="R241" t="str">
        <f>_xlfn.XLOOKUP(C241,'Checking(ZSERIALS)'!E:E,'Checking(ZSERIALS)'!F:F)</f>
        <v>CHRISTBELLA CONSTRUCTION MANAGEMENT</v>
      </c>
    </row>
    <row r="242" spans="1:18" x14ac:dyDescent="0.3">
      <c r="A242" s="27">
        <v>40000051</v>
      </c>
      <c r="B242" s="27" t="s">
        <v>10</v>
      </c>
      <c r="C242" s="27">
        <v>4500866</v>
      </c>
      <c r="D242" s="27">
        <v>1000</v>
      </c>
      <c r="E242" s="27" t="s">
        <v>53</v>
      </c>
      <c r="F242" s="27" t="s">
        <v>73</v>
      </c>
      <c r="G242" s="27">
        <v>4900129298</v>
      </c>
      <c r="H242" s="27" t="s">
        <v>54</v>
      </c>
      <c r="I242" s="28">
        <v>45288</v>
      </c>
      <c r="J242" s="27" t="s">
        <v>74</v>
      </c>
      <c r="K242" s="29">
        <v>-323</v>
      </c>
      <c r="L242" s="31">
        <v>1680000696970</v>
      </c>
      <c r="M242" s="28">
        <v>45288</v>
      </c>
      <c r="N242" s="30">
        <v>0.70821759259258998</v>
      </c>
      <c r="O242" s="27" t="s">
        <v>357</v>
      </c>
      <c r="P242" s="137"/>
      <c r="Q242" t="str">
        <f>IFERROR(IF((_xlfn.XLOOKUP(A242,'Set of Installation'!A:A,'Set of Installation'!C:C)+1)&gt;ABS(K242),"OK","Overusage"),"")</f>
        <v>Overusage</v>
      </c>
      <c r="R242" t="str">
        <f>_xlfn.XLOOKUP(C242,'Checking(ZSERIALS)'!E:E,'Checking(ZSERIALS)'!F:F)</f>
        <v>CHRISTBELLA CONSTRUCTION MANAGEMENT</v>
      </c>
    </row>
    <row r="243" spans="1:18" x14ac:dyDescent="0.3">
      <c r="A243" s="27">
        <v>40000051</v>
      </c>
      <c r="B243" s="27" t="s">
        <v>10</v>
      </c>
      <c r="C243" s="27">
        <v>4500866</v>
      </c>
      <c r="D243" s="27">
        <v>1000</v>
      </c>
      <c r="E243" s="27" t="s">
        <v>53</v>
      </c>
      <c r="F243" s="27" t="s">
        <v>73</v>
      </c>
      <c r="G243" s="27">
        <v>4900123873</v>
      </c>
      <c r="H243" s="27" t="s">
        <v>54</v>
      </c>
      <c r="I243" s="28">
        <v>45287</v>
      </c>
      <c r="J243" s="27" t="s">
        <v>74</v>
      </c>
      <c r="K243" s="29">
        <v>-1716</v>
      </c>
      <c r="L243" s="31">
        <v>1680000693742</v>
      </c>
      <c r="M243" s="28">
        <v>45287</v>
      </c>
      <c r="N243" s="30">
        <v>0.61238425925925999</v>
      </c>
      <c r="O243" s="27" t="s">
        <v>335</v>
      </c>
      <c r="P243" s="137"/>
      <c r="Q243" t="str">
        <f>IFERROR(IF((_xlfn.XLOOKUP(A243,'Set of Installation'!A:A,'Set of Installation'!C:C)+1)&gt;ABS(K243),"OK","Overusage"),"")</f>
        <v>Overusage</v>
      </c>
      <c r="R243" t="str">
        <f>_xlfn.XLOOKUP(C243,'Checking(ZSERIALS)'!E:E,'Checking(ZSERIALS)'!F:F)</f>
        <v>CHRISTBELLA CONSTRUCTION MANAGEMENT</v>
      </c>
    </row>
    <row r="244" spans="1:18" x14ac:dyDescent="0.3">
      <c r="A244" s="27">
        <v>40000051</v>
      </c>
      <c r="B244" s="27" t="s">
        <v>10</v>
      </c>
      <c r="C244" s="27">
        <v>4500866</v>
      </c>
      <c r="D244" s="27">
        <v>1000</v>
      </c>
      <c r="E244" s="27" t="s">
        <v>53</v>
      </c>
      <c r="F244" s="27" t="s">
        <v>73</v>
      </c>
      <c r="G244" s="27">
        <v>4900125233</v>
      </c>
      <c r="H244" s="27" t="s">
        <v>54</v>
      </c>
      <c r="I244" s="28">
        <v>45287</v>
      </c>
      <c r="J244" s="27" t="s">
        <v>74</v>
      </c>
      <c r="K244" s="29">
        <v>-132</v>
      </c>
      <c r="L244" s="31">
        <v>1680000692270</v>
      </c>
      <c r="M244" s="28">
        <v>45287</v>
      </c>
      <c r="N244" s="30">
        <v>0.75821759259259003</v>
      </c>
      <c r="O244" s="27" t="s">
        <v>340</v>
      </c>
      <c r="P244" s="137"/>
      <c r="Q244" t="str">
        <f>IFERROR(IF((_xlfn.XLOOKUP(A244,'Set of Installation'!A:A,'Set of Installation'!C:C)+1)&gt;ABS(K244),"OK","Overusage"),"")</f>
        <v>OK</v>
      </c>
      <c r="R244" t="str">
        <f>_xlfn.XLOOKUP(C244,'Checking(ZSERIALS)'!E:E,'Checking(ZSERIALS)'!F:F)</f>
        <v>CHRISTBELLA CONSTRUCTION MANAGEMENT</v>
      </c>
    </row>
    <row r="245" spans="1:18" x14ac:dyDescent="0.3">
      <c r="A245" s="27">
        <v>40000051</v>
      </c>
      <c r="B245" s="27" t="s">
        <v>10</v>
      </c>
      <c r="C245" s="27">
        <v>4500866</v>
      </c>
      <c r="D245" s="27">
        <v>1000</v>
      </c>
      <c r="E245" s="27" t="s">
        <v>53</v>
      </c>
      <c r="F245" s="27" t="s">
        <v>73</v>
      </c>
      <c r="G245" s="27">
        <v>4900120407</v>
      </c>
      <c r="H245" s="27" t="s">
        <v>54</v>
      </c>
      <c r="I245" s="28">
        <v>45286</v>
      </c>
      <c r="J245" s="27" t="s">
        <v>74</v>
      </c>
      <c r="K245" s="29">
        <v>-327</v>
      </c>
      <c r="L245" s="31">
        <v>1680000691706</v>
      </c>
      <c r="M245" s="28">
        <v>45286</v>
      </c>
      <c r="N245" s="30">
        <v>0.56234953703704005</v>
      </c>
      <c r="O245" s="27" t="s">
        <v>332</v>
      </c>
      <c r="P245" s="137"/>
      <c r="Q245" t="str">
        <f>IFERROR(IF((_xlfn.XLOOKUP(A245,'Set of Installation'!A:A,'Set of Installation'!C:C)+1)&gt;ABS(K245),"OK","Overusage"),"")</f>
        <v>Overusage</v>
      </c>
      <c r="R245" t="str">
        <f>_xlfn.XLOOKUP(C245,'Checking(ZSERIALS)'!E:E,'Checking(ZSERIALS)'!F:F)</f>
        <v>CHRISTBELLA CONSTRUCTION MANAGEMENT</v>
      </c>
    </row>
    <row r="246" spans="1:18" x14ac:dyDescent="0.3">
      <c r="A246" s="27">
        <v>40000052</v>
      </c>
      <c r="B246" s="27" t="s">
        <v>17</v>
      </c>
      <c r="C246" s="27">
        <v>4500866</v>
      </c>
      <c r="D246" s="27">
        <v>1000</v>
      </c>
      <c r="E246" s="27" t="s">
        <v>53</v>
      </c>
      <c r="F246" s="27" t="s">
        <v>73</v>
      </c>
      <c r="G246" s="27">
        <v>4900065059</v>
      </c>
      <c r="H246" s="27" t="s">
        <v>54</v>
      </c>
      <c r="I246" s="28">
        <v>45307</v>
      </c>
      <c r="J246" s="27" t="s">
        <v>72</v>
      </c>
      <c r="K246" s="29">
        <v>-1</v>
      </c>
      <c r="L246" s="31">
        <v>1680000745056</v>
      </c>
      <c r="M246" s="28">
        <v>45307</v>
      </c>
      <c r="N246" s="30">
        <v>0.49394675925926002</v>
      </c>
      <c r="O246" s="27" t="s">
        <v>326</v>
      </c>
      <c r="P246" s="137"/>
      <c r="Q246" t="str">
        <f>IFERROR(IF((_xlfn.XLOOKUP(A246,'Set of Installation'!A:A,'Set of Installation'!C:C)+1)&gt;ABS(K246),"OK","Overusage"),"")</f>
        <v>OK</v>
      </c>
      <c r="R246" t="str">
        <f>_xlfn.XLOOKUP(C246,'Checking(ZSERIALS)'!E:E,'Checking(ZSERIALS)'!F:F)</f>
        <v>CHRISTBELLA CONSTRUCTION MANAGEMENT</v>
      </c>
    </row>
    <row r="247" spans="1:18" x14ac:dyDescent="0.3">
      <c r="A247" s="27">
        <v>40000052</v>
      </c>
      <c r="B247" s="27" t="s">
        <v>17</v>
      </c>
      <c r="C247" s="27">
        <v>4500866</v>
      </c>
      <c r="D247" s="27">
        <v>1000</v>
      </c>
      <c r="E247" s="27" t="s">
        <v>53</v>
      </c>
      <c r="F247" s="27" t="s">
        <v>73</v>
      </c>
      <c r="G247" s="27">
        <v>4900065493</v>
      </c>
      <c r="H247" s="27" t="s">
        <v>54</v>
      </c>
      <c r="I247" s="28">
        <v>45307</v>
      </c>
      <c r="J247" s="27" t="s">
        <v>72</v>
      </c>
      <c r="K247" s="29">
        <v>-1</v>
      </c>
      <c r="L247" s="31">
        <v>1680000745079</v>
      </c>
      <c r="M247" s="28">
        <v>45307</v>
      </c>
      <c r="N247" s="30">
        <v>0.54668981481481005</v>
      </c>
      <c r="O247" s="27" t="s">
        <v>329</v>
      </c>
      <c r="P247" s="137"/>
      <c r="Q247" t="str">
        <f>IFERROR(IF((_xlfn.XLOOKUP(A247,'Set of Installation'!A:A,'Set of Installation'!C:C)+1)&gt;ABS(K247),"OK","Overusage"),"")</f>
        <v>OK</v>
      </c>
      <c r="R247" t="str">
        <f>_xlfn.XLOOKUP(C247,'Checking(ZSERIALS)'!E:E,'Checking(ZSERIALS)'!F:F)</f>
        <v>CHRISTBELLA CONSTRUCTION MANAGEMENT</v>
      </c>
    </row>
    <row r="248" spans="1:18" x14ac:dyDescent="0.3">
      <c r="A248" s="27">
        <v>40000052</v>
      </c>
      <c r="B248" s="27" t="s">
        <v>17</v>
      </c>
      <c r="C248" s="27">
        <v>4500866</v>
      </c>
      <c r="D248" s="27">
        <v>1000</v>
      </c>
      <c r="E248" s="27" t="s">
        <v>53</v>
      </c>
      <c r="F248" s="27" t="s">
        <v>73</v>
      </c>
      <c r="G248" s="27">
        <v>4900060842</v>
      </c>
      <c r="H248" s="27" t="s">
        <v>54</v>
      </c>
      <c r="I248" s="28">
        <v>45306</v>
      </c>
      <c r="J248" s="27" t="s">
        <v>72</v>
      </c>
      <c r="K248" s="29">
        <v>-1</v>
      </c>
      <c r="L248" s="31">
        <v>1680000742601</v>
      </c>
      <c r="M248" s="28">
        <v>45306</v>
      </c>
      <c r="N248" s="30">
        <v>0.59668981481480998</v>
      </c>
      <c r="O248" s="27" t="s">
        <v>308</v>
      </c>
      <c r="P248" s="137"/>
      <c r="Q248" t="str">
        <f>IFERROR(IF((_xlfn.XLOOKUP(A248,'Set of Installation'!A:A,'Set of Installation'!C:C)+1)&gt;ABS(K248),"OK","Overusage"),"")</f>
        <v>OK</v>
      </c>
      <c r="R248" t="str">
        <f>_xlfn.XLOOKUP(C248,'Checking(ZSERIALS)'!E:E,'Checking(ZSERIALS)'!F:F)</f>
        <v>CHRISTBELLA CONSTRUCTION MANAGEMENT</v>
      </c>
    </row>
    <row r="249" spans="1:18" x14ac:dyDescent="0.3">
      <c r="A249" s="27">
        <v>40000052</v>
      </c>
      <c r="B249" s="27" t="s">
        <v>17</v>
      </c>
      <c r="C249" s="27">
        <v>4500866</v>
      </c>
      <c r="D249" s="27">
        <v>1000</v>
      </c>
      <c r="E249" s="27" t="s">
        <v>53</v>
      </c>
      <c r="F249" s="27" t="s">
        <v>73</v>
      </c>
      <c r="G249" s="27">
        <v>4900061188</v>
      </c>
      <c r="H249" s="27" t="s">
        <v>54</v>
      </c>
      <c r="I249" s="28">
        <v>45306</v>
      </c>
      <c r="J249" s="27" t="s">
        <v>72</v>
      </c>
      <c r="K249" s="29">
        <v>-1</v>
      </c>
      <c r="L249" s="31">
        <v>1680000740302</v>
      </c>
      <c r="M249" s="28">
        <v>45306</v>
      </c>
      <c r="N249" s="30">
        <v>0.63283564814814997</v>
      </c>
      <c r="O249" s="27" t="s">
        <v>311</v>
      </c>
      <c r="P249" s="137"/>
      <c r="Q249" t="str">
        <f>IFERROR(IF((_xlfn.XLOOKUP(A249,'Set of Installation'!A:A,'Set of Installation'!C:C)+1)&gt;ABS(K249),"OK","Overusage"),"")</f>
        <v>OK</v>
      </c>
      <c r="R249" t="str">
        <f>_xlfn.XLOOKUP(C249,'Checking(ZSERIALS)'!E:E,'Checking(ZSERIALS)'!F:F)</f>
        <v>CHRISTBELLA CONSTRUCTION MANAGEMENT</v>
      </c>
    </row>
    <row r="250" spans="1:18" x14ac:dyDescent="0.3">
      <c r="A250" s="27">
        <v>40000052</v>
      </c>
      <c r="B250" s="27" t="s">
        <v>17</v>
      </c>
      <c r="C250" s="27">
        <v>4500866</v>
      </c>
      <c r="D250" s="27">
        <v>1000</v>
      </c>
      <c r="E250" s="27" t="s">
        <v>53</v>
      </c>
      <c r="F250" s="27" t="s">
        <v>73</v>
      </c>
      <c r="G250" s="27">
        <v>4900061363</v>
      </c>
      <c r="H250" s="27" t="s">
        <v>54</v>
      </c>
      <c r="I250" s="28">
        <v>45306</v>
      </c>
      <c r="J250" s="27" t="s">
        <v>72</v>
      </c>
      <c r="K250" s="29">
        <v>-1</v>
      </c>
      <c r="L250" s="31">
        <v>1680000740804</v>
      </c>
      <c r="M250" s="28">
        <v>45306</v>
      </c>
      <c r="N250" s="30">
        <v>0.64531249999999996</v>
      </c>
      <c r="O250" s="27" t="s">
        <v>314</v>
      </c>
      <c r="P250" s="137"/>
      <c r="Q250" t="str">
        <f>IFERROR(IF((_xlfn.XLOOKUP(A250,'Set of Installation'!A:A,'Set of Installation'!C:C)+1)&gt;ABS(K250),"OK","Overusage"),"")</f>
        <v>OK</v>
      </c>
      <c r="R250" t="str">
        <f>_xlfn.XLOOKUP(C250,'Checking(ZSERIALS)'!E:E,'Checking(ZSERIALS)'!F:F)</f>
        <v>CHRISTBELLA CONSTRUCTION MANAGEMENT</v>
      </c>
    </row>
    <row r="251" spans="1:18" x14ac:dyDescent="0.3">
      <c r="A251" s="27">
        <v>40000052</v>
      </c>
      <c r="B251" s="27" t="s">
        <v>17</v>
      </c>
      <c r="C251" s="27">
        <v>4500866</v>
      </c>
      <c r="D251" s="27">
        <v>1000</v>
      </c>
      <c r="E251" s="27" t="s">
        <v>53</v>
      </c>
      <c r="F251" s="27" t="s">
        <v>73</v>
      </c>
      <c r="G251" s="27">
        <v>4900061600</v>
      </c>
      <c r="H251" s="27" t="s">
        <v>54</v>
      </c>
      <c r="I251" s="28">
        <v>45306</v>
      </c>
      <c r="J251" s="27" t="s">
        <v>72</v>
      </c>
      <c r="K251" s="29">
        <v>-1</v>
      </c>
      <c r="L251" s="31">
        <v>1680000743530</v>
      </c>
      <c r="M251" s="28">
        <v>45306</v>
      </c>
      <c r="N251" s="30">
        <v>0.66474537037036996</v>
      </c>
      <c r="O251" s="27" t="s">
        <v>317</v>
      </c>
      <c r="P251" s="137"/>
      <c r="Q251" t="str">
        <f>IFERROR(IF((_xlfn.XLOOKUP(A251,'Set of Installation'!A:A,'Set of Installation'!C:C)+1)&gt;ABS(K251),"OK","Overusage"),"")</f>
        <v>OK</v>
      </c>
      <c r="R251" t="str">
        <f>_xlfn.XLOOKUP(C251,'Checking(ZSERIALS)'!E:E,'Checking(ZSERIALS)'!F:F)</f>
        <v>CHRISTBELLA CONSTRUCTION MANAGEMENT</v>
      </c>
    </row>
    <row r="252" spans="1:18" x14ac:dyDescent="0.3">
      <c r="A252" s="27">
        <v>40000052</v>
      </c>
      <c r="B252" s="27" t="s">
        <v>17</v>
      </c>
      <c r="C252" s="27">
        <v>4500866</v>
      </c>
      <c r="D252" s="27">
        <v>1000</v>
      </c>
      <c r="E252" s="27" t="s">
        <v>53</v>
      </c>
      <c r="F252" s="27" t="s">
        <v>73</v>
      </c>
      <c r="G252" s="27">
        <v>4900061869</v>
      </c>
      <c r="H252" s="27" t="s">
        <v>54</v>
      </c>
      <c r="I252" s="28">
        <v>45306</v>
      </c>
      <c r="J252" s="27" t="s">
        <v>72</v>
      </c>
      <c r="K252" s="29">
        <v>-1</v>
      </c>
      <c r="L252" s="31">
        <v>1680000730411</v>
      </c>
      <c r="M252" s="28">
        <v>45306</v>
      </c>
      <c r="N252" s="30">
        <v>0.69109953703703997</v>
      </c>
      <c r="O252" s="27" t="s">
        <v>320</v>
      </c>
      <c r="P252" s="137"/>
      <c r="Q252" t="str">
        <f>IFERROR(IF((_xlfn.XLOOKUP(A252,'Set of Installation'!A:A,'Set of Installation'!C:C)+1)&gt;ABS(K252),"OK","Overusage"),"")</f>
        <v>OK</v>
      </c>
      <c r="R252" t="str">
        <f>_xlfn.XLOOKUP(C252,'Checking(ZSERIALS)'!E:E,'Checking(ZSERIALS)'!F:F)</f>
        <v>CHRISTBELLA CONSTRUCTION MANAGEMENT</v>
      </c>
    </row>
    <row r="253" spans="1:18" x14ac:dyDescent="0.3">
      <c r="A253" s="27">
        <v>40000052</v>
      </c>
      <c r="B253" s="27" t="s">
        <v>17</v>
      </c>
      <c r="C253" s="27">
        <v>4500866</v>
      </c>
      <c r="D253" s="27">
        <v>1000</v>
      </c>
      <c r="E253" s="27" t="s">
        <v>53</v>
      </c>
      <c r="F253" s="27" t="s">
        <v>73</v>
      </c>
      <c r="G253" s="27">
        <v>4900062310</v>
      </c>
      <c r="H253" s="27" t="s">
        <v>54</v>
      </c>
      <c r="I253" s="28">
        <v>45306</v>
      </c>
      <c r="J253" s="27" t="s">
        <v>72</v>
      </c>
      <c r="K253" s="29">
        <v>-1</v>
      </c>
      <c r="L253" s="31">
        <v>1680000743454</v>
      </c>
      <c r="M253" s="28">
        <v>45306</v>
      </c>
      <c r="N253" s="30">
        <v>0.73282407407407002</v>
      </c>
      <c r="O253" s="27" t="s">
        <v>323</v>
      </c>
      <c r="P253" s="137"/>
      <c r="Q253" t="str">
        <f>IFERROR(IF((_xlfn.XLOOKUP(A253,'Set of Installation'!A:A,'Set of Installation'!C:C)+1)&gt;ABS(K253),"OK","Overusage"),"")</f>
        <v>OK</v>
      </c>
      <c r="R253" t="str">
        <f>_xlfn.XLOOKUP(C253,'Checking(ZSERIALS)'!E:E,'Checking(ZSERIALS)'!F:F)</f>
        <v>CHRISTBELLA CONSTRUCTION MANAGEMENT</v>
      </c>
    </row>
    <row r="254" spans="1:18" x14ac:dyDescent="0.3">
      <c r="A254" s="27">
        <v>40000052</v>
      </c>
      <c r="B254" s="27" t="s">
        <v>17</v>
      </c>
      <c r="C254" s="27">
        <v>4500866</v>
      </c>
      <c r="D254" s="27">
        <v>1000</v>
      </c>
      <c r="E254" s="27" t="s">
        <v>53</v>
      </c>
      <c r="F254" s="27" t="s">
        <v>73</v>
      </c>
      <c r="G254" s="27">
        <v>4900057688</v>
      </c>
      <c r="H254" s="27" t="s">
        <v>54</v>
      </c>
      <c r="I254" s="28">
        <v>45305</v>
      </c>
      <c r="J254" s="27" t="s">
        <v>72</v>
      </c>
      <c r="K254" s="29">
        <v>-1</v>
      </c>
      <c r="L254" s="31">
        <v>1680000730454</v>
      </c>
      <c r="M254" s="28">
        <v>45305</v>
      </c>
      <c r="N254" s="30">
        <v>0.76053240740741002</v>
      </c>
      <c r="O254" s="27" t="s">
        <v>305</v>
      </c>
      <c r="P254" s="137"/>
      <c r="Q254" t="str">
        <f>IFERROR(IF((_xlfn.XLOOKUP(A254,'Set of Installation'!A:A,'Set of Installation'!C:C)+1)&gt;ABS(K254),"OK","Overusage"),"")</f>
        <v>OK</v>
      </c>
      <c r="R254" t="str">
        <f>_xlfn.XLOOKUP(C254,'Checking(ZSERIALS)'!E:E,'Checking(ZSERIALS)'!F:F)</f>
        <v>CHRISTBELLA CONSTRUCTION MANAGEMENT</v>
      </c>
    </row>
    <row r="255" spans="1:18" x14ac:dyDescent="0.3">
      <c r="A255" s="27">
        <v>40000052</v>
      </c>
      <c r="B255" s="27" t="s">
        <v>17</v>
      </c>
      <c r="C255" s="27">
        <v>4500866</v>
      </c>
      <c r="D255" s="27">
        <v>1000</v>
      </c>
      <c r="E255" s="27" t="s">
        <v>53</v>
      </c>
      <c r="F255" s="27" t="s">
        <v>73</v>
      </c>
      <c r="G255" s="27">
        <v>4900056186</v>
      </c>
      <c r="H255" s="27" t="s">
        <v>54</v>
      </c>
      <c r="I255" s="28">
        <v>45305</v>
      </c>
      <c r="J255" s="27" t="s">
        <v>72</v>
      </c>
      <c r="K255" s="29">
        <v>-1</v>
      </c>
      <c r="L255" s="31">
        <v>1680000735786</v>
      </c>
      <c r="M255" s="28">
        <v>45305</v>
      </c>
      <c r="N255" s="30">
        <v>0.53276620370369998</v>
      </c>
      <c r="O255" s="27" t="s">
        <v>299</v>
      </c>
      <c r="P255" s="137"/>
      <c r="Q255" t="str">
        <f>IFERROR(IF((_xlfn.XLOOKUP(A255,'Set of Installation'!A:A,'Set of Installation'!C:C)+1)&gt;ABS(K255),"OK","Overusage"),"")</f>
        <v>OK</v>
      </c>
      <c r="R255" t="str">
        <f>_xlfn.XLOOKUP(C255,'Checking(ZSERIALS)'!E:E,'Checking(ZSERIALS)'!F:F)</f>
        <v>CHRISTBELLA CONSTRUCTION MANAGEMENT</v>
      </c>
    </row>
    <row r="256" spans="1:18" x14ac:dyDescent="0.3">
      <c r="A256" s="27">
        <v>40000052</v>
      </c>
      <c r="B256" s="27" t="s">
        <v>17</v>
      </c>
      <c r="C256" s="27">
        <v>4500866</v>
      </c>
      <c r="D256" s="27">
        <v>1000</v>
      </c>
      <c r="E256" s="27" t="s">
        <v>53</v>
      </c>
      <c r="F256" s="27" t="s">
        <v>73</v>
      </c>
      <c r="G256" s="27">
        <v>4900055724</v>
      </c>
      <c r="H256" s="27" t="s">
        <v>54</v>
      </c>
      <c r="I256" s="28">
        <v>45305</v>
      </c>
      <c r="J256" s="27" t="s">
        <v>72</v>
      </c>
      <c r="K256" s="29">
        <v>-1</v>
      </c>
      <c r="L256" s="31">
        <v>1680000735112</v>
      </c>
      <c r="M256" s="28">
        <v>45305</v>
      </c>
      <c r="N256" s="30">
        <v>0.46473379629630002</v>
      </c>
      <c r="O256" s="27" t="s">
        <v>296</v>
      </c>
      <c r="P256" s="137"/>
      <c r="Q256" t="str">
        <f>IFERROR(IF((_xlfn.XLOOKUP(A256,'Set of Installation'!A:A,'Set of Installation'!C:C)+1)&gt;ABS(K256),"OK","Overusage"),"")</f>
        <v>OK</v>
      </c>
      <c r="R256" t="str">
        <f>_xlfn.XLOOKUP(C256,'Checking(ZSERIALS)'!E:E,'Checking(ZSERIALS)'!F:F)</f>
        <v>CHRISTBELLA CONSTRUCTION MANAGEMENT</v>
      </c>
    </row>
    <row r="257" spans="1:18" x14ac:dyDescent="0.3">
      <c r="A257" s="27">
        <v>40000052</v>
      </c>
      <c r="B257" s="27" t="s">
        <v>17</v>
      </c>
      <c r="C257" s="27">
        <v>4500866</v>
      </c>
      <c r="D257" s="27">
        <v>1000</v>
      </c>
      <c r="E257" s="27" t="s">
        <v>53</v>
      </c>
      <c r="F257" s="27" t="s">
        <v>73</v>
      </c>
      <c r="G257" s="27">
        <v>4900051507</v>
      </c>
      <c r="H257" s="27" t="s">
        <v>54</v>
      </c>
      <c r="I257" s="28">
        <v>45304</v>
      </c>
      <c r="J257" s="27" t="s">
        <v>72</v>
      </c>
      <c r="K257" s="29">
        <v>-1</v>
      </c>
      <c r="L257" s="31">
        <v>1680000736512</v>
      </c>
      <c r="M257" s="28">
        <v>45304</v>
      </c>
      <c r="N257" s="30">
        <v>0.58832175925926</v>
      </c>
      <c r="O257" s="27" t="s">
        <v>290</v>
      </c>
      <c r="P257" s="137"/>
      <c r="Q257" t="str">
        <f>IFERROR(IF((_xlfn.XLOOKUP(A257,'Set of Installation'!A:A,'Set of Installation'!C:C)+1)&gt;ABS(K257),"OK","Overusage"),"")</f>
        <v>OK</v>
      </c>
      <c r="R257" t="str">
        <f>_xlfn.XLOOKUP(C257,'Checking(ZSERIALS)'!E:E,'Checking(ZSERIALS)'!F:F)</f>
        <v>CHRISTBELLA CONSTRUCTION MANAGEMENT</v>
      </c>
    </row>
    <row r="258" spans="1:18" x14ac:dyDescent="0.3">
      <c r="A258" s="27">
        <v>40000052</v>
      </c>
      <c r="B258" s="27" t="s">
        <v>17</v>
      </c>
      <c r="C258" s="27">
        <v>4500866</v>
      </c>
      <c r="D258" s="27">
        <v>1000</v>
      </c>
      <c r="E258" s="27" t="s">
        <v>53</v>
      </c>
      <c r="F258" s="27" t="s">
        <v>73</v>
      </c>
      <c r="G258" s="27">
        <v>4900051046</v>
      </c>
      <c r="H258" s="27" t="s">
        <v>54</v>
      </c>
      <c r="I258" s="28">
        <v>45304</v>
      </c>
      <c r="J258" s="27" t="s">
        <v>72</v>
      </c>
      <c r="K258" s="29">
        <v>-1</v>
      </c>
      <c r="L258" s="31">
        <v>1680000725181</v>
      </c>
      <c r="M258" s="28">
        <v>45304</v>
      </c>
      <c r="N258" s="30">
        <v>0.54524305555555996</v>
      </c>
      <c r="O258" s="27" t="s">
        <v>287</v>
      </c>
      <c r="P258" s="137"/>
      <c r="Q258" t="str">
        <f>IFERROR(IF((_xlfn.XLOOKUP(A258,'Set of Installation'!A:A,'Set of Installation'!C:C)+1)&gt;ABS(K258),"OK","Overusage"),"")</f>
        <v>OK</v>
      </c>
      <c r="R258" t="str">
        <f>_xlfn.XLOOKUP(C258,'Checking(ZSERIALS)'!E:E,'Checking(ZSERIALS)'!F:F)</f>
        <v>CHRISTBELLA CONSTRUCTION MANAGEMENT</v>
      </c>
    </row>
    <row r="259" spans="1:18" x14ac:dyDescent="0.3">
      <c r="A259" s="27">
        <v>40000052</v>
      </c>
      <c r="B259" s="27" t="s">
        <v>17</v>
      </c>
      <c r="C259" s="27">
        <v>4500866</v>
      </c>
      <c r="D259" s="27">
        <v>1000</v>
      </c>
      <c r="E259" s="27" t="s">
        <v>53</v>
      </c>
      <c r="F259" s="27" t="s">
        <v>73</v>
      </c>
      <c r="G259" s="27">
        <v>4900047384</v>
      </c>
      <c r="H259" s="27" t="s">
        <v>54</v>
      </c>
      <c r="I259" s="28">
        <v>45303</v>
      </c>
      <c r="J259" s="27" t="s">
        <v>72</v>
      </c>
      <c r="K259" s="29">
        <v>-1</v>
      </c>
      <c r="L259" s="31">
        <v>1680000734654</v>
      </c>
      <c r="M259" s="28">
        <v>45303</v>
      </c>
      <c r="N259" s="30">
        <v>0.67997685185184997</v>
      </c>
      <c r="O259" s="27" t="s">
        <v>278</v>
      </c>
      <c r="P259" s="137"/>
      <c r="Q259" t="str">
        <f>IFERROR(IF((_xlfn.XLOOKUP(A259,'Set of Installation'!A:A,'Set of Installation'!C:C)+1)&gt;ABS(K259),"OK","Overusage"),"")</f>
        <v>OK</v>
      </c>
      <c r="R259" t="str">
        <f>_xlfn.XLOOKUP(C259,'Checking(ZSERIALS)'!E:E,'Checking(ZSERIALS)'!F:F)</f>
        <v>CHRISTBELLA CONSTRUCTION MANAGEMENT</v>
      </c>
    </row>
    <row r="260" spans="1:18" x14ac:dyDescent="0.3">
      <c r="A260" s="27">
        <v>40000052</v>
      </c>
      <c r="B260" s="27" t="s">
        <v>17</v>
      </c>
      <c r="C260" s="27">
        <v>4500866</v>
      </c>
      <c r="D260" s="27">
        <v>1000</v>
      </c>
      <c r="E260" s="27" t="s">
        <v>53</v>
      </c>
      <c r="F260" s="27" t="s">
        <v>73</v>
      </c>
      <c r="G260" s="27">
        <v>4900045352</v>
      </c>
      <c r="H260" s="27" t="s">
        <v>54</v>
      </c>
      <c r="I260" s="28">
        <v>45303</v>
      </c>
      <c r="J260" s="27" t="s">
        <v>72</v>
      </c>
      <c r="K260" s="29">
        <v>-1</v>
      </c>
      <c r="L260" s="31">
        <v>1680000718073</v>
      </c>
      <c r="M260" s="28">
        <v>45303</v>
      </c>
      <c r="N260" s="30">
        <v>0.46888888888889002</v>
      </c>
      <c r="O260" s="27" t="s">
        <v>272</v>
      </c>
      <c r="P260" s="137"/>
      <c r="Q260" t="str">
        <f>IFERROR(IF((_xlfn.XLOOKUP(A260,'Set of Installation'!A:A,'Set of Installation'!C:C)+1)&gt;ABS(K260),"OK","Overusage"),"")</f>
        <v>OK</v>
      </c>
      <c r="R260" t="str">
        <f>_xlfn.XLOOKUP(C260,'Checking(ZSERIALS)'!E:E,'Checking(ZSERIALS)'!F:F)</f>
        <v>CHRISTBELLA CONSTRUCTION MANAGEMENT</v>
      </c>
    </row>
    <row r="261" spans="1:18" x14ac:dyDescent="0.3">
      <c r="A261" s="27">
        <v>40000052</v>
      </c>
      <c r="B261" s="27" t="s">
        <v>17</v>
      </c>
      <c r="C261" s="27">
        <v>4500866</v>
      </c>
      <c r="D261" s="27">
        <v>1000</v>
      </c>
      <c r="E261" s="27" t="s">
        <v>53</v>
      </c>
      <c r="F261" s="27" t="s">
        <v>73</v>
      </c>
      <c r="G261" s="27">
        <v>4900048171</v>
      </c>
      <c r="H261" s="27" t="s">
        <v>54</v>
      </c>
      <c r="I261" s="28">
        <v>45303</v>
      </c>
      <c r="J261" s="27" t="s">
        <v>72</v>
      </c>
      <c r="K261" s="29">
        <v>-1</v>
      </c>
      <c r="L261" s="31">
        <v>1680000734332</v>
      </c>
      <c r="M261" s="28">
        <v>45303</v>
      </c>
      <c r="N261" s="30">
        <v>0.75217592592592997</v>
      </c>
      <c r="O261" s="27" t="s">
        <v>281</v>
      </c>
      <c r="P261" s="137"/>
      <c r="Q261" t="str">
        <f>IFERROR(IF((_xlfn.XLOOKUP(A261,'Set of Installation'!A:A,'Set of Installation'!C:C)+1)&gt;ABS(K261),"OK","Overusage"),"")</f>
        <v>OK</v>
      </c>
      <c r="R261" t="str">
        <f>_xlfn.XLOOKUP(C261,'Checking(ZSERIALS)'!E:E,'Checking(ZSERIALS)'!F:F)</f>
        <v>CHRISTBELLA CONSTRUCTION MANAGEMENT</v>
      </c>
    </row>
    <row r="262" spans="1:18" x14ac:dyDescent="0.3">
      <c r="A262" s="27">
        <v>40000052</v>
      </c>
      <c r="B262" s="27" t="s">
        <v>17</v>
      </c>
      <c r="C262" s="27">
        <v>4500866</v>
      </c>
      <c r="D262" s="27">
        <v>1000</v>
      </c>
      <c r="E262" s="27" t="s">
        <v>53</v>
      </c>
      <c r="F262" s="27" t="s">
        <v>73</v>
      </c>
      <c r="G262" s="27">
        <v>4900040436</v>
      </c>
      <c r="H262" s="27" t="s">
        <v>54</v>
      </c>
      <c r="I262" s="28">
        <v>45302</v>
      </c>
      <c r="J262" s="27" t="s">
        <v>72</v>
      </c>
      <c r="K262" s="29">
        <v>-1</v>
      </c>
      <c r="L262" s="31">
        <v>1680000725722</v>
      </c>
      <c r="M262" s="28">
        <v>45302</v>
      </c>
      <c r="N262" s="30">
        <v>0.47716435185185002</v>
      </c>
      <c r="O262" s="27" t="s">
        <v>245</v>
      </c>
      <c r="P262" s="137"/>
      <c r="Q262" t="str">
        <f>IFERROR(IF((_xlfn.XLOOKUP(A262,'Set of Installation'!A:A,'Set of Installation'!C:C)+1)&gt;ABS(K262),"OK","Overusage"),"")</f>
        <v>OK</v>
      </c>
      <c r="R262" t="str">
        <f>_xlfn.XLOOKUP(C262,'Checking(ZSERIALS)'!E:E,'Checking(ZSERIALS)'!F:F)</f>
        <v>CHRISTBELLA CONSTRUCTION MANAGEMENT</v>
      </c>
    </row>
    <row r="263" spans="1:18" x14ac:dyDescent="0.3">
      <c r="A263" s="27">
        <v>40000052</v>
      </c>
      <c r="B263" s="27" t="s">
        <v>17</v>
      </c>
      <c r="C263" s="27">
        <v>4500866</v>
      </c>
      <c r="D263" s="27">
        <v>1000</v>
      </c>
      <c r="E263" s="27" t="s">
        <v>53</v>
      </c>
      <c r="F263" s="27" t="s">
        <v>73</v>
      </c>
      <c r="G263" s="27">
        <v>4900043306</v>
      </c>
      <c r="H263" s="27" t="s">
        <v>54</v>
      </c>
      <c r="I263" s="28">
        <v>45302</v>
      </c>
      <c r="J263" s="27" t="s">
        <v>72</v>
      </c>
      <c r="K263" s="29">
        <v>-1</v>
      </c>
      <c r="L263" s="31">
        <v>1680000729267</v>
      </c>
      <c r="M263" s="28">
        <v>45302</v>
      </c>
      <c r="N263" s="30">
        <v>0.75775462962963003</v>
      </c>
      <c r="O263" s="27" t="s">
        <v>263</v>
      </c>
      <c r="P263" s="137"/>
      <c r="Q263" t="str">
        <f>IFERROR(IF((_xlfn.XLOOKUP(A263,'Set of Installation'!A:A,'Set of Installation'!C:C)+1)&gt;ABS(K263),"OK","Overusage"),"")</f>
        <v>OK</v>
      </c>
      <c r="R263" t="str">
        <f>_xlfn.XLOOKUP(C263,'Checking(ZSERIALS)'!E:E,'Checking(ZSERIALS)'!F:F)</f>
        <v>CHRISTBELLA CONSTRUCTION MANAGEMENT</v>
      </c>
    </row>
    <row r="264" spans="1:18" x14ac:dyDescent="0.3">
      <c r="A264" s="27">
        <v>40000052</v>
      </c>
      <c r="B264" s="27" t="s">
        <v>17</v>
      </c>
      <c r="C264" s="27">
        <v>4500866</v>
      </c>
      <c r="D264" s="27">
        <v>1000</v>
      </c>
      <c r="E264" s="27" t="s">
        <v>53</v>
      </c>
      <c r="F264" s="27" t="s">
        <v>73</v>
      </c>
      <c r="G264" s="27">
        <v>4900042946</v>
      </c>
      <c r="H264" s="27" t="s">
        <v>54</v>
      </c>
      <c r="I264" s="28">
        <v>45302</v>
      </c>
      <c r="J264" s="27" t="s">
        <v>72</v>
      </c>
      <c r="K264" s="29">
        <v>-1</v>
      </c>
      <c r="L264" s="31">
        <v>1680000726647</v>
      </c>
      <c r="M264" s="28">
        <v>45302</v>
      </c>
      <c r="N264" s="30">
        <v>0.72856481481480995</v>
      </c>
      <c r="O264" s="27" t="s">
        <v>260</v>
      </c>
      <c r="P264" s="137"/>
      <c r="Q264" t="str">
        <f>IFERROR(IF((_xlfn.XLOOKUP(A264,'Set of Installation'!A:A,'Set of Installation'!C:C)+1)&gt;ABS(K264),"OK","Overusage"),"")</f>
        <v>OK</v>
      </c>
      <c r="R264" t="str">
        <f>_xlfn.XLOOKUP(C264,'Checking(ZSERIALS)'!E:E,'Checking(ZSERIALS)'!F:F)</f>
        <v>CHRISTBELLA CONSTRUCTION MANAGEMENT</v>
      </c>
    </row>
    <row r="265" spans="1:18" x14ac:dyDescent="0.3">
      <c r="A265" s="27">
        <v>40000052</v>
      </c>
      <c r="B265" s="27" t="s">
        <v>17</v>
      </c>
      <c r="C265" s="27">
        <v>4500866</v>
      </c>
      <c r="D265" s="27">
        <v>1000</v>
      </c>
      <c r="E265" s="27" t="s">
        <v>53</v>
      </c>
      <c r="F265" s="27" t="s">
        <v>73</v>
      </c>
      <c r="G265" s="27">
        <v>4900040450</v>
      </c>
      <c r="H265" s="27" t="s">
        <v>54</v>
      </c>
      <c r="I265" s="28">
        <v>45302</v>
      </c>
      <c r="J265" s="27" t="s">
        <v>72</v>
      </c>
      <c r="K265" s="29">
        <v>-1</v>
      </c>
      <c r="L265" s="31">
        <v>1680000728514</v>
      </c>
      <c r="M265" s="28">
        <v>45302</v>
      </c>
      <c r="N265" s="30">
        <v>0.47855324074074002</v>
      </c>
      <c r="O265" s="27" t="s">
        <v>248</v>
      </c>
      <c r="P265" s="137"/>
      <c r="Q265" t="str">
        <f>IFERROR(IF((_xlfn.XLOOKUP(A265,'Set of Installation'!A:A,'Set of Installation'!C:C)+1)&gt;ABS(K265),"OK","Overusage"),"")</f>
        <v>OK</v>
      </c>
      <c r="R265" t="str">
        <f>_xlfn.XLOOKUP(C265,'Checking(ZSERIALS)'!E:E,'Checking(ZSERIALS)'!F:F)</f>
        <v>CHRISTBELLA CONSTRUCTION MANAGEMENT</v>
      </c>
    </row>
    <row r="266" spans="1:18" x14ac:dyDescent="0.3">
      <c r="A266" s="27">
        <v>40000052</v>
      </c>
      <c r="B266" s="27" t="s">
        <v>17</v>
      </c>
      <c r="C266" s="27">
        <v>4500866</v>
      </c>
      <c r="D266" s="27">
        <v>1000</v>
      </c>
      <c r="E266" s="27" t="s">
        <v>53</v>
      </c>
      <c r="F266" s="27" t="s">
        <v>73</v>
      </c>
      <c r="G266" s="27">
        <v>4900042490</v>
      </c>
      <c r="H266" s="27" t="s">
        <v>54</v>
      </c>
      <c r="I266" s="28">
        <v>45302</v>
      </c>
      <c r="J266" s="27" t="s">
        <v>72</v>
      </c>
      <c r="K266" s="29">
        <v>-1</v>
      </c>
      <c r="L266" s="31">
        <v>1680000728388</v>
      </c>
      <c r="M266" s="28">
        <v>45302</v>
      </c>
      <c r="N266" s="30">
        <v>0.68828703703703997</v>
      </c>
      <c r="O266" s="27" t="s">
        <v>257</v>
      </c>
      <c r="P266" s="137"/>
      <c r="Q266" t="str">
        <f>IFERROR(IF((_xlfn.XLOOKUP(A266,'Set of Installation'!A:A,'Set of Installation'!C:C)+1)&gt;ABS(K266),"OK","Overusage"),"")</f>
        <v>OK</v>
      </c>
      <c r="R266" t="str">
        <f>_xlfn.XLOOKUP(C266,'Checking(ZSERIALS)'!E:E,'Checking(ZSERIALS)'!F:F)</f>
        <v>CHRISTBELLA CONSTRUCTION MANAGEMENT</v>
      </c>
    </row>
    <row r="267" spans="1:18" x14ac:dyDescent="0.3">
      <c r="A267" s="27">
        <v>40000052</v>
      </c>
      <c r="B267" s="27" t="s">
        <v>17</v>
      </c>
      <c r="C267" s="27">
        <v>4500866</v>
      </c>
      <c r="D267" s="27">
        <v>1000</v>
      </c>
      <c r="E267" s="27" t="s">
        <v>53</v>
      </c>
      <c r="F267" s="27" t="s">
        <v>73</v>
      </c>
      <c r="G267" s="27">
        <v>4900040030</v>
      </c>
      <c r="H267" s="27" t="s">
        <v>54</v>
      </c>
      <c r="I267" s="28">
        <v>45302</v>
      </c>
      <c r="J267" s="27" t="s">
        <v>72</v>
      </c>
      <c r="K267" s="29">
        <v>-1</v>
      </c>
      <c r="L267" s="31">
        <v>1680000728217</v>
      </c>
      <c r="M267" s="28">
        <v>45302</v>
      </c>
      <c r="N267" s="30">
        <v>0.42299768518518999</v>
      </c>
      <c r="O267" s="27" t="s">
        <v>242</v>
      </c>
      <c r="P267" s="137"/>
      <c r="Q267" t="str">
        <f>IFERROR(IF((_xlfn.XLOOKUP(A267,'Set of Installation'!A:A,'Set of Installation'!C:C)+1)&gt;ABS(K267),"OK","Overusage"),"")</f>
        <v>OK</v>
      </c>
      <c r="R267" t="str">
        <f>_xlfn.XLOOKUP(C267,'Checking(ZSERIALS)'!E:E,'Checking(ZSERIALS)'!F:F)</f>
        <v>CHRISTBELLA CONSTRUCTION MANAGEMENT</v>
      </c>
    </row>
    <row r="268" spans="1:18" x14ac:dyDescent="0.3">
      <c r="A268" s="27">
        <v>40000052</v>
      </c>
      <c r="B268" s="27" t="s">
        <v>17</v>
      </c>
      <c r="C268" s="27">
        <v>4500866</v>
      </c>
      <c r="D268" s="27">
        <v>1000</v>
      </c>
      <c r="E268" s="27" t="s">
        <v>53</v>
      </c>
      <c r="F268" s="27" t="s">
        <v>73</v>
      </c>
      <c r="G268" s="27">
        <v>4900043348</v>
      </c>
      <c r="H268" s="27" t="s">
        <v>54</v>
      </c>
      <c r="I268" s="28">
        <v>45302</v>
      </c>
      <c r="J268" s="27" t="s">
        <v>72</v>
      </c>
      <c r="K268" s="29">
        <v>-1</v>
      </c>
      <c r="L268" s="31">
        <v>1680000720805</v>
      </c>
      <c r="M268" s="28">
        <v>45302</v>
      </c>
      <c r="N268" s="30">
        <v>0.76328703703704004</v>
      </c>
      <c r="O268" s="27" t="s">
        <v>266</v>
      </c>
      <c r="P268" s="137"/>
      <c r="Q268" t="str">
        <f>IFERROR(IF((_xlfn.XLOOKUP(A268,'Set of Installation'!A:A,'Set of Installation'!C:C)+1)&gt;ABS(K268),"OK","Overusage"),"")</f>
        <v>OK</v>
      </c>
      <c r="R268" t="str">
        <f>_xlfn.XLOOKUP(C268,'Checking(ZSERIALS)'!E:E,'Checking(ZSERIALS)'!F:F)</f>
        <v>CHRISTBELLA CONSTRUCTION MANAGEMENT</v>
      </c>
    </row>
    <row r="269" spans="1:18" x14ac:dyDescent="0.3">
      <c r="A269" s="27">
        <v>40000052</v>
      </c>
      <c r="B269" s="27" t="s">
        <v>17</v>
      </c>
      <c r="C269" s="27">
        <v>4500866</v>
      </c>
      <c r="D269" s="27">
        <v>1000</v>
      </c>
      <c r="E269" s="27" t="s">
        <v>53</v>
      </c>
      <c r="F269" s="27" t="s">
        <v>73</v>
      </c>
      <c r="G269" s="27">
        <v>4900039980</v>
      </c>
      <c r="H269" s="27" t="s">
        <v>54</v>
      </c>
      <c r="I269" s="28">
        <v>45302</v>
      </c>
      <c r="J269" s="27" t="s">
        <v>72</v>
      </c>
      <c r="K269" s="29">
        <v>-1</v>
      </c>
      <c r="L269" s="31">
        <v>1680000728563</v>
      </c>
      <c r="M269" s="28">
        <v>45302</v>
      </c>
      <c r="N269" s="30">
        <v>0.41468749999999999</v>
      </c>
      <c r="O269" s="27" t="s">
        <v>239</v>
      </c>
      <c r="P269" s="137"/>
      <c r="Q269" t="str">
        <f>IFERROR(IF((_xlfn.XLOOKUP(A269,'Set of Installation'!A:A,'Set of Installation'!C:C)+1)&gt;ABS(K269),"OK","Overusage"),"")</f>
        <v>OK</v>
      </c>
      <c r="R269" t="str">
        <f>_xlfn.XLOOKUP(C269,'Checking(ZSERIALS)'!E:E,'Checking(ZSERIALS)'!F:F)</f>
        <v>CHRISTBELLA CONSTRUCTION MANAGEMENT</v>
      </c>
    </row>
    <row r="270" spans="1:18" x14ac:dyDescent="0.3">
      <c r="A270" s="27">
        <v>40000052</v>
      </c>
      <c r="B270" s="27" t="s">
        <v>17</v>
      </c>
      <c r="C270" s="27">
        <v>4500866</v>
      </c>
      <c r="D270" s="27">
        <v>1000</v>
      </c>
      <c r="E270" s="27" t="s">
        <v>53</v>
      </c>
      <c r="F270" s="27" t="s">
        <v>73</v>
      </c>
      <c r="G270" s="27">
        <v>4900041913</v>
      </c>
      <c r="H270" s="27" t="s">
        <v>54</v>
      </c>
      <c r="I270" s="28">
        <v>45302</v>
      </c>
      <c r="J270" s="27" t="s">
        <v>72</v>
      </c>
      <c r="K270" s="29">
        <v>-1</v>
      </c>
      <c r="L270" s="31">
        <v>1680000730388</v>
      </c>
      <c r="M270" s="28">
        <v>45302</v>
      </c>
      <c r="N270" s="30">
        <v>0.64245370370370003</v>
      </c>
      <c r="O270" s="27" t="s">
        <v>254</v>
      </c>
      <c r="P270" s="137"/>
      <c r="Q270" t="str">
        <f>IFERROR(IF((_xlfn.XLOOKUP(A270,'Set of Installation'!A:A,'Set of Installation'!C:C)+1)&gt;ABS(K270),"OK","Overusage"),"")</f>
        <v>OK</v>
      </c>
      <c r="R270" t="str">
        <f>_xlfn.XLOOKUP(C270,'Checking(ZSERIALS)'!E:E,'Checking(ZSERIALS)'!F:F)</f>
        <v>CHRISTBELLA CONSTRUCTION MANAGEMENT</v>
      </c>
    </row>
    <row r="271" spans="1:18" x14ac:dyDescent="0.3">
      <c r="A271" s="27">
        <v>40000052</v>
      </c>
      <c r="B271" s="27" t="s">
        <v>17</v>
      </c>
      <c r="C271" s="27">
        <v>4500866</v>
      </c>
      <c r="D271" s="27">
        <v>1000</v>
      </c>
      <c r="E271" s="27" t="s">
        <v>53</v>
      </c>
      <c r="F271" s="27" t="s">
        <v>73</v>
      </c>
      <c r="G271" s="27">
        <v>4900040734</v>
      </c>
      <c r="H271" s="27" t="s">
        <v>54</v>
      </c>
      <c r="I271" s="28">
        <v>45302</v>
      </c>
      <c r="J271" s="27" t="s">
        <v>72</v>
      </c>
      <c r="K271" s="29">
        <v>-1</v>
      </c>
      <c r="L271" s="31">
        <v>1680000728212</v>
      </c>
      <c r="M271" s="28">
        <v>45302</v>
      </c>
      <c r="N271" s="30">
        <v>0.51744212962962999</v>
      </c>
      <c r="O271" s="27" t="s">
        <v>251</v>
      </c>
      <c r="P271" s="137"/>
      <c r="Q271" t="str">
        <f>IFERROR(IF((_xlfn.XLOOKUP(A271,'Set of Installation'!A:A,'Set of Installation'!C:C)+1)&gt;ABS(K271),"OK","Overusage"),"")</f>
        <v>OK</v>
      </c>
      <c r="R271" t="str">
        <f>_xlfn.XLOOKUP(C271,'Checking(ZSERIALS)'!E:E,'Checking(ZSERIALS)'!F:F)</f>
        <v>CHRISTBELLA CONSTRUCTION MANAGEMENT</v>
      </c>
    </row>
    <row r="272" spans="1:18" x14ac:dyDescent="0.3">
      <c r="A272" s="27">
        <v>40000052</v>
      </c>
      <c r="B272" s="27" t="s">
        <v>17</v>
      </c>
      <c r="C272" s="27">
        <v>4500866</v>
      </c>
      <c r="D272" s="27">
        <v>1000</v>
      </c>
      <c r="E272" s="27" t="s">
        <v>53</v>
      </c>
      <c r="F272" s="27" t="s">
        <v>73</v>
      </c>
      <c r="G272" s="27">
        <v>4900038446</v>
      </c>
      <c r="H272" s="27" t="s">
        <v>54</v>
      </c>
      <c r="I272" s="28">
        <v>45301</v>
      </c>
      <c r="J272" s="27" t="s">
        <v>72</v>
      </c>
      <c r="K272" s="29">
        <v>-1</v>
      </c>
      <c r="L272" s="31">
        <v>1680000726826</v>
      </c>
      <c r="M272" s="28">
        <v>45301</v>
      </c>
      <c r="N272" s="30">
        <v>0.79660879629629999</v>
      </c>
      <c r="O272" s="27" t="s">
        <v>236</v>
      </c>
      <c r="P272" s="137"/>
      <c r="Q272" t="str">
        <f>IFERROR(IF((_xlfn.XLOOKUP(A272,'Set of Installation'!A:A,'Set of Installation'!C:C)+1)&gt;ABS(K272),"OK","Overusage"),"")</f>
        <v>OK</v>
      </c>
      <c r="R272" t="str">
        <f>_xlfn.XLOOKUP(C272,'Checking(ZSERIALS)'!E:E,'Checking(ZSERIALS)'!F:F)</f>
        <v>CHRISTBELLA CONSTRUCTION MANAGEMENT</v>
      </c>
    </row>
    <row r="273" spans="1:18" x14ac:dyDescent="0.3">
      <c r="A273" s="27">
        <v>40000052</v>
      </c>
      <c r="B273" s="27" t="s">
        <v>17</v>
      </c>
      <c r="C273" s="27">
        <v>4500866</v>
      </c>
      <c r="D273" s="27">
        <v>1000</v>
      </c>
      <c r="E273" s="27" t="s">
        <v>53</v>
      </c>
      <c r="F273" s="27" t="s">
        <v>73</v>
      </c>
      <c r="G273" s="27">
        <v>4900038113</v>
      </c>
      <c r="H273" s="27" t="s">
        <v>54</v>
      </c>
      <c r="I273" s="28">
        <v>45301</v>
      </c>
      <c r="J273" s="27" t="s">
        <v>72</v>
      </c>
      <c r="K273" s="29">
        <v>-1</v>
      </c>
      <c r="L273" s="31">
        <v>1680000704179</v>
      </c>
      <c r="M273" s="28">
        <v>45301</v>
      </c>
      <c r="N273" s="30">
        <v>0.75495370370369996</v>
      </c>
      <c r="O273" s="27" t="s">
        <v>233</v>
      </c>
      <c r="P273" s="137"/>
      <c r="Q273" t="str">
        <f>IFERROR(IF((_xlfn.XLOOKUP(A273,'Set of Installation'!A:A,'Set of Installation'!C:C)+1)&gt;ABS(K273),"OK","Overusage"),"")</f>
        <v>OK</v>
      </c>
      <c r="R273" t="str">
        <f>_xlfn.XLOOKUP(C273,'Checking(ZSERIALS)'!E:E,'Checking(ZSERIALS)'!F:F)</f>
        <v>CHRISTBELLA CONSTRUCTION MANAGEMENT</v>
      </c>
    </row>
    <row r="274" spans="1:18" x14ac:dyDescent="0.3">
      <c r="A274" s="27">
        <v>40000052</v>
      </c>
      <c r="B274" s="27" t="s">
        <v>17</v>
      </c>
      <c r="C274" s="27">
        <v>4500866</v>
      </c>
      <c r="D274" s="27">
        <v>1000</v>
      </c>
      <c r="E274" s="27" t="s">
        <v>53</v>
      </c>
      <c r="F274" s="27" t="s">
        <v>73</v>
      </c>
      <c r="G274" s="27">
        <v>4900036203</v>
      </c>
      <c r="H274" s="27" t="s">
        <v>54</v>
      </c>
      <c r="I274" s="28">
        <v>45301</v>
      </c>
      <c r="J274" s="27" t="s">
        <v>72</v>
      </c>
      <c r="K274" s="29">
        <v>-1</v>
      </c>
      <c r="L274" s="31">
        <v>1680000724492</v>
      </c>
      <c r="M274" s="28">
        <v>45301</v>
      </c>
      <c r="N274" s="30">
        <v>0.57300925925926005</v>
      </c>
      <c r="O274" s="27" t="s">
        <v>218</v>
      </c>
      <c r="P274" s="137"/>
      <c r="Q274" t="str">
        <f>IFERROR(IF((_xlfn.XLOOKUP(A274,'Set of Installation'!A:A,'Set of Installation'!C:C)+1)&gt;ABS(K274),"OK","Overusage"),"")</f>
        <v>OK</v>
      </c>
      <c r="R274" t="str">
        <f>_xlfn.XLOOKUP(C274,'Checking(ZSERIALS)'!E:E,'Checking(ZSERIALS)'!F:F)</f>
        <v>CHRISTBELLA CONSTRUCTION MANAGEMENT</v>
      </c>
    </row>
    <row r="275" spans="1:18" x14ac:dyDescent="0.3">
      <c r="A275" s="27">
        <v>40000052</v>
      </c>
      <c r="B275" s="27" t="s">
        <v>17</v>
      </c>
      <c r="C275" s="27">
        <v>4500866</v>
      </c>
      <c r="D275" s="27">
        <v>1000</v>
      </c>
      <c r="E275" s="27" t="s">
        <v>53</v>
      </c>
      <c r="F275" s="27" t="s">
        <v>73</v>
      </c>
      <c r="G275" s="27">
        <v>4900035703</v>
      </c>
      <c r="H275" s="27" t="s">
        <v>54</v>
      </c>
      <c r="I275" s="28">
        <v>45301</v>
      </c>
      <c r="J275" s="27" t="s">
        <v>72</v>
      </c>
      <c r="K275" s="29">
        <v>-1</v>
      </c>
      <c r="L275" s="31">
        <v>1680000724825</v>
      </c>
      <c r="M275" s="28">
        <v>45301</v>
      </c>
      <c r="N275" s="30">
        <v>0.50910879629630001</v>
      </c>
      <c r="O275" s="27" t="s">
        <v>212</v>
      </c>
      <c r="P275" s="137"/>
      <c r="Q275" t="str">
        <f>IFERROR(IF((_xlfn.XLOOKUP(A275,'Set of Installation'!A:A,'Set of Installation'!C:C)+1)&gt;ABS(K275),"OK","Overusage"),"")</f>
        <v>OK</v>
      </c>
      <c r="R275" t="str">
        <f>_xlfn.XLOOKUP(C275,'Checking(ZSERIALS)'!E:E,'Checking(ZSERIALS)'!F:F)</f>
        <v>CHRISTBELLA CONSTRUCTION MANAGEMENT</v>
      </c>
    </row>
    <row r="276" spans="1:18" x14ac:dyDescent="0.3">
      <c r="A276" s="27">
        <v>40000052</v>
      </c>
      <c r="B276" s="27" t="s">
        <v>17</v>
      </c>
      <c r="C276" s="27">
        <v>4500866</v>
      </c>
      <c r="D276" s="27">
        <v>1000</v>
      </c>
      <c r="E276" s="27" t="s">
        <v>53</v>
      </c>
      <c r="F276" s="27" t="s">
        <v>73</v>
      </c>
      <c r="G276" s="27">
        <v>4900037993</v>
      </c>
      <c r="H276" s="27" t="s">
        <v>54</v>
      </c>
      <c r="I276" s="28">
        <v>45301</v>
      </c>
      <c r="J276" s="27" t="s">
        <v>72</v>
      </c>
      <c r="K276" s="29">
        <v>-1</v>
      </c>
      <c r="L276" s="31">
        <v>1680000715654</v>
      </c>
      <c r="M276" s="28">
        <v>45301</v>
      </c>
      <c r="N276" s="30">
        <v>0.74383101851851996</v>
      </c>
      <c r="O276" s="27" t="s">
        <v>230</v>
      </c>
      <c r="P276" s="137"/>
      <c r="Q276" t="str">
        <f>IFERROR(IF((_xlfn.XLOOKUP(A276,'Set of Installation'!A:A,'Set of Installation'!C:C)+1)&gt;ABS(K276),"OK","Overusage"),"")</f>
        <v>OK</v>
      </c>
      <c r="R276" t="str">
        <f>_xlfn.XLOOKUP(C276,'Checking(ZSERIALS)'!E:E,'Checking(ZSERIALS)'!F:F)</f>
        <v>CHRISTBELLA CONSTRUCTION MANAGEMENT</v>
      </c>
    </row>
    <row r="277" spans="1:18" x14ac:dyDescent="0.3">
      <c r="A277" s="27">
        <v>40000052</v>
      </c>
      <c r="B277" s="27" t="s">
        <v>17</v>
      </c>
      <c r="C277" s="27">
        <v>4500866</v>
      </c>
      <c r="D277" s="27">
        <v>1000</v>
      </c>
      <c r="E277" s="27" t="s">
        <v>53</v>
      </c>
      <c r="F277" s="27" t="s">
        <v>73</v>
      </c>
      <c r="G277" s="27">
        <v>4900037869</v>
      </c>
      <c r="H277" s="27" t="s">
        <v>54</v>
      </c>
      <c r="I277" s="28">
        <v>45301</v>
      </c>
      <c r="J277" s="27" t="s">
        <v>72</v>
      </c>
      <c r="K277" s="29">
        <v>-1</v>
      </c>
      <c r="L277" s="31">
        <v>1680000725443</v>
      </c>
      <c r="M277" s="28">
        <v>45301</v>
      </c>
      <c r="N277" s="30">
        <v>0.73275462962963001</v>
      </c>
      <c r="O277" s="27" t="s">
        <v>224</v>
      </c>
      <c r="P277" s="137"/>
      <c r="Q277" t="str">
        <f>IFERROR(IF((_xlfn.XLOOKUP(A277,'Set of Installation'!A:A,'Set of Installation'!C:C)+1)&gt;ABS(K277),"OK","Overusage"),"")</f>
        <v>OK</v>
      </c>
      <c r="R277" t="str">
        <f>_xlfn.XLOOKUP(C277,'Checking(ZSERIALS)'!E:E,'Checking(ZSERIALS)'!F:F)</f>
        <v>CHRISTBELLA CONSTRUCTION MANAGEMENT</v>
      </c>
    </row>
    <row r="278" spans="1:18" x14ac:dyDescent="0.3">
      <c r="A278" s="27">
        <v>40000052</v>
      </c>
      <c r="B278" s="27" t="s">
        <v>17</v>
      </c>
      <c r="C278" s="27">
        <v>4500866</v>
      </c>
      <c r="D278" s="27">
        <v>1000</v>
      </c>
      <c r="E278" s="27" t="s">
        <v>53</v>
      </c>
      <c r="F278" s="27" t="s">
        <v>73</v>
      </c>
      <c r="G278" s="27">
        <v>4900037928</v>
      </c>
      <c r="H278" s="27" t="s">
        <v>54</v>
      </c>
      <c r="I278" s="28">
        <v>45301</v>
      </c>
      <c r="J278" s="27" t="s">
        <v>72</v>
      </c>
      <c r="K278" s="29">
        <v>-1</v>
      </c>
      <c r="L278" s="31">
        <v>1680000716616</v>
      </c>
      <c r="M278" s="28">
        <v>45301</v>
      </c>
      <c r="N278" s="30">
        <v>0.73967592592593001</v>
      </c>
      <c r="O278" s="27" t="s">
        <v>227</v>
      </c>
      <c r="P278" s="137"/>
      <c r="Q278" t="str">
        <f>IFERROR(IF((_xlfn.XLOOKUP(A278,'Set of Installation'!A:A,'Set of Installation'!C:C)+1)&gt;ABS(K278),"OK","Overusage"),"")</f>
        <v>OK</v>
      </c>
      <c r="R278" t="str">
        <f>_xlfn.XLOOKUP(C278,'Checking(ZSERIALS)'!E:E,'Checking(ZSERIALS)'!F:F)</f>
        <v>CHRISTBELLA CONSTRUCTION MANAGEMENT</v>
      </c>
    </row>
    <row r="279" spans="1:18" x14ac:dyDescent="0.3">
      <c r="A279" s="27">
        <v>40000052</v>
      </c>
      <c r="B279" s="27" t="s">
        <v>17</v>
      </c>
      <c r="C279" s="27">
        <v>4500866</v>
      </c>
      <c r="D279" s="27">
        <v>1000</v>
      </c>
      <c r="E279" s="27" t="s">
        <v>53</v>
      </c>
      <c r="F279" s="27" t="s">
        <v>73</v>
      </c>
      <c r="G279" s="27">
        <v>4900037563</v>
      </c>
      <c r="H279" s="27" t="s">
        <v>54</v>
      </c>
      <c r="I279" s="28">
        <v>45301</v>
      </c>
      <c r="J279" s="27" t="s">
        <v>72</v>
      </c>
      <c r="K279" s="29">
        <v>-1</v>
      </c>
      <c r="L279" s="31">
        <v>1680000725912</v>
      </c>
      <c r="M279" s="28">
        <v>45301</v>
      </c>
      <c r="N279" s="30">
        <v>0.70358796296296</v>
      </c>
      <c r="O279" s="27" t="s">
        <v>221</v>
      </c>
      <c r="P279" s="137"/>
      <c r="Q279" t="str">
        <f>IFERROR(IF((_xlfn.XLOOKUP(A279,'Set of Installation'!A:A,'Set of Installation'!C:C)+1)&gt;ABS(K279),"OK","Overusage"),"")</f>
        <v>OK</v>
      </c>
      <c r="R279" t="str">
        <f>_xlfn.XLOOKUP(C279,'Checking(ZSERIALS)'!E:E,'Checking(ZSERIALS)'!F:F)</f>
        <v>CHRISTBELLA CONSTRUCTION MANAGEMENT</v>
      </c>
    </row>
    <row r="280" spans="1:18" x14ac:dyDescent="0.3">
      <c r="A280" s="27">
        <v>40000052</v>
      </c>
      <c r="B280" s="27" t="s">
        <v>17</v>
      </c>
      <c r="C280" s="27">
        <v>4500866</v>
      </c>
      <c r="D280" s="27">
        <v>1000</v>
      </c>
      <c r="E280" s="27" t="s">
        <v>53</v>
      </c>
      <c r="F280" s="27" t="s">
        <v>73</v>
      </c>
      <c r="G280" s="27">
        <v>4900036099</v>
      </c>
      <c r="H280" s="27" t="s">
        <v>54</v>
      </c>
      <c r="I280" s="28">
        <v>45301</v>
      </c>
      <c r="J280" s="27" t="s">
        <v>72</v>
      </c>
      <c r="K280" s="29">
        <v>-1</v>
      </c>
      <c r="L280" s="31">
        <v>1680000724851</v>
      </c>
      <c r="M280" s="28">
        <v>45301</v>
      </c>
      <c r="N280" s="30">
        <v>0.56048611111111002</v>
      </c>
      <c r="O280" s="27" t="s">
        <v>215</v>
      </c>
      <c r="P280" s="137"/>
      <c r="Q280" t="str">
        <f>IFERROR(IF((_xlfn.XLOOKUP(A280,'Set of Installation'!A:A,'Set of Installation'!C:C)+1)&gt;ABS(K280),"OK","Overusage"),"")</f>
        <v>OK</v>
      </c>
      <c r="R280" t="str">
        <f>_xlfn.XLOOKUP(C280,'Checking(ZSERIALS)'!E:E,'Checking(ZSERIALS)'!F:F)</f>
        <v>CHRISTBELLA CONSTRUCTION MANAGEMENT</v>
      </c>
    </row>
    <row r="281" spans="1:18" x14ac:dyDescent="0.3">
      <c r="A281" s="27">
        <v>40000052</v>
      </c>
      <c r="B281" s="27" t="s">
        <v>17</v>
      </c>
      <c r="C281" s="27">
        <v>4500866</v>
      </c>
      <c r="D281" s="27">
        <v>1000</v>
      </c>
      <c r="E281" s="27" t="s">
        <v>53</v>
      </c>
      <c r="F281" s="27" t="s">
        <v>73</v>
      </c>
      <c r="G281" s="27">
        <v>4900035645</v>
      </c>
      <c r="H281" s="27" t="s">
        <v>54</v>
      </c>
      <c r="I281" s="28">
        <v>45301</v>
      </c>
      <c r="J281" s="27" t="s">
        <v>72</v>
      </c>
      <c r="K281" s="29">
        <v>-1</v>
      </c>
      <c r="L281" s="31">
        <v>1680000725440</v>
      </c>
      <c r="M281" s="28">
        <v>45301</v>
      </c>
      <c r="N281" s="30">
        <v>0.50354166666667</v>
      </c>
      <c r="O281" s="27" t="s">
        <v>209</v>
      </c>
      <c r="P281" s="137"/>
      <c r="Q281" t="str">
        <f>IFERROR(IF((_xlfn.XLOOKUP(A281,'Set of Installation'!A:A,'Set of Installation'!C:C)+1)&gt;ABS(K281),"OK","Overusage"),"")</f>
        <v>OK</v>
      </c>
      <c r="R281" t="str">
        <f>_xlfn.XLOOKUP(C281,'Checking(ZSERIALS)'!E:E,'Checking(ZSERIALS)'!F:F)</f>
        <v>CHRISTBELLA CONSTRUCTION MANAGEMENT</v>
      </c>
    </row>
    <row r="282" spans="1:18" x14ac:dyDescent="0.3">
      <c r="A282" s="27">
        <v>40000052</v>
      </c>
      <c r="B282" s="27" t="s">
        <v>17</v>
      </c>
      <c r="C282" s="27">
        <v>4500866</v>
      </c>
      <c r="D282" s="27">
        <v>1000</v>
      </c>
      <c r="E282" s="27" t="s">
        <v>53</v>
      </c>
      <c r="F282" s="27" t="s">
        <v>73</v>
      </c>
      <c r="G282" s="27">
        <v>4900031612</v>
      </c>
      <c r="H282" s="27" t="s">
        <v>54</v>
      </c>
      <c r="I282" s="28">
        <v>45300</v>
      </c>
      <c r="J282" s="27" t="s">
        <v>72</v>
      </c>
      <c r="K282" s="29">
        <v>-1</v>
      </c>
      <c r="L282" s="31">
        <v>1680000721883</v>
      </c>
      <c r="M282" s="28">
        <v>45300</v>
      </c>
      <c r="N282" s="30">
        <v>0.61467592592593001</v>
      </c>
      <c r="O282" s="27" t="s">
        <v>206</v>
      </c>
      <c r="P282" s="137"/>
      <c r="Q282" t="str">
        <f>IFERROR(IF((_xlfn.XLOOKUP(A282,'Set of Installation'!A:A,'Set of Installation'!C:C)+1)&gt;ABS(K282),"OK","Overusage"),"")</f>
        <v>OK</v>
      </c>
      <c r="R282" t="str">
        <f>_xlfn.XLOOKUP(C282,'Checking(ZSERIALS)'!E:E,'Checking(ZSERIALS)'!F:F)</f>
        <v>CHRISTBELLA CONSTRUCTION MANAGEMENT</v>
      </c>
    </row>
    <row r="283" spans="1:18" x14ac:dyDescent="0.3">
      <c r="A283" s="27">
        <v>40000052</v>
      </c>
      <c r="B283" s="27" t="s">
        <v>17</v>
      </c>
      <c r="C283" s="27">
        <v>4500866</v>
      </c>
      <c r="D283" s="27">
        <v>1000</v>
      </c>
      <c r="E283" s="27" t="s">
        <v>53</v>
      </c>
      <c r="F283" s="27" t="s">
        <v>73</v>
      </c>
      <c r="G283" s="27">
        <v>4900029933</v>
      </c>
      <c r="H283" s="27" t="s">
        <v>54</v>
      </c>
      <c r="I283" s="28">
        <v>45300</v>
      </c>
      <c r="J283" s="27" t="s">
        <v>72</v>
      </c>
      <c r="K283" s="29">
        <v>-1</v>
      </c>
      <c r="L283" s="31">
        <v>1680000720549</v>
      </c>
      <c r="M283" s="28">
        <v>45300</v>
      </c>
      <c r="N283" s="30">
        <v>0.40491898148147998</v>
      </c>
      <c r="O283" s="27" t="s">
        <v>194</v>
      </c>
      <c r="P283" s="137"/>
      <c r="Q283" t="str">
        <f>IFERROR(IF((_xlfn.XLOOKUP(A283,'Set of Installation'!A:A,'Set of Installation'!C:C)+1)&gt;ABS(K283),"OK","Overusage"),"")</f>
        <v>OK</v>
      </c>
      <c r="R283" t="str">
        <f>_xlfn.XLOOKUP(C283,'Checking(ZSERIALS)'!E:E,'Checking(ZSERIALS)'!F:F)</f>
        <v>CHRISTBELLA CONSTRUCTION MANAGEMENT</v>
      </c>
    </row>
    <row r="284" spans="1:18" x14ac:dyDescent="0.3">
      <c r="A284" s="27">
        <v>40000052</v>
      </c>
      <c r="B284" s="27" t="s">
        <v>17</v>
      </c>
      <c r="C284" s="27">
        <v>4500866</v>
      </c>
      <c r="D284" s="27">
        <v>1000</v>
      </c>
      <c r="E284" s="27" t="s">
        <v>53</v>
      </c>
      <c r="F284" s="27" t="s">
        <v>73</v>
      </c>
      <c r="G284" s="27">
        <v>4900030288</v>
      </c>
      <c r="H284" s="27" t="s">
        <v>54</v>
      </c>
      <c r="I284" s="28">
        <v>45300</v>
      </c>
      <c r="J284" s="27" t="s">
        <v>72</v>
      </c>
      <c r="K284" s="29">
        <v>-1</v>
      </c>
      <c r="L284" s="31">
        <v>1680000721575</v>
      </c>
      <c r="M284" s="28">
        <v>45300</v>
      </c>
      <c r="N284" s="30">
        <v>0.45773148148148002</v>
      </c>
      <c r="O284" s="27" t="s">
        <v>197</v>
      </c>
      <c r="P284" s="137"/>
      <c r="Q284" t="str">
        <f>IFERROR(IF((_xlfn.XLOOKUP(A284,'Set of Installation'!A:A,'Set of Installation'!C:C)+1)&gt;ABS(K284),"OK","Overusage"),"")</f>
        <v>OK</v>
      </c>
      <c r="R284" t="str">
        <f>_xlfn.XLOOKUP(C284,'Checking(ZSERIALS)'!E:E,'Checking(ZSERIALS)'!F:F)</f>
        <v>CHRISTBELLA CONSTRUCTION MANAGEMENT</v>
      </c>
    </row>
    <row r="285" spans="1:18" x14ac:dyDescent="0.3">
      <c r="A285" s="27">
        <v>40000052</v>
      </c>
      <c r="B285" s="27" t="s">
        <v>17</v>
      </c>
      <c r="C285" s="27">
        <v>4500866</v>
      </c>
      <c r="D285" s="27">
        <v>1000</v>
      </c>
      <c r="E285" s="27" t="s">
        <v>53</v>
      </c>
      <c r="F285" s="27" t="s">
        <v>73</v>
      </c>
      <c r="G285" s="27">
        <v>4900031299</v>
      </c>
      <c r="H285" s="27" t="s">
        <v>54</v>
      </c>
      <c r="I285" s="28">
        <v>45300</v>
      </c>
      <c r="J285" s="27" t="s">
        <v>72</v>
      </c>
      <c r="K285" s="29">
        <v>-1</v>
      </c>
      <c r="L285" s="31">
        <v>1680000724269</v>
      </c>
      <c r="M285" s="28">
        <v>45300</v>
      </c>
      <c r="N285" s="30">
        <v>0.57991898148148002</v>
      </c>
      <c r="O285" s="27" t="s">
        <v>203</v>
      </c>
      <c r="P285" s="137"/>
      <c r="Q285" t="str">
        <f>IFERROR(IF((_xlfn.XLOOKUP(A285,'Set of Installation'!A:A,'Set of Installation'!C:C)+1)&gt;ABS(K285),"OK","Overusage"),"")</f>
        <v>OK</v>
      </c>
      <c r="R285" t="str">
        <f>_xlfn.XLOOKUP(C285,'Checking(ZSERIALS)'!E:E,'Checking(ZSERIALS)'!F:F)</f>
        <v>CHRISTBELLA CONSTRUCTION MANAGEMENT</v>
      </c>
    </row>
    <row r="286" spans="1:18" x14ac:dyDescent="0.3">
      <c r="A286" s="27">
        <v>40000052</v>
      </c>
      <c r="B286" s="27" t="s">
        <v>17</v>
      </c>
      <c r="C286" s="27">
        <v>4500866</v>
      </c>
      <c r="D286" s="27">
        <v>1000</v>
      </c>
      <c r="E286" s="27" t="s">
        <v>53</v>
      </c>
      <c r="F286" s="27" t="s">
        <v>73</v>
      </c>
      <c r="G286" s="27">
        <v>4900030571</v>
      </c>
      <c r="H286" s="27" t="s">
        <v>54</v>
      </c>
      <c r="I286" s="28">
        <v>45300</v>
      </c>
      <c r="J286" s="27" t="s">
        <v>72</v>
      </c>
      <c r="K286" s="29">
        <v>-1</v>
      </c>
      <c r="L286" s="31">
        <v>1680000722982</v>
      </c>
      <c r="M286" s="28">
        <v>45300</v>
      </c>
      <c r="N286" s="30">
        <v>0.49103009259259001</v>
      </c>
      <c r="O286" s="27" t="s">
        <v>200</v>
      </c>
      <c r="P286" s="137"/>
      <c r="Q286" t="str">
        <f>IFERROR(IF((_xlfn.XLOOKUP(A286,'Set of Installation'!A:A,'Set of Installation'!C:C)+1)&gt;ABS(K286),"OK","Overusage"),"")</f>
        <v>OK</v>
      </c>
      <c r="R286" t="str">
        <f>_xlfn.XLOOKUP(C286,'Checking(ZSERIALS)'!E:E,'Checking(ZSERIALS)'!F:F)</f>
        <v>CHRISTBELLA CONSTRUCTION MANAGEMENT</v>
      </c>
    </row>
    <row r="287" spans="1:18" x14ac:dyDescent="0.3">
      <c r="A287" s="27">
        <v>40000052</v>
      </c>
      <c r="B287" s="27" t="s">
        <v>17</v>
      </c>
      <c r="C287" s="27">
        <v>4500866</v>
      </c>
      <c r="D287" s="27">
        <v>1000</v>
      </c>
      <c r="E287" s="27" t="s">
        <v>53</v>
      </c>
      <c r="F287" s="27" t="s">
        <v>73</v>
      </c>
      <c r="G287" s="27">
        <v>4900027602</v>
      </c>
      <c r="H287" s="27" t="s">
        <v>54</v>
      </c>
      <c r="I287" s="28">
        <v>45299</v>
      </c>
      <c r="J287" s="27" t="s">
        <v>72</v>
      </c>
      <c r="K287" s="29">
        <v>-1</v>
      </c>
      <c r="L287" s="31">
        <v>1680000695259</v>
      </c>
      <c r="M287" s="28">
        <v>45299</v>
      </c>
      <c r="N287" s="30">
        <v>0.69384259259258996</v>
      </c>
      <c r="O287" s="27" t="s">
        <v>191</v>
      </c>
      <c r="P287" s="137"/>
      <c r="Q287" t="str">
        <f>IFERROR(IF((_xlfn.XLOOKUP(A287,'Set of Installation'!A:A,'Set of Installation'!C:C)+1)&gt;ABS(K287),"OK","Overusage"),"")</f>
        <v>OK</v>
      </c>
      <c r="R287" t="str">
        <f>_xlfn.XLOOKUP(C287,'Checking(ZSERIALS)'!E:E,'Checking(ZSERIALS)'!F:F)</f>
        <v>CHRISTBELLA CONSTRUCTION MANAGEMENT</v>
      </c>
    </row>
    <row r="288" spans="1:18" x14ac:dyDescent="0.3">
      <c r="A288" s="27">
        <v>40000052</v>
      </c>
      <c r="B288" s="27" t="s">
        <v>17</v>
      </c>
      <c r="C288" s="27">
        <v>4500866</v>
      </c>
      <c r="D288" s="27">
        <v>1000</v>
      </c>
      <c r="E288" s="27" t="s">
        <v>53</v>
      </c>
      <c r="F288" s="27" t="s">
        <v>73</v>
      </c>
      <c r="G288" s="27">
        <v>4900025251</v>
      </c>
      <c r="H288" s="27" t="s">
        <v>54</v>
      </c>
      <c r="I288" s="28">
        <v>45299</v>
      </c>
      <c r="J288" s="27" t="s">
        <v>72</v>
      </c>
      <c r="K288" s="29">
        <v>-1</v>
      </c>
      <c r="L288" s="31">
        <v>1680000709015</v>
      </c>
      <c r="M288" s="28">
        <v>45299</v>
      </c>
      <c r="N288" s="30">
        <v>0.42572916666666999</v>
      </c>
      <c r="O288" s="27" t="s">
        <v>179</v>
      </c>
      <c r="P288" s="137"/>
      <c r="Q288" t="str">
        <f>IFERROR(IF((_xlfn.XLOOKUP(A288,'Set of Installation'!A:A,'Set of Installation'!C:C)+1)&gt;ABS(K288),"OK","Overusage"),"")</f>
        <v>OK</v>
      </c>
      <c r="R288" t="str">
        <f>_xlfn.XLOOKUP(C288,'Checking(ZSERIALS)'!E:E,'Checking(ZSERIALS)'!F:F)</f>
        <v>CHRISTBELLA CONSTRUCTION MANAGEMENT</v>
      </c>
    </row>
    <row r="289" spans="1:18" x14ac:dyDescent="0.3">
      <c r="A289" s="27">
        <v>40000052</v>
      </c>
      <c r="B289" s="27" t="s">
        <v>17</v>
      </c>
      <c r="C289" s="27">
        <v>4500866</v>
      </c>
      <c r="D289" s="27">
        <v>1000</v>
      </c>
      <c r="E289" s="27" t="s">
        <v>53</v>
      </c>
      <c r="F289" s="27" t="s">
        <v>73</v>
      </c>
      <c r="G289" s="27">
        <v>4900026206</v>
      </c>
      <c r="H289" s="27" t="s">
        <v>54</v>
      </c>
      <c r="I289" s="28">
        <v>45299</v>
      </c>
      <c r="J289" s="27" t="s">
        <v>72</v>
      </c>
      <c r="K289" s="29">
        <v>-1</v>
      </c>
      <c r="L289" s="31">
        <v>1680000718727</v>
      </c>
      <c r="M289" s="28">
        <v>45299</v>
      </c>
      <c r="N289" s="30">
        <v>0.55628472222222003</v>
      </c>
      <c r="O289" s="27" t="s">
        <v>185</v>
      </c>
      <c r="P289" s="137"/>
      <c r="Q289" t="str">
        <f>IFERROR(IF((_xlfn.XLOOKUP(A289,'Set of Installation'!A:A,'Set of Installation'!C:C)+1)&gt;ABS(K289),"OK","Overusage"),"")</f>
        <v>OK</v>
      </c>
      <c r="R289" t="str">
        <f>_xlfn.XLOOKUP(C289,'Checking(ZSERIALS)'!E:E,'Checking(ZSERIALS)'!F:F)</f>
        <v>CHRISTBELLA CONSTRUCTION MANAGEMENT</v>
      </c>
    </row>
    <row r="290" spans="1:18" x14ac:dyDescent="0.3">
      <c r="A290" s="27">
        <v>40000052</v>
      </c>
      <c r="B290" s="27" t="s">
        <v>17</v>
      </c>
      <c r="C290" s="27">
        <v>4500866</v>
      </c>
      <c r="D290" s="27">
        <v>1000</v>
      </c>
      <c r="E290" s="27" t="s">
        <v>53</v>
      </c>
      <c r="F290" s="27" t="s">
        <v>73</v>
      </c>
      <c r="G290" s="27">
        <v>4900025961</v>
      </c>
      <c r="H290" s="27" t="s">
        <v>54</v>
      </c>
      <c r="I290" s="28">
        <v>45299</v>
      </c>
      <c r="J290" s="27" t="s">
        <v>72</v>
      </c>
      <c r="K290" s="29">
        <v>-1</v>
      </c>
      <c r="L290" s="31">
        <v>1680000719107</v>
      </c>
      <c r="M290" s="28">
        <v>45299</v>
      </c>
      <c r="N290" s="30">
        <v>0.52298611111111004</v>
      </c>
      <c r="O290" s="27" t="s">
        <v>182</v>
      </c>
      <c r="P290" s="137"/>
      <c r="Q290" t="str">
        <f>IFERROR(IF((_xlfn.XLOOKUP(A290,'Set of Installation'!A:A,'Set of Installation'!C:C)+1)&gt;ABS(K290),"OK","Overusage"),"")</f>
        <v>OK</v>
      </c>
      <c r="R290" t="str">
        <f>_xlfn.XLOOKUP(C290,'Checking(ZSERIALS)'!E:E,'Checking(ZSERIALS)'!F:F)</f>
        <v>CHRISTBELLA CONSTRUCTION MANAGEMENT</v>
      </c>
    </row>
    <row r="291" spans="1:18" x14ac:dyDescent="0.3">
      <c r="A291" s="27">
        <v>40000052</v>
      </c>
      <c r="B291" s="27" t="s">
        <v>17</v>
      </c>
      <c r="C291" s="27">
        <v>4500866</v>
      </c>
      <c r="D291" s="27">
        <v>1000</v>
      </c>
      <c r="E291" s="27" t="s">
        <v>53</v>
      </c>
      <c r="F291" s="27" t="s">
        <v>73</v>
      </c>
      <c r="G291" s="27">
        <v>4900023395</v>
      </c>
      <c r="H291" s="27" t="s">
        <v>54</v>
      </c>
      <c r="I291" s="28">
        <v>45298</v>
      </c>
      <c r="J291" s="27" t="s">
        <v>72</v>
      </c>
      <c r="K291" s="29">
        <v>-1</v>
      </c>
      <c r="L291" s="31">
        <v>1680000719137</v>
      </c>
      <c r="M291" s="28">
        <v>45298</v>
      </c>
      <c r="N291" s="30">
        <v>0.66738425925926004</v>
      </c>
      <c r="O291" s="27" t="s">
        <v>173</v>
      </c>
      <c r="P291" s="137"/>
      <c r="Q291" t="str">
        <f>IFERROR(IF((_xlfn.XLOOKUP(A291,'Set of Installation'!A:A,'Set of Installation'!C:C)+1)&gt;ABS(K291),"OK","Overusage"),"")</f>
        <v>OK</v>
      </c>
      <c r="R291" t="str">
        <f>_xlfn.XLOOKUP(C291,'Checking(ZSERIALS)'!E:E,'Checking(ZSERIALS)'!F:F)</f>
        <v>CHRISTBELLA CONSTRUCTION MANAGEMENT</v>
      </c>
    </row>
    <row r="292" spans="1:18" x14ac:dyDescent="0.3">
      <c r="A292" s="27">
        <v>40000052</v>
      </c>
      <c r="B292" s="27" t="s">
        <v>17</v>
      </c>
      <c r="C292" s="27">
        <v>4500866</v>
      </c>
      <c r="D292" s="27">
        <v>1000</v>
      </c>
      <c r="E292" s="27" t="s">
        <v>53</v>
      </c>
      <c r="F292" s="27" t="s">
        <v>73</v>
      </c>
      <c r="G292" s="27">
        <v>4900022662</v>
      </c>
      <c r="H292" s="27" t="s">
        <v>54</v>
      </c>
      <c r="I292" s="28">
        <v>45298</v>
      </c>
      <c r="J292" s="27" t="s">
        <v>72</v>
      </c>
      <c r="K292" s="29">
        <v>-1</v>
      </c>
      <c r="L292" s="31">
        <v>1680000718039</v>
      </c>
      <c r="M292" s="28">
        <v>45298</v>
      </c>
      <c r="N292" s="30">
        <v>0.55349537037037</v>
      </c>
      <c r="O292" s="27" t="s">
        <v>167</v>
      </c>
      <c r="P292" s="137"/>
      <c r="Q292" t="str">
        <f>IFERROR(IF((_xlfn.XLOOKUP(A292,'Set of Installation'!A:A,'Set of Installation'!C:C)+1)&gt;ABS(K292),"OK","Overusage"),"")</f>
        <v>OK</v>
      </c>
      <c r="R292" t="str">
        <f>_xlfn.XLOOKUP(C292,'Checking(ZSERIALS)'!E:E,'Checking(ZSERIALS)'!F:F)</f>
        <v>CHRISTBELLA CONSTRUCTION MANAGEMENT</v>
      </c>
    </row>
    <row r="293" spans="1:18" x14ac:dyDescent="0.3">
      <c r="A293" s="27">
        <v>40000052</v>
      </c>
      <c r="B293" s="27" t="s">
        <v>17</v>
      </c>
      <c r="C293" s="27">
        <v>4500866</v>
      </c>
      <c r="D293" s="27">
        <v>1000</v>
      </c>
      <c r="E293" s="27" t="s">
        <v>53</v>
      </c>
      <c r="F293" s="27" t="s">
        <v>73</v>
      </c>
      <c r="G293" s="27">
        <v>4900022008</v>
      </c>
      <c r="H293" s="27" t="s">
        <v>54</v>
      </c>
      <c r="I293" s="28">
        <v>45298</v>
      </c>
      <c r="J293" s="27" t="s">
        <v>72</v>
      </c>
      <c r="K293" s="29">
        <v>-1</v>
      </c>
      <c r="L293" s="31">
        <v>1680000714781</v>
      </c>
      <c r="M293" s="28">
        <v>45298</v>
      </c>
      <c r="N293" s="30">
        <v>0.42849537037037</v>
      </c>
      <c r="O293" s="27" t="s">
        <v>161</v>
      </c>
      <c r="P293" s="137"/>
      <c r="Q293" t="str">
        <f>IFERROR(IF((_xlfn.XLOOKUP(A293,'Set of Installation'!A:A,'Set of Installation'!C:C)+1)&gt;ABS(K293),"OK","Overusage"),"")</f>
        <v>OK</v>
      </c>
      <c r="R293" t="str">
        <f>_xlfn.XLOOKUP(C293,'Checking(ZSERIALS)'!E:E,'Checking(ZSERIALS)'!F:F)</f>
        <v>CHRISTBELLA CONSTRUCTION MANAGEMENT</v>
      </c>
    </row>
    <row r="294" spans="1:18" x14ac:dyDescent="0.3">
      <c r="A294" s="27">
        <v>40000052</v>
      </c>
      <c r="B294" s="27" t="s">
        <v>17</v>
      </c>
      <c r="C294" s="27">
        <v>4500866</v>
      </c>
      <c r="D294" s="27">
        <v>1000</v>
      </c>
      <c r="E294" s="27" t="s">
        <v>53</v>
      </c>
      <c r="F294" s="27" t="s">
        <v>73</v>
      </c>
      <c r="G294" s="27">
        <v>4900022283</v>
      </c>
      <c r="H294" s="27" t="s">
        <v>54</v>
      </c>
      <c r="I294" s="28">
        <v>45298</v>
      </c>
      <c r="J294" s="27" t="s">
        <v>72</v>
      </c>
      <c r="K294" s="29">
        <v>-1</v>
      </c>
      <c r="L294" s="31">
        <v>1680000718209</v>
      </c>
      <c r="M294" s="28">
        <v>45298</v>
      </c>
      <c r="N294" s="30">
        <v>0.48128472222222002</v>
      </c>
      <c r="O294" s="27" t="s">
        <v>164</v>
      </c>
      <c r="P294" s="137"/>
      <c r="Q294" t="str">
        <f>IFERROR(IF((_xlfn.XLOOKUP(A294,'Set of Installation'!A:A,'Set of Installation'!C:C)+1)&gt;ABS(K294),"OK","Overusage"),"")</f>
        <v>OK</v>
      </c>
      <c r="R294" t="str">
        <f>_xlfn.XLOOKUP(C294,'Checking(ZSERIALS)'!E:E,'Checking(ZSERIALS)'!F:F)</f>
        <v>CHRISTBELLA CONSTRUCTION MANAGEMENT</v>
      </c>
    </row>
    <row r="295" spans="1:18" x14ac:dyDescent="0.3">
      <c r="A295" s="27">
        <v>40000052</v>
      </c>
      <c r="B295" s="27" t="s">
        <v>17</v>
      </c>
      <c r="C295" s="27">
        <v>4500866</v>
      </c>
      <c r="D295" s="27">
        <v>1000</v>
      </c>
      <c r="E295" s="27" t="s">
        <v>53</v>
      </c>
      <c r="F295" s="27" t="s">
        <v>73</v>
      </c>
      <c r="G295" s="27">
        <v>4900022702</v>
      </c>
      <c r="H295" s="27" t="s">
        <v>54</v>
      </c>
      <c r="I295" s="28">
        <v>45298</v>
      </c>
      <c r="J295" s="27" t="s">
        <v>72</v>
      </c>
      <c r="K295" s="29">
        <v>-1</v>
      </c>
      <c r="L295" s="31">
        <v>1680000714162</v>
      </c>
      <c r="M295" s="28">
        <v>45298</v>
      </c>
      <c r="N295" s="30">
        <v>0.56460648148147996</v>
      </c>
      <c r="O295" s="27" t="s">
        <v>170</v>
      </c>
      <c r="P295" s="137"/>
      <c r="Q295" t="str">
        <f>IFERROR(IF((_xlfn.XLOOKUP(A295,'Set of Installation'!A:A,'Set of Installation'!C:C)+1)&gt;ABS(K295),"OK","Overusage"),"")</f>
        <v>OK</v>
      </c>
      <c r="R295" t="str">
        <f>_xlfn.XLOOKUP(C295,'Checking(ZSERIALS)'!E:E,'Checking(ZSERIALS)'!F:F)</f>
        <v>CHRISTBELLA CONSTRUCTION MANAGEMENT</v>
      </c>
    </row>
    <row r="296" spans="1:18" x14ac:dyDescent="0.3">
      <c r="A296" s="27">
        <v>40000052</v>
      </c>
      <c r="B296" s="27" t="s">
        <v>17</v>
      </c>
      <c r="C296" s="27">
        <v>4500866</v>
      </c>
      <c r="D296" s="27">
        <v>1000</v>
      </c>
      <c r="E296" s="27" t="s">
        <v>53</v>
      </c>
      <c r="F296" s="27" t="s">
        <v>73</v>
      </c>
      <c r="G296" s="27">
        <v>4900023883</v>
      </c>
      <c r="H296" s="27" t="s">
        <v>54</v>
      </c>
      <c r="I296" s="28">
        <v>45298</v>
      </c>
      <c r="J296" s="27" t="s">
        <v>72</v>
      </c>
      <c r="K296" s="29">
        <v>-1</v>
      </c>
      <c r="L296" s="31">
        <v>1680000720228</v>
      </c>
      <c r="M296" s="28">
        <v>45298</v>
      </c>
      <c r="N296" s="30">
        <v>0.74239583333333004</v>
      </c>
      <c r="O296" s="27" t="s">
        <v>176</v>
      </c>
      <c r="P296" s="137"/>
      <c r="Q296" t="str">
        <f>IFERROR(IF((_xlfn.XLOOKUP(A296,'Set of Installation'!A:A,'Set of Installation'!C:C)+1)&gt;ABS(K296),"OK","Overusage"),"")</f>
        <v>OK</v>
      </c>
      <c r="R296" t="str">
        <f>_xlfn.XLOOKUP(C296,'Checking(ZSERIALS)'!E:E,'Checking(ZSERIALS)'!F:F)</f>
        <v>CHRISTBELLA CONSTRUCTION MANAGEMENT</v>
      </c>
    </row>
    <row r="297" spans="1:18" x14ac:dyDescent="0.3">
      <c r="A297" s="27">
        <v>40000052</v>
      </c>
      <c r="B297" s="27" t="s">
        <v>17</v>
      </c>
      <c r="C297" s="27">
        <v>4500866</v>
      </c>
      <c r="D297" s="27">
        <v>1000</v>
      </c>
      <c r="E297" s="27" t="s">
        <v>53</v>
      </c>
      <c r="F297" s="27" t="s">
        <v>73</v>
      </c>
      <c r="G297" s="27">
        <v>4900020254</v>
      </c>
      <c r="H297" s="27" t="s">
        <v>54</v>
      </c>
      <c r="I297" s="28">
        <v>45297</v>
      </c>
      <c r="J297" s="27" t="s">
        <v>72</v>
      </c>
      <c r="K297" s="29">
        <v>-1</v>
      </c>
      <c r="L297" s="31">
        <v>1680000713879</v>
      </c>
      <c r="M297" s="28">
        <v>45297</v>
      </c>
      <c r="N297" s="30">
        <v>0.75209490740741003</v>
      </c>
      <c r="O297" s="27" t="s">
        <v>158</v>
      </c>
      <c r="P297" s="137"/>
      <c r="Q297" t="str">
        <f>IFERROR(IF((_xlfn.XLOOKUP(A297,'Set of Installation'!A:A,'Set of Installation'!C:C)+1)&gt;ABS(K297),"OK","Overusage"),"")</f>
        <v>OK</v>
      </c>
      <c r="R297" t="str">
        <f>_xlfn.XLOOKUP(C297,'Checking(ZSERIALS)'!E:E,'Checking(ZSERIALS)'!F:F)</f>
        <v>CHRISTBELLA CONSTRUCTION MANAGEMENT</v>
      </c>
    </row>
    <row r="298" spans="1:18" x14ac:dyDescent="0.3">
      <c r="A298" s="27">
        <v>40000052</v>
      </c>
      <c r="B298" s="27" t="s">
        <v>17</v>
      </c>
      <c r="C298" s="27">
        <v>4500866</v>
      </c>
      <c r="D298" s="27">
        <v>1000</v>
      </c>
      <c r="E298" s="27" t="s">
        <v>53</v>
      </c>
      <c r="F298" s="27" t="s">
        <v>73</v>
      </c>
      <c r="G298" s="27">
        <v>4900019095</v>
      </c>
      <c r="H298" s="27" t="s">
        <v>54</v>
      </c>
      <c r="I298" s="28">
        <v>45297</v>
      </c>
      <c r="J298" s="27" t="s">
        <v>72</v>
      </c>
      <c r="K298" s="29">
        <v>-1</v>
      </c>
      <c r="L298" s="31">
        <v>1680000696855</v>
      </c>
      <c r="M298" s="28">
        <v>45297</v>
      </c>
      <c r="N298" s="30">
        <v>0.64376157407406998</v>
      </c>
      <c r="O298" s="27" t="s">
        <v>155</v>
      </c>
      <c r="P298" s="137"/>
      <c r="Q298" t="str">
        <f>IFERROR(IF((_xlfn.XLOOKUP(A298,'Set of Installation'!A:A,'Set of Installation'!C:C)+1)&gt;ABS(K298),"OK","Overusage"),"")</f>
        <v>OK</v>
      </c>
      <c r="R298" t="str">
        <f>_xlfn.XLOOKUP(C298,'Checking(ZSERIALS)'!E:E,'Checking(ZSERIALS)'!F:F)</f>
        <v>CHRISTBELLA CONSTRUCTION MANAGEMENT</v>
      </c>
    </row>
    <row r="299" spans="1:18" x14ac:dyDescent="0.3">
      <c r="A299" s="27">
        <v>40000052</v>
      </c>
      <c r="B299" s="27" t="s">
        <v>17</v>
      </c>
      <c r="C299" s="27">
        <v>4500866</v>
      </c>
      <c r="D299" s="27">
        <v>1000</v>
      </c>
      <c r="E299" s="27" t="s">
        <v>53</v>
      </c>
      <c r="F299" s="27" t="s">
        <v>73</v>
      </c>
      <c r="G299" s="27">
        <v>4900018055</v>
      </c>
      <c r="H299" s="27" t="s">
        <v>54</v>
      </c>
      <c r="I299" s="28">
        <v>45297</v>
      </c>
      <c r="J299" s="27" t="s">
        <v>72</v>
      </c>
      <c r="K299" s="29">
        <v>-1</v>
      </c>
      <c r="L299" s="31">
        <v>1680000699851</v>
      </c>
      <c r="M299" s="28">
        <v>45297</v>
      </c>
      <c r="N299" s="30">
        <v>0.54101851851852001</v>
      </c>
      <c r="O299" s="27" t="s">
        <v>152</v>
      </c>
      <c r="P299" s="137"/>
      <c r="Q299" t="str">
        <f>IFERROR(IF((_xlfn.XLOOKUP(A299,'Set of Installation'!A:A,'Set of Installation'!C:C)+1)&gt;ABS(K299),"OK","Overusage"),"")</f>
        <v>OK</v>
      </c>
      <c r="R299" t="str">
        <f>_xlfn.XLOOKUP(C299,'Checking(ZSERIALS)'!E:E,'Checking(ZSERIALS)'!F:F)</f>
        <v>CHRISTBELLA CONSTRUCTION MANAGEMENT</v>
      </c>
    </row>
    <row r="300" spans="1:18" x14ac:dyDescent="0.3">
      <c r="A300" s="27">
        <v>40000052</v>
      </c>
      <c r="B300" s="27" t="s">
        <v>17</v>
      </c>
      <c r="C300" s="27">
        <v>4500866</v>
      </c>
      <c r="D300" s="27">
        <v>1000</v>
      </c>
      <c r="E300" s="27" t="s">
        <v>53</v>
      </c>
      <c r="F300" s="27" t="s">
        <v>73</v>
      </c>
      <c r="G300" s="27">
        <v>4900017966</v>
      </c>
      <c r="H300" s="27" t="s">
        <v>54</v>
      </c>
      <c r="I300" s="28">
        <v>45297</v>
      </c>
      <c r="J300" s="27" t="s">
        <v>72</v>
      </c>
      <c r="K300" s="29">
        <v>-1</v>
      </c>
      <c r="L300" s="31">
        <v>1680000714783</v>
      </c>
      <c r="M300" s="28">
        <v>45297</v>
      </c>
      <c r="N300" s="30">
        <v>0.52988425925925997</v>
      </c>
      <c r="O300" s="27" t="s">
        <v>149</v>
      </c>
      <c r="P300" s="137"/>
      <c r="Q300" t="str">
        <f>IFERROR(IF((_xlfn.XLOOKUP(A300,'Set of Installation'!A:A,'Set of Installation'!C:C)+1)&gt;ABS(K300),"OK","Overusage"),"")</f>
        <v>OK</v>
      </c>
      <c r="R300" t="str">
        <f>_xlfn.XLOOKUP(C300,'Checking(ZSERIALS)'!E:E,'Checking(ZSERIALS)'!F:F)</f>
        <v>CHRISTBELLA CONSTRUCTION MANAGEMENT</v>
      </c>
    </row>
    <row r="301" spans="1:18" x14ac:dyDescent="0.3">
      <c r="A301" s="27">
        <v>40000052</v>
      </c>
      <c r="B301" s="27" t="s">
        <v>17</v>
      </c>
      <c r="C301" s="27">
        <v>4500866</v>
      </c>
      <c r="D301" s="27">
        <v>1000</v>
      </c>
      <c r="E301" s="27" t="s">
        <v>53</v>
      </c>
      <c r="F301" s="27" t="s">
        <v>73</v>
      </c>
      <c r="G301" s="27">
        <v>4900014547</v>
      </c>
      <c r="H301" s="27" t="s">
        <v>54</v>
      </c>
      <c r="I301" s="28">
        <v>45296</v>
      </c>
      <c r="J301" s="27" t="s">
        <v>72</v>
      </c>
      <c r="K301" s="29">
        <v>-1</v>
      </c>
      <c r="L301" s="31">
        <v>1680000712841</v>
      </c>
      <c r="M301" s="28">
        <v>45296</v>
      </c>
      <c r="N301" s="30">
        <v>0.70487268518518997</v>
      </c>
      <c r="O301" s="27" t="s">
        <v>140</v>
      </c>
      <c r="P301" s="137"/>
      <c r="Q301" t="str">
        <f>IFERROR(IF((_xlfn.XLOOKUP(A301,'Set of Installation'!A:A,'Set of Installation'!C:C)+1)&gt;ABS(K301),"OK","Overusage"),"")</f>
        <v>OK</v>
      </c>
      <c r="R301" t="str">
        <f>_xlfn.XLOOKUP(C301,'Checking(ZSERIALS)'!E:E,'Checking(ZSERIALS)'!F:F)</f>
        <v>CHRISTBELLA CONSTRUCTION MANAGEMENT</v>
      </c>
    </row>
    <row r="302" spans="1:18" x14ac:dyDescent="0.3">
      <c r="A302" s="27">
        <v>40000052</v>
      </c>
      <c r="B302" s="27" t="s">
        <v>17</v>
      </c>
      <c r="C302" s="27">
        <v>4500866</v>
      </c>
      <c r="D302" s="27">
        <v>1000</v>
      </c>
      <c r="E302" s="27" t="s">
        <v>53</v>
      </c>
      <c r="F302" s="27" t="s">
        <v>73</v>
      </c>
      <c r="G302" s="27">
        <v>4900013228</v>
      </c>
      <c r="H302" s="27" t="s">
        <v>54</v>
      </c>
      <c r="I302" s="28">
        <v>45296</v>
      </c>
      <c r="J302" s="27" t="s">
        <v>72</v>
      </c>
      <c r="K302" s="29">
        <v>-1</v>
      </c>
      <c r="L302" s="31">
        <v>1680000700036</v>
      </c>
      <c r="M302" s="28">
        <v>45296</v>
      </c>
      <c r="N302" s="30">
        <v>0.56253472222222001</v>
      </c>
      <c r="O302" s="27" t="s">
        <v>134</v>
      </c>
      <c r="P302" s="137"/>
      <c r="Q302" t="str">
        <f>IFERROR(IF((_xlfn.XLOOKUP(A302,'Set of Installation'!A:A,'Set of Installation'!C:C)+1)&gt;ABS(K302),"OK","Overusage"),"")</f>
        <v>OK</v>
      </c>
      <c r="R302" t="str">
        <f>_xlfn.XLOOKUP(C302,'Checking(ZSERIALS)'!E:E,'Checking(ZSERIALS)'!F:F)</f>
        <v>CHRISTBELLA CONSTRUCTION MANAGEMENT</v>
      </c>
    </row>
    <row r="303" spans="1:18" x14ac:dyDescent="0.3">
      <c r="A303" s="27">
        <v>40000052</v>
      </c>
      <c r="B303" s="27" t="s">
        <v>17</v>
      </c>
      <c r="C303" s="27">
        <v>4500866</v>
      </c>
      <c r="D303" s="27">
        <v>1000</v>
      </c>
      <c r="E303" s="27" t="s">
        <v>53</v>
      </c>
      <c r="F303" s="27" t="s">
        <v>73</v>
      </c>
      <c r="G303" s="27">
        <v>4900013196</v>
      </c>
      <c r="H303" s="27" t="s">
        <v>54</v>
      </c>
      <c r="I303" s="28">
        <v>45296</v>
      </c>
      <c r="J303" s="27" t="s">
        <v>72</v>
      </c>
      <c r="K303" s="29">
        <v>-1</v>
      </c>
      <c r="L303" s="31">
        <v>1680000711607</v>
      </c>
      <c r="M303" s="28">
        <v>45296</v>
      </c>
      <c r="N303" s="30">
        <v>0.55972222222222001</v>
      </c>
      <c r="O303" s="27" t="s">
        <v>131</v>
      </c>
      <c r="P303" s="137"/>
      <c r="Q303" t="str">
        <f>IFERROR(IF((_xlfn.XLOOKUP(A303,'Set of Installation'!A:A,'Set of Installation'!C:C)+1)&gt;ABS(K303),"OK","Overusage"),"")</f>
        <v>OK</v>
      </c>
      <c r="R303" t="str">
        <f>_xlfn.XLOOKUP(C303,'Checking(ZSERIALS)'!E:E,'Checking(ZSERIALS)'!F:F)</f>
        <v>CHRISTBELLA CONSTRUCTION MANAGEMENT</v>
      </c>
    </row>
    <row r="304" spans="1:18" x14ac:dyDescent="0.3">
      <c r="A304" s="27">
        <v>40000052</v>
      </c>
      <c r="B304" s="27" t="s">
        <v>17</v>
      </c>
      <c r="C304" s="27">
        <v>4500866</v>
      </c>
      <c r="D304" s="27">
        <v>1000</v>
      </c>
      <c r="E304" s="27" t="s">
        <v>53</v>
      </c>
      <c r="F304" s="27" t="s">
        <v>73</v>
      </c>
      <c r="G304" s="27">
        <v>4900015074</v>
      </c>
      <c r="H304" s="27" t="s">
        <v>54</v>
      </c>
      <c r="I304" s="28">
        <v>45296</v>
      </c>
      <c r="J304" s="27" t="s">
        <v>72</v>
      </c>
      <c r="K304" s="29">
        <v>-1</v>
      </c>
      <c r="L304" s="31">
        <v>1680000714015</v>
      </c>
      <c r="M304" s="28">
        <v>45296</v>
      </c>
      <c r="N304" s="30">
        <v>0.74515046296295995</v>
      </c>
      <c r="O304" s="27" t="s">
        <v>143</v>
      </c>
      <c r="P304" s="137"/>
      <c r="Q304" t="str">
        <f>IFERROR(IF((_xlfn.XLOOKUP(A304,'Set of Installation'!A:A,'Set of Installation'!C:C)+1)&gt;ABS(K304),"OK","Overusage"),"")</f>
        <v>OK</v>
      </c>
      <c r="R304" t="str">
        <f>_xlfn.XLOOKUP(C304,'Checking(ZSERIALS)'!E:E,'Checking(ZSERIALS)'!F:F)</f>
        <v>CHRISTBELLA CONSTRUCTION MANAGEMENT</v>
      </c>
    </row>
    <row r="305" spans="1:18" x14ac:dyDescent="0.3">
      <c r="A305" s="27">
        <v>40000052</v>
      </c>
      <c r="B305" s="27" t="s">
        <v>17</v>
      </c>
      <c r="C305" s="27">
        <v>4500866</v>
      </c>
      <c r="D305" s="27">
        <v>1000</v>
      </c>
      <c r="E305" s="27" t="s">
        <v>53</v>
      </c>
      <c r="F305" s="27" t="s">
        <v>73</v>
      </c>
      <c r="G305" s="27">
        <v>4900014043</v>
      </c>
      <c r="H305" s="27" t="s">
        <v>54</v>
      </c>
      <c r="I305" s="28">
        <v>45296</v>
      </c>
      <c r="J305" s="27" t="s">
        <v>72</v>
      </c>
      <c r="K305" s="29">
        <v>-1</v>
      </c>
      <c r="L305" s="31">
        <v>1680000712396</v>
      </c>
      <c r="M305" s="28">
        <v>45296</v>
      </c>
      <c r="N305" s="30">
        <v>0.65347222222222001</v>
      </c>
      <c r="O305" s="27" t="s">
        <v>137</v>
      </c>
      <c r="P305" s="137"/>
      <c r="Q305" t="str">
        <f>IFERROR(IF((_xlfn.XLOOKUP(A305,'Set of Installation'!A:A,'Set of Installation'!C:C)+1)&gt;ABS(K305),"OK","Overusage"),"")</f>
        <v>OK</v>
      </c>
      <c r="R305" t="str">
        <f>_xlfn.XLOOKUP(C305,'Checking(ZSERIALS)'!E:E,'Checking(ZSERIALS)'!F:F)</f>
        <v>CHRISTBELLA CONSTRUCTION MANAGEMENT</v>
      </c>
    </row>
    <row r="306" spans="1:18" x14ac:dyDescent="0.3">
      <c r="A306" s="27">
        <v>40000052</v>
      </c>
      <c r="B306" s="27" t="s">
        <v>17</v>
      </c>
      <c r="C306" s="27">
        <v>4500866</v>
      </c>
      <c r="D306" s="27">
        <v>1000</v>
      </c>
      <c r="E306" s="27" t="s">
        <v>53</v>
      </c>
      <c r="F306" s="27" t="s">
        <v>73</v>
      </c>
      <c r="G306" s="27">
        <v>4900012852</v>
      </c>
      <c r="H306" s="27" t="s">
        <v>54</v>
      </c>
      <c r="I306" s="28">
        <v>45296</v>
      </c>
      <c r="J306" s="27" t="s">
        <v>72</v>
      </c>
      <c r="K306" s="29">
        <v>-1</v>
      </c>
      <c r="L306" s="31">
        <v>1680000710201</v>
      </c>
      <c r="M306" s="28">
        <v>45296</v>
      </c>
      <c r="N306" s="30">
        <v>0.51946759259259001</v>
      </c>
      <c r="O306" s="27" t="s">
        <v>125</v>
      </c>
      <c r="P306" s="137"/>
      <c r="Q306" t="str">
        <f>IFERROR(IF((_xlfn.XLOOKUP(A306,'Set of Installation'!A:A,'Set of Installation'!C:C)+1)&gt;ABS(K306),"OK","Overusage"),"")</f>
        <v>OK</v>
      </c>
      <c r="R306" t="str">
        <f>_xlfn.XLOOKUP(C306,'Checking(ZSERIALS)'!E:E,'Checking(ZSERIALS)'!F:F)</f>
        <v>CHRISTBELLA CONSTRUCTION MANAGEMENT</v>
      </c>
    </row>
    <row r="307" spans="1:18" x14ac:dyDescent="0.3">
      <c r="A307" s="27">
        <v>40000052</v>
      </c>
      <c r="B307" s="27" t="s">
        <v>17</v>
      </c>
      <c r="C307" s="27">
        <v>4500866</v>
      </c>
      <c r="D307" s="27">
        <v>1000</v>
      </c>
      <c r="E307" s="27" t="s">
        <v>53</v>
      </c>
      <c r="F307" s="27" t="s">
        <v>73</v>
      </c>
      <c r="G307" s="27">
        <v>4900013013</v>
      </c>
      <c r="H307" s="27" t="s">
        <v>54</v>
      </c>
      <c r="I307" s="28">
        <v>45296</v>
      </c>
      <c r="J307" s="27" t="s">
        <v>72</v>
      </c>
      <c r="K307" s="29">
        <v>-1</v>
      </c>
      <c r="L307" s="31">
        <v>1680000708409</v>
      </c>
      <c r="M307" s="28">
        <v>45296</v>
      </c>
      <c r="N307" s="30">
        <v>0.53752314814815005</v>
      </c>
      <c r="O307" s="27" t="s">
        <v>128</v>
      </c>
      <c r="P307" s="137"/>
      <c r="Q307" t="str">
        <f>IFERROR(IF((_xlfn.XLOOKUP(A307,'Set of Installation'!A:A,'Set of Installation'!C:C)+1)&gt;ABS(K307),"OK","Overusage"),"")</f>
        <v>OK</v>
      </c>
      <c r="R307" t="str">
        <f>_xlfn.XLOOKUP(C307,'Checking(ZSERIALS)'!E:E,'Checking(ZSERIALS)'!F:F)</f>
        <v>CHRISTBELLA CONSTRUCTION MANAGEMENT</v>
      </c>
    </row>
    <row r="308" spans="1:18" x14ac:dyDescent="0.3">
      <c r="A308" s="27">
        <v>40000052</v>
      </c>
      <c r="B308" s="27" t="s">
        <v>17</v>
      </c>
      <c r="C308" s="27">
        <v>4500866</v>
      </c>
      <c r="D308" s="27">
        <v>1000</v>
      </c>
      <c r="E308" s="27" t="s">
        <v>53</v>
      </c>
      <c r="F308" s="27" t="s">
        <v>73</v>
      </c>
      <c r="G308" s="27">
        <v>4900015408</v>
      </c>
      <c r="H308" s="27" t="s">
        <v>54</v>
      </c>
      <c r="I308" s="28">
        <v>45296</v>
      </c>
      <c r="J308" s="27" t="s">
        <v>72</v>
      </c>
      <c r="K308" s="29">
        <v>-1</v>
      </c>
      <c r="L308" s="31">
        <v>1680000713356</v>
      </c>
      <c r="M308" s="28">
        <v>45296</v>
      </c>
      <c r="N308" s="30">
        <v>0.78545138888888999</v>
      </c>
      <c r="O308" s="27" t="s">
        <v>146</v>
      </c>
      <c r="P308" s="137"/>
      <c r="Q308" t="str">
        <f>IFERROR(IF((_xlfn.XLOOKUP(A308,'Set of Installation'!A:A,'Set of Installation'!C:C)+1)&gt;ABS(K308),"OK","Overusage"),"")</f>
        <v>OK</v>
      </c>
      <c r="R308" t="str">
        <f>_xlfn.XLOOKUP(C308,'Checking(ZSERIALS)'!E:E,'Checking(ZSERIALS)'!F:F)</f>
        <v>CHRISTBELLA CONSTRUCTION MANAGEMENT</v>
      </c>
    </row>
    <row r="309" spans="1:18" x14ac:dyDescent="0.3">
      <c r="A309" s="27">
        <v>40000052</v>
      </c>
      <c r="B309" s="27" t="s">
        <v>17</v>
      </c>
      <c r="C309" s="27">
        <v>4500866</v>
      </c>
      <c r="D309" s="27">
        <v>1000</v>
      </c>
      <c r="E309" s="27" t="s">
        <v>53</v>
      </c>
      <c r="F309" s="27" t="s">
        <v>73</v>
      </c>
      <c r="G309" s="27">
        <v>4900010391</v>
      </c>
      <c r="H309" s="27" t="s">
        <v>54</v>
      </c>
      <c r="I309" s="28">
        <v>45295</v>
      </c>
      <c r="J309" s="27" t="s">
        <v>72</v>
      </c>
      <c r="K309" s="29">
        <v>-1</v>
      </c>
      <c r="L309" s="31">
        <v>1680000710858</v>
      </c>
      <c r="M309" s="28">
        <v>45295</v>
      </c>
      <c r="N309" s="30">
        <v>0.77778935185185005</v>
      </c>
      <c r="O309" s="27" t="s">
        <v>119</v>
      </c>
      <c r="P309" s="137"/>
      <c r="Q309" t="str">
        <f>IFERROR(IF((_xlfn.XLOOKUP(A309,'Set of Installation'!A:A,'Set of Installation'!C:C)+1)&gt;ABS(K309),"OK","Overusage"),"")</f>
        <v>OK</v>
      </c>
      <c r="R309" t="str">
        <f>_xlfn.XLOOKUP(C309,'Checking(ZSERIALS)'!E:E,'Checking(ZSERIALS)'!F:F)</f>
        <v>CHRISTBELLA CONSTRUCTION MANAGEMENT</v>
      </c>
    </row>
    <row r="310" spans="1:18" x14ac:dyDescent="0.3">
      <c r="A310" s="27">
        <v>40000052</v>
      </c>
      <c r="B310" s="27" t="s">
        <v>17</v>
      </c>
      <c r="C310" s="27">
        <v>4500866</v>
      </c>
      <c r="D310" s="27">
        <v>1000</v>
      </c>
      <c r="E310" s="27" t="s">
        <v>53</v>
      </c>
      <c r="F310" s="27" t="s">
        <v>73</v>
      </c>
      <c r="G310" s="27">
        <v>4900010287</v>
      </c>
      <c r="H310" s="27" t="s">
        <v>54</v>
      </c>
      <c r="I310" s="28">
        <v>45295</v>
      </c>
      <c r="J310" s="27" t="s">
        <v>72</v>
      </c>
      <c r="K310" s="29">
        <v>-1</v>
      </c>
      <c r="L310" s="31">
        <v>1680000706966</v>
      </c>
      <c r="M310" s="28">
        <v>45295</v>
      </c>
      <c r="N310" s="30">
        <v>0.76525462962962998</v>
      </c>
      <c r="O310" s="27" t="s">
        <v>116</v>
      </c>
      <c r="P310" s="137"/>
      <c r="Q310" t="str">
        <f>IFERROR(IF((_xlfn.XLOOKUP(A310,'Set of Installation'!A:A,'Set of Installation'!C:C)+1)&gt;ABS(K310),"OK","Overusage"),"")</f>
        <v>OK</v>
      </c>
      <c r="R310" t="str">
        <f>_xlfn.XLOOKUP(C310,'Checking(ZSERIALS)'!E:E,'Checking(ZSERIALS)'!F:F)</f>
        <v>CHRISTBELLA CONSTRUCTION MANAGEMENT</v>
      </c>
    </row>
    <row r="311" spans="1:18" x14ac:dyDescent="0.3">
      <c r="A311" s="27">
        <v>40000052</v>
      </c>
      <c r="B311" s="27" t="s">
        <v>17</v>
      </c>
      <c r="C311" s="27">
        <v>4500866</v>
      </c>
      <c r="D311" s="27">
        <v>1000</v>
      </c>
      <c r="E311" s="27" t="s">
        <v>53</v>
      </c>
      <c r="F311" s="27" t="s">
        <v>73</v>
      </c>
      <c r="G311" s="27">
        <v>4900010420</v>
      </c>
      <c r="H311" s="27" t="s">
        <v>54</v>
      </c>
      <c r="I311" s="28">
        <v>45295</v>
      </c>
      <c r="J311" s="27" t="s">
        <v>72</v>
      </c>
      <c r="K311" s="29">
        <v>-1</v>
      </c>
      <c r="L311" s="31">
        <v>1680000710820</v>
      </c>
      <c r="M311" s="28">
        <v>45295</v>
      </c>
      <c r="N311" s="30">
        <v>0.78190972222221999</v>
      </c>
      <c r="O311" s="27" t="s">
        <v>122</v>
      </c>
      <c r="P311" s="137"/>
      <c r="Q311" t="str">
        <f>IFERROR(IF((_xlfn.XLOOKUP(A311,'Set of Installation'!A:A,'Set of Installation'!C:C)+1)&gt;ABS(K311),"OK","Overusage"),"")</f>
        <v>OK</v>
      </c>
      <c r="R311" t="str">
        <f>_xlfn.XLOOKUP(C311,'Checking(ZSERIALS)'!E:E,'Checking(ZSERIALS)'!F:F)</f>
        <v>CHRISTBELLA CONSTRUCTION MANAGEMENT</v>
      </c>
    </row>
    <row r="312" spans="1:18" x14ac:dyDescent="0.3">
      <c r="A312" s="27">
        <v>40000052</v>
      </c>
      <c r="B312" s="27" t="s">
        <v>17</v>
      </c>
      <c r="C312" s="27">
        <v>4500866</v>
      </c>
      <c r="D312" s="27">
        <v>1000</v>
      </c>
      <c r="E312" s="27" t="s">
        <v>53</v>
      </c>
      <c r="F312" s="27" t="s">
        <v>73</v>
      </c>
      <c r="G312" s="27">
        <v>4900008763</v>
      </c>
      <c r="H312" s="27" t="s">
        <v>54</v>
      </c>
      <c r="I312" s="28">
        <v>45295</v>
      </c>
      <c r="J312" s="27" t="s">
        <v>72</v>
      </c>
      <c r="K312" s="29">
        <v>-1</v>
      </c>
      <c r="L312" s="31">
        <v>1680000692316</v>
      </c>
      <c r="M312" s="28">
        <v>45295</v>
      </c>
      <c r="N312" s="30">
        <v>0.61111111111111005</v>
      </c>
      <c r="O312" s="27" t="s">
        <v>113</v>
      </c>
      <c r="P312" s="137"/>
      <c r="Q312" t="str">
        <f>IFERROR(IF((_xlfn.XLOOKUP(A312,'Set of Installation'!A:A,'Set of Installation'!C:C)+1)&gt;ABS(K312),"OK","Overusage"),"")</f>
        <v>OK</v>
      </c>
      <c r="R312" t="str">
        <f>_xlfn.XLOOKUP(C312,'Checking(ZSERIALS)'!E:E,'Checking(ZSERIALS)'!F:F)</f>
        <v>CHRISTBELLA CONSTRUCTION MANAGEMENT</v>
      </c>
    </row>
    <row r="313" spans="1:18" x14ac:dyDescent="0.3">
      <c r="A313" s="27">
        <v>40000052</v>
      </c>
      <c r="B313" s="27" t="s">
        <v>17</v>
      </c>
      <c r="C313" s="27">
        <v>4500866</v>
      </c>
      <c r="D313" s="27">
        <v>1000</v>
      </c>
      <c r="E313" s="27" t="s">
        <v>53</v>
      </c>
      <c r="F313" s="27" t="s">
        <v>73</v>
      </c>
      <c r="G313" s="27">
        <v>4900004106</v>
      </c>
      <c r="H313" s="27" t="s">
        <v>54</v>
      </c>
      <c r="I313" s="28">
        <v>45294</v>
      </c>
      <c r="J313" s="27" t="s">
        <v>72</v>
      </c>
      <c r="K313" s="29">
        <v>-1</v>
      </c>
      <c r="L313" s="31">
        <v>1680000701938</v>
      </c>
      <c r="M313" s="28">
        <v>45294</v>
      </c>
      <c r="N313" s="30">
        <v>0.60273148148148004</v>
      </c>
      <c r="O313" s="27" t="s">
        <v>110</v>
      </c>
      <c r="P313" s="137"/>
      <c r="Q313" t="str">
        <f>IFERROR(IF((_xlfn.XLOOKUP(A313,'Set of Installation'!A:A,'Set of Installation'!C:C)+1)&gt;ABS(K313),"OK","Overusage"),"")</f>
        <v>OK</v>
      </c>
      <c r="R313" t="str">
        <f>_xlfn.XLOOKUP(C313,'Checking(ZSERIALS)'!E:E,'Checking(ZSERIALS)'!F:F)</f>
        <v>CHRISTBELLA CONSTRUCTION MANAGEMENT</v>
      </c>
    </row>
    <row r="314" spans="1:18" x14ac:dyDescent="0.3">
      <c r="A314" s="27">
        <v>40000052</v>
      </c>
      <c r="B314" s="27" t="s">
        <v>17</v>
      </c>
      <c r="C314" s="27">
        <v>4500866</v>
      </c>
      <c r="D314" s="27">
        <v>1000</v>
      </c>
      <c r="E314" s="27" t="s">
        <v>53</v>
      </c>
      <c r="F314" s="27" t="s">
        <v>73</v>
      </c>
      <c r="G314" s="27">
        <v>4900003797</v>
      </c>
      <c r="H314" s="27" t="s">
        <v>54</v>
      </c>
      <c r="I314" s="28">
        <v>45294</v>
      </c>
      <c r="J314" s="27" t="s">
        <v>72</v>
      </c>
      <c r="K314" s="29">
        <v>-1</v>
      </c>
      <c r="L314" s="31">
        <v>1680000705942</v>
      </c>
      <c r="M314" s="28">
        <v>45294</v>
      </c>
      <c r="N314" s="30">
        <v>0.56662037037037005</v>
      </c>
      <c r="O314" s="27" t="s">
        <v>107</v>
      </c>
      <c r="P314" s="137"/>
      <c r="Q314" t="str">
        <f>IFERROR(IF((_xlfn.XLOOKUP(A314,'Set of Installation'!A:A,'Set of Installation'!C:C)+1)&gt;ABS(K314),"OK","Overusage"),"")</f>
        <v>OK</v>
      </c>
      <c r="R314" t="str">
        <f>_xlfn.XLOOKUP(C314,'Checking(ZSERIALS)'!E:E,'Checking(ZSERIALS)'!F:F)</f>
        <v>CHRISTBELLA CONSTRUCTION MANAGEMENT</v>
      </c>
    </row>
    <row r="315" spans="1:18" x14ac:dyDescent="0.3">
      <c r="A315" s="27">
        <v>40000052</v>
      </c>
      <c r="B315" s="27" t="s">
        <v>17</v>
      </c>
      <c r="C315" s="27">
        <v>4500866</v>
      </c>
      <c r="D315" s="27">
        <v>1000</v>
      </c>
      <c r="E315" s="27" t="s">
        <v>53</v>
      </c>
      <c r="F315" s="27" t="s">
        <v>73</v>
      </c>
      <c r="G315" s="27">
        <v>4900141595</v>
      </c>
      <c r="H315" s="27" t="s">
        <v>54</v>
      </c>
      <c r="I315" s="28">
        <v>45291</v>
      </c>
      <c r="J315" s="27" t="s">
        <v>72</v>
      </c>
      <c r="K315" s="29">
        <v>-1</v>
      </c>
      <c r="L315" s="31">
        <v>1680000698441</v>
      </c>
      <c r="M315" s="28">
        <v>45291</v>
      </c>
      <c r="N315" s="30">
        <v>0.70130787037037001</v>
      </c>
      <c r="O315" s="27" t="s">
        <v>410</v>
      </c>
      <c r="P315" s="137"/>
      <c r="Q315" t="str">
        <f>IFERROR(IF((_xlfn.XLOOKUP(A315,'Set of Installation'!A:A,'Set of Installation'!C:C)+1)&gt;ABS(K315),"OK","Overusage"),"")</f>
        <v>OK</v>
      </c>
      <c r="R315" t="str">
        <f>_xlfn.XLOOKUP(C315,'Checking(ZSERIALS)'!E:E,'Checking(ZSERIALS)'!F:F)</f>
        <v>CHRISTBELLA CONSTRUCTION MANAGEMENT</v>
      </c>
    </row>
    <row r="316" spans="1:18" x14ac:dyDescent="0.3">
      <c r="A316" s="27">
        <v>40000052</v>
      </c>
      <c r="B316" s="27" t="s">
        <v>17</v>
      </c>
      <c r="C316" s="27">
        <v>4500866</v>
      </c>
      <c r="D316" s="27">
        <v>1000</v>
      </c>
      <c r="E316" s="27" t="s">
        <v>53</v>
      </c>
      <c r="F316" s="27" t="s">
        <v>73</v>
      </c>
      <c r="G316" s="27">
        <v>4900141377</v>
      </c>
      <c r="H316" s="27" t="s">
        <v>54</v>
      </c>
      <c r="I316" s="28">
        <v>45291</v>
      </c>
      <c r="J316" s="27" t="s">
        <v>72</v>
      </c>
      <c r="K316" s="29">
        <v>-1</v>
      </c>
      <c r="L316" s="31">
        <v>1680000703147</v>
      </c>
      <c r="M316" s="28">
        <v>45291</v>
      </c>
      <c r="N316" s="30">
        <v>0.62630787037036995</v>
      </c>
      <c r="O316" s="27" t="s">
        <v>401</v>
      </c>
      <c r="P316" s="137"/>
      <c r="Q316" t="str">
        <f>IFERROR(IF((_xlfn.XLOOKUP(A316,'Set of Installation'!A:A,'Set of Installation'!C:C)+1)&gt;ABS(K316),"OK","Overusage"),"")</f>
        <v>OK</v>
      </c>
      <c r="R316" t="str">
        <f>_xlfn.XLOOKUP(C316,'Checking(ZSERIALS)'!E:E,'Checking(ZSERIALS)'!F:F)</f>
        <v>CHRISTBELLA CONSTRUCTION MANAGEMENT</v>
      </c>
    </row>
    <row r="317" spans="1:18" x14ac:dyDescent="0.3">
      <c r="A317" s="27">
        <v>40000052</v>
      </c>
      <c r="B317" s="27" t="s">
        <v>17</v>
      </c>
      <c r="C317" s="27">
        <v>4500866</v>
      </c>
      <c r="D317" s="27">
        <v>1000</v>
      </c>
      <c r="E317" s="27" t="s">
        <v>53</v>
      </c>
      <c r="F317" s="27" t="s">
        <v>73</v>
      </c>
      <c r="G317" s="27">
        <v>4900140958</v>
      </c>
      <c r="H317" s="27" t="s">
        <v>54</v>
      </c>
      <c r="I317" s="28">
        <v>45291</v>
      </c>
      <c r="J317" s="27" t="s">
        <v>72</v>
      </c>
      <c r="K317" s="29">
        <v>-1</v>
      </c>
      <c r="L317" s="31">
        <v>1680000701780</v>
      </c>
      <c r="M317" s="28">
        <v>45291</v>
      </c>
      <c r="N317" s="30">
        <v>0.52074074074073995</v>
      </c>
      <c r="O317" s="27" t="s">
        <v>395</v>
      </c>
      <c r="P317" s="137"/>
      <c r="Q317" t="str">
        <f>IFERROR(IF((_xlfn.XLOOKUP(A317,'Set of Installation'!A:A,'Set of Installation'!C:C)+1)&gt;ABS(K317),"OK","Overusage"),"")</f>
        <v>OK</v>
      </c>
      <c r="R317" t="str">
        <f>_xlfn.XLOOKUP(C317,'Checking(ZSERIALS)'!E:E,'Checking(ZSERIALS)'!F:F)</f>
        <v>CHRISTBELLA CONSTRUCTION MANAGEMENT</v>
      </c>
    </row>
    <row r="318" spans="1:18" x14ac:dyDescent="0.3">
      <c r="A318" s="27">
        <v>40000052</v>
      </c>
      <c r="B318" s="27" t="s">
        <v>17</v>
      </c>
      <c r="C318" s="27">
        <v>4500866</v>
      </c>
      <c r="D318" s="27">
        <v>1000</v>
      </c>
      <c r="E318" s="27" t="s">
        <v>53</v>
      </c>
      <c r="F318" s="27" t="s">
        <v>73</v>
      </c>
      <c r="G318" s="27">
        <v>4900140569</v>
      </c>
      <c r="H318" s="27" t="s">
        <v>54</v>
      </c>
      <c r="I318" s="28">
        <v>45291</v>
      </c>
      <c r="J318" s="27" t="s">
        <v>72</v>
      </c>
      <c r="K318" s="29">
        <v>-1</v>
      </c>
      <c r="L318" s="31">
        <v>1680000701674</v>
      </c>
      <c r="M318" s="28">
        <v>45291</v>
      </c>
      <c r="N318" s="30">
        <v>0.42490740740741001</v>
      </c>
      <c r="O318" s="27" t="s">
        <v>392</v>
      </c>
      <c r="P318" s="137"/>
      <c r="Q318" t="str">
        <f>IFERROR(IF((_xlfn.XLOOKUP(A318,'Set of Installation'!A:A,'Set of Installation'!C:C)+1)&gt;ABS(K318),"OK","Overusage"),"")</f>
        <v>OK</v>
      </c>
      <c r="R318" t="str">
        <f>_xlfn.XLOOKUP(C318,'Checking(ZSERIALS)'!E:E,'Checking(ZSERIALS)'!F:F)</f>
        <v>CHRISTBELLA CONSTRUCTION MANAGEMENT</v>
      </c>
    </row>
    <row r="319" spans="1:18" x14ac:dyDescent="0.3">
      <c r="A319" s="27">
        <v>40000052</v>
      </c>
      <c r="B319" s="27" t="s">
        <v>17</v>
      </c>
      <c r="C319" s="27">
        <v>4500866</v>
      </c>
      <c r="D319" s="27">
        <v>1000</v>
      </c>
      <c r="E319" s="27" t="s">
        <v>53</v>
      </c>
      <c r="F319" s="27" t="s">
        <v>73</v>
      </c>
      <c r="G319" s="27">
        <v>4900140012</v>
      </c>
      <c r="H319" s="27" t="s">
        <v>54</v>
      </c>
      <c r="I319" s="28">
        <v>45290</v>
      </c>
      <c r="J319" s="27" t="s">
        <v>72</v>
      </c>
      <c r="K319" s="29">
        <v>-1</v>
      </c>
      <c r="L319" s="31">
        <v>1680000701541</v>
      </c>
      <c r="M319" s="28">
        <v>45290</v>
      </c>
      <c r="N319" s="30">
        <v>0.92768518518519005</v>
      </c>
      <c r="O319" s="27" t="s">
        <v>389</v>
      </c>
      <c r="P319" s="137"/>
      <c r="Q319" t="str">
        <f>IFERROR(IF((_xlfn.XLOOKUP(A319,'Set of Installation'!A:A,'Set of Installation'!C:C)+1)&gt;ABS(K319),"OK","Overusage"),"")</f>
        <v>OK</v>
      </c>
      <c r="R319" t="str">
        <f>_xlfn.XLOOKUP(C319,'Checking(ZSERIALS)'!E:E,'Checking(ZSERIALS)'!F:F)</f>
        <v>CHRISTBELLA CONSTRUCTION MANAGEMENT</v>
      </c>
    </row>
    <row r="320" spans="1:18" x14ac:dyDescent="0.3">
      <c r="A320" s="27">
        <v>40000052</v>
      </c>
      <c r="B320" s="27" t="s">
        <v>17</v>
      </c>
      <c r="C320" s="27">
        <v>4500866</v>
      </c>
      <c r="D320" s="27">
        <v>1000</v>
      </c>
      <c r="E320" s="27" t="s">
        <v>53</v>
      </c>
      <c r="F320" s="27" t="s">
        <v>73</v>
      </c>
      <c r="G320" s="27">
        <v>4900138147</v>
      </c>
      <c r="H320" s="27" t="s">
        <v>54</v>
      </c>
      <c r="I320" s="28">
        <v>45290</v>
      </c>
      <c r="J320" s="27" t="s">
        <v>72</v>
      </c>
      <c r="K320" s="29">
        <v>-1</v>
      </c>
      <c r="L320" s="31">
        <v>1680000697080</v>
      </c>
      <c r="M320" s="28">
        <v>45290</v>
      </c>
      <c r="N320" s="30">
        <v>0.65128472222222</v>
      </c>
      <c r="O320" s="27" t="s">
        <v>383</v>
      </c>
      <c r="P320" s="137"/>
      <c r="Q320" t="str">
        <f>IFERROR(IF((_xlfn.XLOOKUP(A320,'Set of Installation'!A:A,'Set of Installation'!C:C)+1)&gt;ABS(K320),"OK","Overusage"),"")</f>
        <v>OK</v>
      </c>
      <c r="R320" t="str">
        <f>_xlfn.XLOOKUP(C320,'Checking(ZSERIALS)'!E:E,'Checking(ZSERIALS)'!F:F)</f>
        <v>CHRISTBELLA CONSTRUCTION MANAGEMENT</v>
      </c>
    </row>
    <row r="321" spans="1:18" x14ac:dyDescent="0.3">
      <c r="A321" s="27">
        <v>40000052</v>
      </c>
      <c r="B321" s="27" t="s">
        <v>17</v>
      </c>
      <c r="C321" s="27">
        <v>4500866</v>
      </c>
      <c r="D321" s="27">
        <v>1000</v>
      </c>
      <c r="E321" s="27" t="s">
        <v>53</v>
      </c>
      <c r="F321" s="27" t="s">
        <v>73</v>
      </c>
      <c r="G321" s="27">
        <v>4900139038</v>
      </c>
      <c r="H321" s="27" t="s">
        <v>54</v>
      </c>
      <c r="I321" s="28">
        <v>45290</v>
      </c>
      <c r="J321" s="27" t="s">
        <v>72</v>
      </c>
      <c r="K321" s="29">
        <v>-1</v>
      </c>
      <c r="L321" s="31">
        <v>1680000700557</v>
      </c>
      <c r="M321" s="28">
        <v>45290</v>
      </c>
      <c r="N321" s="30">
        <v>0.74018518518519005</v>
      </c>
      <c r="O321" s="27" t="s">
        <v>386</v>
      </c>
      <c r="P321" s="137"/>
      <c r="Q321" t="str">
        <f>IFERROR(IF((_xlfn.XLOOKUP(A321,'Set of Installation'!A:A,'Set of Installation'!C:C)+1)&gt;ABS(K321),"OK","Overusage"),"")</f>
        <v>OK</v>
      </c>
      <c r="R321" t="str">
        <f>_xlfn.XLOOKUP(C321,'Checking(ZSERIALS)'!E:E,'Checking(ZSERIALS)'!F:F)</f>
        <v>CHRISTBELLA CONSTRUCTION MANAGEMENT</v>
      </c>
    </row>
    <row r="322" spans="1:18" x14ac:dyDescent="0.3">
      <c r="A322" s="27">
        <v>40000052</v>
      </c>
      <c r="B322" s="27" t="s">
        <v>17</v>
      </c>
      <c r="C322" s="27">
        <v>4500866</v>
      </c>
      <c r="D322" s="27">
        <v>1000</v>
      </c>
      <c r="E322" s="27" t="s">
        <v>53</v>
      </c>
      <c r="F322" s="27" t="s">
        <v>73</v>
      </c>
      <c r="G322" s="27">
        <v>4900136770</v>
      </c>
      <c r="H322" s="27" t="s">
        <v>54</v>
      </c>
      <c r="I322" s="28">
        <v>45290</v>
      </c>
      <c r="J322" s="27" t="s">
        <v>72</v>
      </c>
      <c r="K322" s="29">
        <v>-1</v>
      </c>
      <c r="L322" s="31">
        <v>1680000697589</v>
      </c>
      <c r="M322" s="28">
        <v>45290</v>
      </c>
      <c r="N322" s="30">
        <v>0.48328703703704001</v>
      </c>
      <c r="O322" s="27" t="s">
        <v>377</v>
      </c>
      <c r="P322" s="137"/>
      <c r="Q322" t="str">
        <f>IFERROR(IF((_xlfn.XLOOKUP(A322,'Set of Installation'!A:A,'Set of Installation'!C:C)+1)&gt;ABS(K322),"OK","Overusage"),"")</f>
        <v>OK</v>
      </c>
      <c r="R322" t="str">
        <f>_xlfn.XLOOKUP(C322,'Checking(ZSERIALS)'!E:E,'Checking(ZSERIALS)'!F:F)</f>
        <v>CHRISTBELLA CONSTRUCTION MANAGEMENT</v>
      </c>
    </row>
    <row r="323" spans="1:18" x14ac:dyDescent="0.3">
      <c r="A323" s="27">
        <v>40000052</v>
      </c>
      <c r="B323" s="27" t="s">
        <v>17</v>
      </c>
      <c r="C323" s="27">
        <v>4500866</v>
      </c>
      <c r="D323" s="27">
        <v>1000</v>
      </c>
      <c r="E323" s="27" t="s">
        <v>53</v>
      </c>
      <c r="F323" s="27" t="s">
        <v>73</v>
      </c>
      <c r="G323" s="27">
        <v>4900137896</v>
      </c>
      <c r="H323" s="27" t="s">
        <v>54</v>
      </c>
      <c r="I323" s="28">
        <v>45290</v>
      </c>
      <c r="J323" s="27" t="s">
        <v>72</v>
      </c>
      <c r="K323" s="29">
        <v>-1</v>
      </c>
      <c r="L323" s="31">
        <v>1680000698603</v>
      </c>
      <c r="M323" s="28">
        <v>45290</v>
      </c>
      <c r="N323" s="30">
        <v>0.62631944444443999</v>
      </c>
      <c r="O323" s="27" t="s">
        <v>380</v>
      </c>
      <c r="P323" s="137"/>
      <c r="Q323" t="str">
        <f>IFERROR(IF((_xlfn.XLOOKUP(A323,'Set of Installation'!A:A,'Set of Installation'!C:C)+1)&gt;ABS(K323),"OK","Overusage"),"")</f>
        <v>OK</v>
      </c>
      <c r="R323" t="str">
        <f>_xlfn.XLOOKUP(C323,'Checking(ZSERIALS)'!E:E,'Checking(ZSERIALS)'!F:F)</f>
        <v>CHRISTBELLA CONSTRUCTION MANAGEMENT</v>
      </c>
    </row>
    <row r="324" spans="1:18" x14ac:dyDescent="0.3">
      <c r="A324" s="27">
        <v>40000052</v>
      </c>
      <c r="B324" s="27" t="s">
        <v>17</v>
      </c>
      <c r="C324" s="27">
        <v>4500866</v>
      </c>
      <c r="D324" s="27">
        <v>1000</v>
      </c>
      <c r="E324" s="27" t="s">
        <v>53</v>
      </c>
      <c r="F324" s="27" t="s">
        <v>73</v>
      </c>
      <c r="G324" s="27">
        <v>4900134099</v>
      </c>
      <c r="H324" s="27" t="s">
        <v>54</v>
      </c>
      <c r="I324" s="28">
        <v>45289</v>
      </c>
      <c r="J324" s="27" t="s">
        <v>72</v>
      </c>
      <c r="K324" s="29">
        <v>-1</v>
      </c>
      <c r="L324" s="31">
        <v>1680000700506</v>
      </c>
      <c r="M324" s="28">
        <v>45289</v>
      </c>
      <c r="N324" s="30">
        <v>0.70964120370369999</v>
      </c>
      <c r="O324" s="27" t="s">
        <v>366</v>
      </c>
      <c r="P324" s="137"/>
      <c r="Q324" t="str">
        <f>IFERROR(IF((_xlfn.XLOOKUP(A324,'Set of Installation'!A:A,'Set of Installation'!C:C)+1)&gt;ABS(K324),"OK","Overusage"),"")</f>
        <v>OK</v>
      </c>
      <c r="R324" t="str">
        <f>_xlfn.XLOOKUP(C324,'Checking(ZSERIALS)'!E:E,'Checking(ZSERIALS)'!F:F)</f>
        <v>CHRISTBELLA CONSTRUCTION MANAGEMENT</v>
      </c>
    </row>
    <row r="325" spans="1:18" x14ac:dyDescent="0.3">
      <c r="A325" s="27">
        <v>40000052</v>
      </c>
      <c r="B325" s="27" t="s">
        <v>17</v>
      </c>
      <c r="C325" s="27">
        <v>4500866</v>
      </c>
      <c r="D325" s="27">
        <v>1000</v>
      </c>
      <c r="E325" s="27" t="s">
        <v>53</v>
      </c>
      <c r="F325" s="27" t="s">
        <v>73</v>
      </c>
      <c r="G325" s="27">
        <v>4900134267</v>
      </c>
      <c r="H325" s="27" t="s">
        <v>54</v>
      </c>
      <c r="I325" s="28">
        <v>45289</v>
      </c>
      <c r="J325" s="27" t="s">
        <v>72</v>
      </c>
      <c r="K325" s="29">
        <v>-1</v>
      </c>
      <c r="L325" s="31">
        <v>1680000699442</v>
      </c>
      <c r="M325" s="28">
        <v>45289</v>
      </c>
      <c r="N325" s="30">
        <v>0.72211805555555997</v>
      </c>
      <c r="O325" s="27" t="s">
        <v>369</v>
      </c>
      <c r="P325" s="137"/>
      <c r="Q325" t="str">
        <f>IFERROR(IF((_xlfn.XLOOKUP(A325,'Set of Installation'!A:A,'Set of Installation'!C:C)+1)&gt;ABS(K325),"OK","Overusage"),"")</f>
        <v>OK</v>
      </c>
      <c r="R325" t="str">
        <f>_xlfn.XLOOKUP(C325,'Checking(ZSERIALS)'!E:E,'Checking(ZSERIALS)'!F:F)</f>
        <v>CHRISTBELLA CONSTRUCTION MANAGEMENT</v>
      </c>
    </row>
    <row r="326" spans="1:18" x14ac:dyDescent="0.3">
      <c r="A326" s="27">
        <v>40000052</v>
      </c>
      <c r="B326" s="27" t="s">
        <v>17</v>
      </c>
      <c r="C326" s="27">
        <v>4500866</v>
      </c>
      <c r="D326" s="27">
        <v>1000</v>
      </c>
      <c r="E326" s="27" t="s">
        <v>53</v>
      </c>
      <c r="F326" s="27" t="s">
        <v>73</v>
      </c>
      <c r="G326" s="27">
        <v>4900134950</v>
      </c>
      <c r="H326" s="27" t="s">
        <v>54</v>
      </c>
      <c r="I326" s="28">
        <v>45289</v>
      </c>
      <c r="J326" s="27" t="s">
        <v>72</v>
      </c>
      <c r="K326" s="29">
        <v>-1</v>
      </c>
      <c r="L326" s="31">
        <v>1680000697821</v>
      </c>
      <c r="M326" s="28">
        <v>45289</v>
      </c>
      <c r="N326" s="30">
        <v>0.80824074074074004</v>
      </c>
      <c r="O326" s="27" t="s">
        <v>374</v>
      </c>
      <c r="P326" s="137"/>
      <c r="Q326" t="str">
        <f>IFERROR(IF((_xlfn.XLOOKUP(A326,'Set of Installation'!A:A,'Set of Installation'!C:C)+1)&gt;ABS(K326),"OK","Overusage"),"")</f>
        <v>OK</v>
      </c>
      <c r="R326" t="str">
        <f>_xlfn.XLOOKUP(C326,'Checking(ZSERIALS)'!E:E,'Checking(ZSERIALS)'!F:F)</f>
        <v>CHRISTBELLA CONSTRUCTION MANAGEMENT</v>
      </c>
    </row>
    <row r="327" spans="1:18" x14ac:dyDescent="0.3">
      <c r="A327" s="27">
        <v>40000052</v>
      </c>
      <c r="B327" s="27" t="s">
        <v>17</v>
      </c>
      <c r="C327" s="27">
        <v>4500866</v>
      </c>
      <c r="D327" s="27">
        <v>1000</v>
      </c>
      <c r="E327" s="27" t="s">
        <v>53</v>
      </c>
      <c r="F327" s="27" t="s">
        <v>73</v>
      </c>
      <c r="G327" s="27">
        <v>4900133936</v>
      </c>
      <c r="H327" s="27" t="s">
        <v>54</v>
      </c>
      <c r="I327" s="28">
        <v>45289</v>
      </c>
      <c r="J327" s="27" t="s">
        <v>72</v>
      </c>
      <c r="K327" s="29">
        <v>-1</v>
      </c>
      <c r="L327" s="31">
        <v>1680000700086</v>
      </c>
      <c r="M327" s="28">
        <v>45289</v>
      </c>
      <c r="N327" s="30">
        <v>0.69854166666666995</v>
      </c>
      <c r="O327" s="27" t="s">
        <v>363</v>
      </c>
      <c r="P327" s="137"/>
      <c r="Q327" t="str">
        <f>IFERROR(IF((_xlfn.XLOOKUP(A327,'Set of Installation'!A:A,'Set of Installation'!C:C)+1)&gt;ABS(K327),"OK","Overusage"),"")</f>
        <v>OK</v>
      </c>
      <c r="R327" t="str">
        <f>_xlfn.XLOOKUP(C327,'Checking(ZSERIALS)'!E:E,'Checking(ZSERIALS)'!F:F)</f>
        <v>CHRISTBELLA CONSTRUCTION MANAGEMENT</v>
      </c>
    </row>
    <row r="328" spans="1:18" x14ac:dyDescent="0.3">
      <c r="A328" s="27">
        <v>40000052</v>
      </c>
      <c r="B328" s="27" t="s">
        <v>17</v>
      </c>
      <c r="C328" s="27">
        <v>4500866</v>
      </c>
      <c r="D328" s="27">
        <v>1000</v>
      </c>
      <c r="E328" s="27" t="s">
        <v>53</v>
      </c>
      <c r="F328" s="27" t="s">
        <v>73</v>
      </c>
      <c r="G328" s="27">
        <v>4900135136</v>
      </c>
      <c r="H328" s="27" t="s">
        <v>101</v>
      </c>
      <c r="I328" s="28">
        <v>45289</v>
      </c>
      <c r="J328" s="27" t="s">
        <v>72</v>
      </c>
      <c r="K328" s="29">
        <v>-1</v>
      </c>
      <c r="L328" s="31" t="s">
        <v>103</v>
      </c>
      <c r="M328" s="28">
        <v>45289</v>
      </c>
      <c r="N328" s="30">
        <v>0.83835648148148001</v>
      </c>
      <c r="O328" s="27" t="s">
        <v>104</v>
      </c>
      <c r="P328" s="137"/>
      <c r="Q328" t="str">
        <f>IFERROR(IF((_xlfn.XLOOKUP(A328,'Set of Installation'!A:A,'Set of Installation'!C:C)+1)&gt;ABS(K328),"OK","Overusage"),"")</f>
        <v>OK</v>
      </c>
      <c r="R328" t="str">
        <f>_xlfn.XLOOKUP(C328,'Checking(ZSERIALS)'!E:E,'Checking(ZSERIALS)'!F:F)</f>
        <v>CHRISTBELLA CONSTRUCTION MANAGEMENT</v>
      </c>
    </row>
    <row r="329" spans="1:18" x14ac:dyDescent="0.3">
      <c r="A329" s="27">
        <v>40000052</v>
      </c>
      <c r="B329" s="27" t="s">
        <v>17</v>
      </c>
      <c r="C329" s="27">
        <v>4500866</v>
      </c>
      <c r="D329" s="27">
        <v>1000</v>
      </c>
      <c r="E329" s="27" t="s">
        <v>53</v>
      </c>
      <c r="F329" s="27" t="s">
        <v>73</v>
      </c>
      <c r="G329" s="27">
        <v>4900132654</v>
      </c>
      <c r="H329" s="27" t="s">
        <v>54</v>
      </c>
      <c r="I329" s="28">
        <v>45289</v>
      </c>
      <c r="J329" s="27" t="s">
        <v>72</v>
      </c>
      <c r="K329" s="29">
        <v>-1</v>
      </c>
      <c r="L329" s="31">
        <v>1680000699895</v>
      </c>
      <c r="M329" s="28">
        <v>45289</v>
      </c>
      <c r="N329" s="30">
        <v>0.55685185185185004</v>
      </c>
      <c r="O329" s="27" t="s">
        <v>360</v>
      </c>
      <c r="P329" s="137"/>
      <c r="Q329" t="str">
        <f>IFERROR(IF((_xlfn.XLOOKUP(A329,'Set of Installation'!A:A,'Set of Installation'!C:C)+1)&gt;ABS(K329),"OK","Overusage"),"")</f>
        <v>OK</v>
      </c>
      <c r="R329" t="str">
        <f>_xlfn.XLOOKUP(C329,'Checking(ZSERIALS)'!E:E,'Checking(ZSERIALS)'!F:F)</f>
        <v>CHRISTBELLA CONSTRUCTION MANAGEMENT</v>
      </c>
    </row>
    <row r="330" spans="1:18" x14ac:dyDescent="0.3">
      <c r="A330" s="27">
        <v>40000052</v>
      </c>
      <c r="B330" s="27" t="s">
        <v>17</v>
      </c>
      <c r="C330" s="27">
        <v>4500866</v>
      </c>
      <c r="D330" s="27">
        <v>1000</v>
      </c>
      <c r="E330" s="27" t="s">
        <v>53</v>
      </c>
      <c r="F330" s="27" t="s">
        <v>73</v>
      </c>
      <c r="G330" s="27">
        <v>4900129298</v>
      </c>
      <c r="H330" s="27" t="s">
        <v>54</v>
      </c>
      <c r="I330" s="28">
        <v>45288</v>
      </c>
      <c r="J330" s="27" t="s">
        <v>72</v>
      </c>
      <c r="K330" s="29">
        <v>-1</v>
      </c>
      <c r="L330" s="31">
        <v>1680000696970</v>
      </c>
      <c r="M330" s="28">
        <v>45288</v>
      </c>
      <c r="N330" s="30">
        <v>0.70821759259258998</v>
      </c>
      <c r="O330" s="27" t="s">
        <v>357</v>
      </c>
      <c r="P330" s="137"/>
      <c r="Q330" t="str">
        <f>IFERROR(IF((_xlfn.XLOOKUP(A330,'Set of Installation'!A:A,'Set of Installation'!C:C)+1)&gt;ABS(K330),"OK","Overusage"),"")</f>
        <v>OK</v>
      </c>
      <c r="R330" t="str">
        <f>_xlfn.XLOOKUP(C330,'Checking(ZSERIALS)'!E:E,'Checking(ZSERIALS)'!F:F)</f>
        <v>CHRISTBELLA CONSTRUCTION MANAGEMENT</v>
      </c>
    </row>
    <row r="331" spans="1:18" x14ac:dyDescent="0.3">
      <c r="A331" s="27">
        <v>40000052</v>
      </c>
      <c r="B331" s="27" t="s">
        <v>17</v>
      </c>
      <c r="C331" s="27">
        <v>4500866</v>
      </c>
      <c r="D331" s="27">
        <v>1000</v>
      </c>
      <c r="E331" s="27" t="s">
        <v>53</v>
      </c>
      <c r="F331" s="27" t="s">
        <v>73</v>
      </c>
      <c r="G331" s="27">
        <v>4900129226</v>
      </c>
      <c r="H331" s="27" t="s">
        <v>54</v>
      </c>
      <c r="I331" s="28">
        <v>45288</v>
      </c>
      <c r="J331" s="27" t="s">
        <v>72</v>
      </c>
      <c r="K331" s="29">
        <v>-1</v>
      </c>
      <c r="L331" s="31">
        <v>1680000696047</v>
      </c>
      <c r="M331" s="28">
        <v>45288</v>
      </c>
      <c r="N331" s="30">
        <v>0.69991898148148002</v>
      </c>
      <c r="O331" s="27" t="s">
        <v>354</v>
      </c>
      <c r="P331" s="137"/>
      <c r="Q331" t="str">
        <f>IFERROR(IF((_xlfn.XLOOKUP(A331,'Set of Installation'!A:A,'Set of Installation'!C:C)+1)&gt;ABS(K331),"OK","Overusage"),"")</f>
        <v>OK</v>
      </c>
      <c r="R331" t="str">
        <f>_xlfn.XLOOKUP(C331,'Checking(ZSERIALS)'!E:E,'Checking(ZSERIALS)'!F:F)</f>
        <v>CHRISTBELLA CONSTRUCTION MANAGEMENT</v>
      </c>
    </row>
    <row r="332" spans="1:18" x14ac:dyDescent="0.3">
      <c r="A332" s="27">
        <v>40000052</v>
      </c>
      <c r="B332" s="27" t="s">
        <v>17</v>
      </c>
      <c r="C332" s="27">
        <v>4500866</v>
      </c>
      <c r="D332" s="27">
        <v>1000</v>
      </c>
      <c r="E332" s="27" t="s">
        <v>53</v>
      </c>
      <c r="F332" s="27" t="s">
        <v>73</v>
      </c>
      <c r="G332" s="27">
        <v>4900126968</v>
      </c>
      <c r="H332" s="27" t="s">
        <v>54</v>
      </c>
      <c r="I332" s="28">
        <v>45288</v>
      </c>
      <c r="J332" s="27" t="s">
        <v>72</v>
      </c>
      <c r="K332" s="29">
        <v>-1</v>
      </c>
      <c r="L332" s="31">
        <v>1680000695397</v>
      </c>
      <c r="M332" s="28">
        <v>45288</v>
      </c>
      <c r="N332" s="30">
        <v>0.43185185185184999</v>
      </c>
      <c r="O332" s="27" t="s">
        <v>343</v>
      </c>
      <c r="P332" s="137"/>
      <c r="Q332" t="str">
        <f>IFERROR(IF((_xlfn.XLOOKUP(A332,'Set of Installation'!A:A,'Set of Installation'!C:C)+1)&gt;ABS(K332),"OK","Overusage"),"")</f>
        <v>OK</v>
      </c>
      <c r="R332" t="str">
        <f>_xlfn.XLOOKUP(C332,'Checking(ZSERIALS)'!E:E,'Checking(ZSERIALS)'!F:F)</f>
        <v>CHRISTBELLA CONSTRUCTION MANAGEMENT</v>
      </c>
    </row>
    <row r="333" spans="1:18" x14ac:dyDescent="0.3">
      <c r="A333" s="27">
        <v>40000052</v>
      </c>
      <c r="B333" s="27" t="s">
        <v>17</v>
      </c>
      <c r="C333" s="27">
        <v>4500866</v>
      </c>
      <c r="D333" s="27">
        <v>1000</v>
      </c>
      <c r="E333" s="27" t="s">
        <v>53</v>
      </c>
      <c r="F333" s="27" t="s">
        <v>73</v>
      </c>
      <c r="G333" s="27">
        <v>4900128934</v>
      </c>
      <c r="H333" s="27" t="s">
        <v>54</v>
      </c>
      <c r="I333" s="28">
        <v>45288</v>
      </c>
      <c r="J333" s="27" t="s">
        <v>72</v>
      </c>
      <c r="K333" s="29">
        <v>-1</v>
      </c>
      <c r="L333" s="31">
        <v>1680000697505</v>
      </c>
      <c r="M333" s="28">
        <v>45288</v>
      </c>
      <c r="N333" s="30">
        <v>0.67491898148148</v>
      </c>
      <c r="O333" s="27" t="s">
        <v>349</v>
      </c>
      <c r="P333" s="137"/>
      <c r="Q333" t="str">
        <f>IFERROR(IF((_xlfn.XLOOKUP(A333,'Set of Installation'!A:A,'Set of Installation'!C:C)+1)&gt;ABS(K333),"OK","Overusage"),"")</f>
        <v>OK</v>
      </c>
      <c r="R333" t="str">
        <f>_xlfn.XLOOKUP(C333,'Checking(ZSERIALS)'!E:E,'Checking(ZSERIALS)'!F:F)</f>
        <v>CHRISTBELLA CONSTRUCTION MANAGEMENT</v>
      </c>
    </row>
    <row r="334" spans="1:18" x14ac:dyDescent="0.3">
      <c r="A334" s="27">
        <v>40000052</v>
      </c>
      <c r="B334" s="27" t="s">
        <v>17</v>
      </c>
      <c r="C334" s="27">
        <v>4500866</v>
      </c>
      <c r="D334" s="27">
        <v>1000</v>
      </c>
      <c r="E334" s="27" t="s">
        <v>53</v>
      </c>
      <c r="F334" s="27" t="s">
        <v>73</v>
      </c>
      <c r="G334" s="27">
        <v>4900127847</v>
      </c>
      <c r="H334" s="27" t="s">
        <v>54</v>
      </c>
      <c r="I334" s="28">
        <v>45288</v>
      </c>
      <c r="J334" s="27" t="s">
        <v>72</v>
      </c>
      <c r="K334" s="29">
        <v>-1</v>
      </c>
      <c r="L334" s="31">
        <v>1680000696871</v>
      </c>
      <c r="M334" s="28">
        <v>45288</v>
      </c>
      <c r="N334" s="30">
        <v>0.54297453703704002</v>
      </c>
      <c r="O334" s="27" t="s">
        <v>346</v>
      </c>
      <c r="P334" s="137"/>
      <c r="Q334" t="str">
        <f>IFERROR(IF((_xlfn.XLOOKUP(A334,'Set of Installation'!A:A,'Set of Installation'!C:C)+1)&gt;ABS(K334),"OK","Overusage"),"")</f>
        <v>OK</v>
      </c>
      <c r="R334" t="str">
        <f>_xlfn.XLOOKUP(C334,'Checking(ZSERIALS)'!E:E,'Checking(ZSERIALS)'!F:F)</f>
        <v>CHRISTBELLA CONSTRUCTION MANAGEMENT</v>
      </c>
    </row>
    <row r="335" spans="1:18" x14ac:dyDescent="0.3">
      <c r="A335" s="27">
        <v>40000052</v>
      </c>
      <c r="B335" s="27" t="s">
        <v>17</v>
      </c>
      <c r="C335" s="27">
        <v>4500866</v>
      </c>
      <c r="D335" s="27">
        <v>1000</v>
      </c>
      <c r="E335" s="27" t="s">
        <v>53</v>
      </c>
      <c r="F335" s="27" t="s">
        <v>73</v>
      </c>
      <c r="G335" s="27">
        <v>4900123873</v>
      </c>
      <c r="H335" s="27" t="s">
        <v>54</v>
      </c>
      <c r="I335" s="28">
        <v>45287</v>
      </c>
      <c r="J335" s="27" t="s">
        <v>72</v>
      </c>
      <c r="K335" s="29">
        <v>-1</v>
      </c>
      <c r="L335" s="31">
        <v>1680000693742</v>
      </c>
      <c r="M335" s="28">
        <v>45287</v>
      </c>
      <c r="N335" s="30">
        <v>0.61238425925925999</v>
      </c>
      <c r="O335" s="27" t="s">
        <v>335</v>
      </c>
      <c r="P335" s="137"/>
      <c r="Q335" t="str">
        <f>IFERROR(IF((_xlfn.XLOOKUP(A335,'Set of Installation'!A:A,'Set of Installation'!C:C)+1)&gt;ABS(K335),"OK","Overusage"),"")</f>
        <v>OK</v>
      </c>
      <c r="R335" t="str">
        <f>_xlfn.XLOOKUP(C335,'Checking(ZSERIALS)'!E:E,'Checking(ZSERIALS)'!F:F)</f>
        <v>CHRISTBELLA CONSTRUCTION MANAGEMENT</v>
      </c>
    </row>
    <row r="336" spans="1:18" x14ac:dyDescent="0.3">
      <c r="A336" s="27">
        <v>40000052</v>
      </c>
      <c r="B336" s="27" t="s">
        <v>17</v>
      </c>
      <c r="C336" s="27">
        <v>4500866</v>
      </c>
      <c r="D336" s="27">
        <v>1000</v>
      </c>
      <c r="E336" s="27" t="s">
        <v>53</v>
      </c>
      <c r="F336" s="27" t="s">
        <v>73</v>
      </c>
      <c r="G336" s="27">
        <v>4900125233</v>
      </c>
      <c r="H336" s="27" t="s">
        <v>54</v>
      </c>
      <c r="I336" s="28">
        <v>45287</v>
      </c>
      <c r="J336" s="27" t="s">
        <v>72</v>
      </c>
      <c r="K336" s="29">
        <v>-1</v>
      </c>
      <c r="L336" s="31">
        <v>1680000692270</v>
      </c>
      <c r="M336" s="28">
        <v>45287</v>
      </c>
      <c r="N336" s="30">
        <v>0.75821759259259003</v>
      </c>
      <c r="O336" s="27" t="s">
        <v>340</v>
      </c>
      <c r="P336" s="137"/>
      <c r="Q336" t="str">
        <f>IFERROR(IF((_xlfn.XLOOKUP(A336,'Set of Installation'!A:A,'Set of Installation'!C:C)+1)&gt;ABS(K336),"OK","Overusage"),"")</f>
        <v>OK</v>
      </c>
      <c r="R336" t="str">
        <f>_xlfn.XLOOKUP(C336,'Checking(ZSERIALS)'!E:E,'Checking(ZSERIALS)'!F:F)</f>
        <v>CHRISTBELLA CONSTRUCTION MANAGEMENT</v>
      </c>
    </row>
    <row r="337" spans="1:18" x14ac:dyDescent="0.3">
      <c r="A337" s="27">
        <v>40000052</v>
      </c>
      <c r="B337" s="27" t="s">
        <v>17</v>
      </c>
      <c r="C337" s="27">
        <v>4500866</v>
      </c>
      <c r="D337" s="27">
        <v>1000</v>
      </c>
      <c r="E337" s="27" t="s">
        <v>53</v>
      </c>
      <c r="F337" s="27" t="s">
        <v>73</v>
      </c>
      <c r="G337" s="27">
        <v>4900120407</v>
      </c>
      <c r="H337" s="27" t="s">
        <v>54</v>
      </c>
      <c r="I337" s="28">
        <v>45286</v>
      </c>
      <c r="J337" s="27" t="s">
        <v>72</v>
      </c>
      <c r="K337" s="29">
        <v>-1</v>
      </c>
      <c r="L337" s="31">
        <v>1680000691706</v>
      </c>
      <c r="M337" s="28">
        <v>45286</v>
      </c>
      <c r="N337" s="30">
        <v>0.56234953703704005</v>
      </c>
      <c r="O337" s="27" t="s">
        <v>332</v>
      </c>
      <c r="P337" s="137"/>
      <c r="Q337" t="str">
        <f>IFERROR(IF((_xlfn.XLOOKUP(A337,'Set of Installation'!A:A,'Set of Installation'!C:C)+1)&gt;ABS(K337),"OK","Overusage"),"")</f>
        <v>OK</v>
      </c>
      <c r="R337" t="str">
        <f>_xlfn.XLOOKUP(C337,'Checking(ZSERIALS)'!E:E,'Checking(ZSERIALS)'!F:F)</f>
        <v>CHRISTBELLA CONSTRUCTION MANAGEMENT</v>
      </c>
    </row>
    <row r="338" spans="1:18" x14ac:dyDescent="0.3">
      <c r="A338" s="27">
        <v>40000057</v>
      </c>
      <c r="B338" s="27" t="s">
        <v>11</v>
      </c>
      <c r="C338" s="27">
        <v>4500866</v>
      </c>
      <c r="D338" s="27">
        <v>1000</v>
      </c>
      <c r="E338" s="27" t="s">
        <v>53</v>
      </c>
      <c r="F338" s="27" t="s">
        <v>73</v>
      </c>
      <c r="G338" s="27">
        <v>4900065059</v>
      </c>
      <c r="H338" s="27" t="s">
        <v>54</v>
      </c>
      <c r="I338" s="28">
        <v>45307</v>
      </c>
      <c r="J338" s="27" t="s">
        <v>72</v>
      </c>
      <c r="K338" s="29">
        <v>-2</v>
      </c>
      <c r="L338" s="31">
        <v>1680000745056</v>
      </c>
      <c r="M338" s="28">
        <v>45307</v>
      </c>
      <c r="N338" s="30">
        <v>0.49394675925926002</v>
      </c>
      <c r="O338" s="27" t="s">
        <v>326</v>
      </c>
      <c r="P338" s="137"/>
      <c r="Q338" t="str">
        <f>IFERROR(IF((_xlfn.XLOOKUP(A338,'Set of Installation'!A:A,'Set of Installation'!C:C)+1)&gt;ABS(K338),"OK","Overusage"),"")</f>
        <v>OK</v>
      </c>
      <c r="R338" t="str">
        <f>_xlfn.XLOOKUP(C338,'Checking(ZSERIALS)'!E:E,'Checking(ZSERIALS)'!F:F)</f>
        <v>CHRISTBELLA CONSTRUCTION MANAGEMENT</v>
      </c>
    </row>
    <row r="339" spans="1:18" x14ac:dyDescent="0.3">
      <c r="A339" s="27">
        <v>40000057</v>
      </c>
      <c r="B339" s="27" t="s">
        <v>11</v>
      </c>
      <c r="C339" s="27">
        <v>4500866</v>
      </c>
      <c r="D339" s="27">
        <v>1000</v>
      </c>
      <c r="E339" s="27" t="s">
        <v>53</v>
      </c>
      <c r="F339" s="27" t="s">
        <v>73</v>
      </c>
      <c r="G339" s="27">
        <v>4900065493</v>
      </c>
      <c r="H339" s="27" t="s">
        <v>54</v>
      </c>
      <c r="I339" s="28">
        <v>45307</v>
      </c>
      <c r="J339" s="27" t="s">
        <v>72</v>
      </c>
      <c r="K339" s="29">
        <v>-2</v>
      </c>
      <c r="L339" s="31">
        <v>1680000745079</v>
      </c>
      <c r="M339" s="28">
        <v>45307</v>
      </c>
      <c r="N339" s="30">
        <v>0.54668981481481005</v>
      </c>
      <c r="O339" s="27" t="s">
        <v>329</v>
      </c>
      <c r="P339" s="137"/>
      <c r="Q339" t="str">
        <f>IFERROR(IF((_xlfn.XLOOKUP(A339,'Set of Installation'!A:A,'Set of Installation'!C:C)+1)&gt;ABS(K339),"OK","Overusage"),"")</f>
        <v>OK</v>
      </c>
      <c r="R339" t="str">
        <f>_xlfn.XLOOKUP(C339,'Checking(ZSERIALS)'!E:E,'Checking(ZSERIALS)'!F:F)</f>
        <v>CHRISTBELLA CONSTRUCTION MANAGEMENT</v>
      </c>
    </row>
    <row r="340" spans="1:18" x14ac:dyDescent="0.3">
      <c r="A340" s="27">
        <v>40000057</v>
      </c>
      <c r="B340" s="27" t="s">
        <v>11</v>
      </c>
      <c r="C340" s="27">
        <v>4500866</v>
      </c>
      <c r="D340" s="27">
        <v>1000</v>
      </c>
      <c r="E340" s="27" t="s">
        <v>53</v>
      </c>
      <c r="F340" s="27" t="s">
        <v>73</v>
      </c>
      <c r="G340" s="27">
        <v>4900062310</v>
      </c>
      <c r="H340" s="27" t="s">
        <v>54</v>
      </c>
      <c r="I340" s="28">
        <v>45306</v>
      </c>
      <c r="J340" s="27" t="s">
        <v>72</v>
      </c>
      <c r="K340" s="29">
        <v>-2</v>
      </c>
      <c r="L340" s="31">
        <v>1680000743454</v>
      </c>
      <c r="M340" s="28">
        <v>45306</v>
      </c>
      <c r="N340" s="30">
        <v>0.73282407407407002</v>
      </c>
      <c r="O340" s="27" t="s">
        <v>323</v>
      </c>
      <c r="P340" s="137"/>
      <c r="Q340" t="str">
        <f>IFERROR(IF((_xlfn.XLOOKUP(A340,'Set of Installation'!A:A,'Set of Installation'!C:C)+1)&gt;ABS(K340),"OK","Overusage"),"")</f>
        <v>OK</v>
      </c>
      <c r="R340" t="str">
        <f>_xlfn.XLOOKUP(C340,'Checking(ZSERIALS)'!E:E,'Checking(ZSERIALS)'!F:F)</f>
        <v>CHRISTBELLA CONSTRUCTION MANAGEMENT</v>
      </c>
    </row>
    <row r="341" spans="1:18" x14ac:dyDescent="0.3">
      <c r="A341" s="27">
        <v>40000057</v>
      </c>
      <c r="B341" s="27" t="s">
        <v>11</v>
      </c>
      <c r="C341" s="27">
        <v>4500866</v>
      </c>
      <c r="D341" s="27">
        <v>1000</v>
      </c>
      <c r="E341" s="27" t="s">
        <v>53</v>
      </c>
      <c r="F341" s="27" t="s">
        <v>73</v>
      </c>
      <c r="G341" s="27">
        <v>4900061600</v>
      </c>
      <c r="H341" s="27" t="s">
        <v>54</v>
      </c>
      <c r="I341" s="28">
        <v>45306</v>
      </c>
      <c r="J341" s="27" t="s">
        <v>72</v>
      </c>
      <c r="K341" s="29">
        <v>-2</v>
      </c>
      <c r="L341" s="31">
        <v>1680000743530</v>
      </c>
      <c r="M341" s="28">
        <v>45306</v>
      </c>
      <c r="N341" s="30">
        <v>0.66474537037036996</v>
      </c>
      <c r="O341" s="27" t="s">
        <v>317</v>
      </c>
      <c r="P341" s="137"/>
      <c r="Q341" t="str">
        <f>IFERROR(IF((_xlfn.XLOOKUP(A341,'Set of Installation'!A:A,'Set of Installation'!C:C)+1)&gt;ABS(K341),"OK","Overusage"),"")</f>
        <v>OK</v>
      </c>
      <c r="R341" t="str">
        <f>_xlfn.XLOOKUP(C341,'Checking(ZSERIALS)'!E:E,'Checking(ZSERIALS)'!F:F)</f>
        <v>CHRISTBELLA CONSTRUCTION MANAGEMENT</v>
      </c>
    </row>
    <row r="342" spans="1:18" x14ac:dyDescent="0.3">
      <c r="A342" s="27">
        <v>40000057</v>
      </c>
      <c r="B342" s="27" t="s">
        <v>11</v>
      </c>
      <c r="C342" s="27">
        <v>4500866</v>
      </c>
      <c r="D342" s="27">
        <v>1000</v>
      </c>
      <c r="E342" s="27" t="s">
        <v>53</v>
      </c>
      <c r="F342" s="27" t="s">
        <v>73</v>
      </c>
      <c r="G342" s="27">
        <v>4900061363</v>
      </c>
      <c r="H342" s="27" t="s">
        <v>54</v>
      </c>
      <c r="I342" s="28">
        <v>45306</v>
      </c>
      <c r="J342" s="27" t="s">
        <v>72</v>
      </c>
      <c r="K342" s="29">
        <v>-2</v>
      </c>
      <c r="L342" s="31">
        <v>1680000740804</v>
      </c>
      <c r="M342" s="28">
        <v>45306</v>
      </c>
      <c r="N342" s="30">
        <v>0.64531249999999996</v>
      </c>
      <c r="O342" s="27" t="s">
        <v>314</v>
      </c>
      <c r="P342" s="137"/>
      <c r="Q342" t="str">
        <f>IFERROR(IF((_xlfn.XLOOKUP(A342,'Set of Installation'!A:A,'Set of Installation'!C:C)+1)&gt;ABS(K342),"OK","Overusage"),"")</f>
        <v>OK</v>
      </c>
      <c r="R342" t="str">
        <f>_xlfn.XLOOKUP(C342,'Checking(ZSERIALS)'!E:E,'Checking(ZSERIALS)'!F:F)</f>
        <v>CHRISTBELLA CONSTRUCTION MANAGEMENT</v>
      </c>
    </row>
    <row r="343" spans="1:18" x14ac:dyDescent="0.3">
      <c r="A343" s="27">
        <v>40000057</v>
      </c>
      <c r="B343" s="27" t="s">
        <v>11</v>
      </c>
      <c r="C343" s="27">
        <v>4500866</v>
      </c>
      <c r="D343" s="27">
        <v>1000</v>
      </c>
      <c r="E343" s="27" t="s">
        <v>53</v>
      </c>
      <c r="F343" s="27" t="s">
        <v>73</v>
      </c>
      <c r="G343" s="27">
        <v>4900060842</v>
      </c>
      <c r="H343" s="27" t="s">
        <v>54</v>
      </c>
      <c r="I343" s="28">
        <v>45306</v>
      </c>
      <c r="J343" s="27" t="s">
        <v>72</v>
      </c>
      <c r="K343" s="29">
        <v>-2</v>
      </c>
      <c r="L343" s="31">
        <v>1680000742601</v>
      </c>
      <c r="M343" s="28">
        <v>45306</v>
      </c>
      <c r="N343" s="30">
        <v>0.59668981481480998</v>
      </c>
      <c r="O343" s="27" t="s">
        <v>308</v>
      </c>
      <c r="P343" s="137"/>
      <c r="Q343" t="str">
        <f>IFERROR(IF((_xlfn.XLOOKUP(A343,'Set of Installation'!A:A,'Set of Installation'!C:C)+1)&gt;ABS(K343),"OK","Overusage"),"")</f>
        <v>OK</v>
      </c>
      <c r="R343" t="str">
        <f>_xlfn.XLOOKUP(C343,'Checking(ZSERIALS)'!E:E,'Checking(ZSERIALS)'!F:F)</f>
        <v>CHRISTBELLA CONSTRUCTION MANAGEMENT</v>
      </c>
    </row>
    <row r="344" spans="1:18" x14ac:dyDescent="0.3">
      <c r="A344" s="27">
        <v>40000057</v>
      </c>
      <c r="B344" s="27" t="s">
        <v>11</v>
      </c>
      <c r="C344" s="27">
        <v>4500866</v>
      </c>
      <c r="D344" s="27">
        <v>1000</v>
      </c>
      <c r="E344" s="27" t="s">
        <v>53</v>
      </c>
      <c r="F344" s="27" t="s">
        <v>73</v>
      </c>
      <c r="G344" s="27">
        <v>4900061188</v>
      </c>
      <c r="H344" s="27" t="s">
        <v>54</v>
      </c>
      <c r="I344" s="28">
        <v>45306</v>
      </c>
      <c r="J344" s="27" t="s">
        <v>72</v>
      </c>
      <c r="K344" s="29">
        <v>-2</v>
      </c>
      <c r="L344" s="31">
        <v>1680000740302</v>
      </c>
      <c r="M344" s="28">
        <v>45306</v>
      </c>
      <c r="N344" s="30">
        <v>0.63283564814814997</v>
      </c>
      <c r="O344" s="27" t="s">
        <v>311</v>
      </c>
      <c r="P344" s="137"/>
      <c r="Q344" t="str">
        <f>IFERROR(IF((_xlfn.XLOOKUP(A344,'Set of Installation'!A:A,'Set of Installation'!C:C)+1)&gt;ABS(K344),"OK","Overusage"),"")</f>
        <v>OK</v>
      </c>
      <c r="R344" t="str">
        <f>_xlfn.XLOOKUP(C344,'Checking(ZSERIALS)'!E:E,'Checking(ZSERIALS)'!F:F)</f>
        <v>CHRISTBELLA CONSTRUCTION MANAGEMENT</v>
      </c>
    </row>
    <row r="345" spans="1:18" x14ac:dyDescent="0.3">
      <c r="A345" s="27">
        <v>40000057</v>
      </c>
      <c r="B345" s="27" t="s">
        <v>11</v>
      </c>
      <c r="C345" s="27">
        <v>4500866</v>
      </c>
      <c r="D345" s="27">
        <v>1000</v>
      </c>
      <c r="E345" s="27" t="s">
        <v>53</v>
      </c>
      <c r="F345" s="27" t="s">
        <v>73</v>
      </c>
      <c r="G345" s="27">
        <v>4900055724</v>
      </c>
      <c r="H345" s="27" t="s">
        <v>54</v>
      </c>
      <c r="I345" s="28">
        <v>45305</v>
      </c>
      <c r="J345" s="27" t="s">
        <v>72</v>
      </c>
      <c r="K345" s="29">
        <v>-2</v>
      </c>
      <c r="L345" s="31">
        <v>1680000735112</v>
      </c>
      <c r="M345" s="28">
        <v>45305</v>
      </c>
      <c r="N345" s="30">
        <v>0.46473379629630002</v>
      </c>
      <c r="O345" s="27" t="s">
        <v>296</v>
      </c>
      <c r="P345" s="137"/>
      <c r="Q345" t="str">
        <f>IFERROR(IF((_xlfn.XLOOKUP(A345,'Set of Installation'!A:A,'Set of Installation'!C:C)+1)&gt;ABS(K345),"OK","Overusage"),"")</f>
        <v>OK</v>
      </c>
      <c r="R345" t="str">
        <f>_xlfn.XLOOKUP(C345,'Checking(ZSERIALS)'!E:E,'Checking(ZSERIALS)'!F:F)</f>
        <v>CHRISTBELLA CONSTRUCTION MANAGEMENT</v>
      </c>
    </row>
    <row r="346" spans="1:18" x14ac:dyDescent="0.3">
      <c r="A346" s="27">
        <v>40000057</v>
      </c>
      <c r="B346" s="27" t="s">
        <v>11</v>
      </c>
      <c r="C346" s="27">
        <v>4500866</v>
      </c>
      <c r="D346" s="27">
        <v>1000</v>
      </c>
      <c r="E346" s="27" t="s">
        <v>53</v>
      </c>
      <c r="F346" s="27" t="s">
        <v>73</v>
      </c>
      <c r="G346" s="27">
        <v>4900056186</v>
      </c>
      <c r="H346" s="27" t="s">
        <v>54</v>
      </c>
      <c r="I346" s="28">
        <v>45305</v>
      </c>
      <c r="J346" s="27" t="s">
        <v>72</v>
      </c>
      <c r="K346" s="29">
        <v>-2</v>
      </c>
      <c r="L346" s="31">
        <v>1680000735786</v>
      </c>
      <c r="M346" s="28">
        <v>45305</v>
      </c>
      <c r="N346" s="30">
        <v>0.53276620370369998</v>
      </c>
      <c r="O346" s="27" t="s">
        <v>299</v>
      </c>
      <c r="P346" s="137"/>
      <c r="Q346" t="str">
        <f>IFERROR(IF((_xlfn.XLOOKUP(A346,'Set of Installation'!A:A,'Set of Installation'!C:C)+1)&gt;ABS(K346),"OK","Overusage"),"")</f>
        <v>OK</v>
      </c>
      <c r="R346" t="str">
        <f>_xlfn.XLOOKUP(C346,'Checking(ZSERIALS)'!E:E,'Checking(ZSERIALS)'!F:F)</f>
        <v>CHRISTBELLA CONSTRUCTION MANAGEMENT</v>
      </c>
    </row>
    <row r="347" spans="1:18" x14ac:dyDescent="0.3">
      <c r="A347" s="27">
        <v>40000057</v>
      </c>
      <c r="B347" s="27" t="s">
        <v>11</v>
      </c>
      <c r="C347" s="27">
        <v>4500866</v>
      </c>
      <c r="D347" s="27">
        <v>1000</v>
      </c>
      <c r="E347" s="27" t="s">
        <v>53</v>
      </c>
      <c r="F347" s="27" t="s">
        <v>73</v>
      </c>
      <c r="G347" s="27">
        <v>4900057688</v>
      </c>
      <c r="H347" s="27" t="s">
        <v>54</v>
      </c>
      <c r="I347" s="28">
        <v>45305</v>
      </c>
      <c r="J347" s="27" t="s">
        <v>72</v>
      </c>
      <c r="K347" s="29">
        <v>-2</v>
      </c>
      <c r="L347" s="31">
        <v>1680000730454</v>
      </c>
      <c r="M347" s="28">
        <v>45305</v>
      </c>
      <c r="N347" s="30">
        <v>0.76053240740741002</v>
      </c>
      <c r="O347" s="27" t="s">
        <v>305</v>
      </c>
      <c r="P347" s="137"/>
      <c r="Q347" t="str">
        <f>IFERROR(IF((_xlfn.XLOOKUP(A347,'Set of Installation'!A:A,'Set of Installation'!C:C)+1)&gt;ABS(K347),"OK","Overusage"),"")</f>
        <v>OK</v>
      </c>
      <c r="R347" t="str">
        <f>_xlfn.XLOOKUP(C347,'Checking(ZSERIALS)'!E:E,'Checking(ZSERIALS)'!F:F)</f>
        <v>CHRISTBELLA CONSTRUCTION MANAGEMENT</v>
      </c>
    </row>
    <row r="348" spans="1:18" x14ac:dyDescent="0.3">
      <c r="A348" s="27">
        <v>40000057</v>
      </c>
      <c r="B348" s="27" t="s">
        <v>11</v>
      </c>
      <c r="C348" s="27">
        <v>4500866</v>
      </c>
      <c r="D348" s="27">
        <v>1000</v>
      </c>
      <c r="E348" s="27" t="s">
        <v>53</v>
      </c>
      <c r="F348" s="27" t="s">
        <v>73</v>
      </c>
      <c r="G348" s="27">
        <v>4900051046</v>
      </c>
      <c r="H348" s="27" t="s">
        <v>54</v>
      </c>
      <c r="I348" s="28">
        <v>45304</v>
      </c>
      <c r="J348" s="27" t="s">
        <v>72</v>
      </c>
      <c r="K348" s="29">
        <v>-2</v>
      </c>
      <c r="L348" s="31">
        <v>1680000725181</v>
      </c>
      <c r="M348" s="28">
        <v>45304</v>
      </c>
      <c r="N348" s="30">
        <v>0.54524305555555996</v>
      </c>
      <c r="O348" s="27" t="s">
        <v>287</v>
      </c>
      <c r="P348" s="137"/>
      <c r="Q348" t="str">
        <f>IFERROR(IF((_xlfn.XLOOKUP(A348,'Set of Installation'!A:A,'Set of Installation'!C:C)+1)&gt;ABS(K348),"OK","Overusage"),"")</f>
        <v>OK</v>
      </c>
      <c r="R348" t="str">
        <f>_xlfn.XLOOKUP(C348,'Checking(ZSERIALS)'!E:E,'Checking(ZSERIALS)'!F:F)</f>
        <v>CHRISTBELLA CONSTRUCTION MANAGEMENT</v>
      </c>
    </row>
    <row r="349" spans="1:18" x14ac:dyDescent="0.3">
      <c r="A349" s="27">
        <v>40000057</v>
      </c>
      <c r="B349" s="27" t="s">
        <v>11</v>
      </c>
      <c r="C349" s="27">
        <v>4500866</v>
      </c>
      <c r="D349" s="27">
        <v>1000</v>
      </c>
      <c r="E349" s="27" t="s">
        <v>53</v>
      </c>
      <c r="F349" s="27" t="s">
        <v>73</v>
      </c>
      <c r="G349" s="27">
        <v>4900048171</v>
      </c>
      <c r="H349" s="27" t="s">
        <v>54</v>
      </c>
      <c r="I349" s="28">
        <v>45303</v>
      </c>
      <c r="J349" s="27" t="s">
        <v>72</v>
      </c>
      <c r="K349" s="29">
        <v>-2</v>
      </c>
      <c r="L349" s="31">
        <v>1680000734332</v>
      </c>
      <c r="M349" s="28">
        <v>45303</v>
      </c>
      <c r="N349" s="30">
        <v>0.75217592592592997</v>
      </c>
      <c r="O349" s="27" t="s">
        <v>281</v>
      </c>
      <c r="P349" s="137"/>
      <c r="Q349" t="str">
        <f>IFERROR(IF((_xlfn.XLOOKUP(A349,'Set of Installation'!A:A,'Set of Installation'!C:C)+1)&gt;ABS(K349),"OK","Overusage"),"")</f>
        <v>OK</v>
      </c>
      <c r="R349" t="str">
        <f>_xlfn.XLOOKUP(C349,'Checking(ZSERIALS)'!E:E,'Checking(ZSERIALS)'!F:F)</f>
        <v>CHRISTBELLA CONSTRUCTION MANAGEMENT</v>
      </c>
    </row>
    <row r="350" spans="1:18" x14ac:dyDescent="0.3">
      <c r="A350" s="27">
        <v>40000057</v>
      </c>
      <c r="B350" s="27" t="s">
        <v>11</v>
      </c>
      <c r="C350" s="27">
        <v>4500866</v>
      </c>
      <c r="D350" s="27">
        <v>1000</v>
      </c>
      <c r="E350" s="27" t="s">
        <v>53</v>
      </c>
      <c r="F350" s="27" t="s">
        <v>73</v>
      </c>
      <c r="G350" s="27">
        <v>4900047384</v>
      </c>
      <c r="H350" s="27" t="s">
        <v>54</v>
      </c>
      <c r="I350" s="28">
        <v>45303</v>
      </c>
      <c r="J350" s="27" t="s">
        <v>72</v>
      </c>
      <c r="K350" s="29">
        <v>-2</v>
      </c>
      <c r="L350" s="31">
        <v>1680000734654</v>
      </c>
      <c r="M350" s="28">
        <v>45303</v>
      </c>
      <c r="N350" s="30">
        <v>0.67997685185184997</v>
      </c>
      <c r="O350" s="27" t="s">
        <v>278</v>
      </c>
      <c r="P350" s="137"/>
      <c r="Q350" t="str">
        <f>IFERROR(IF((_xlfn.XLOOKUP(A350,'Set of Installation'!A:A,'Set of Installation'!C:C)+1)&gt;ABS(K350),"OK","Overusage"),"")</f>
        <v>OK</v>
      </c>
      <c r="R350" t="str">
        <f>_xlfn.XLOOKUP(C350,'Checking(ZSERIALS)'!E:E,'Checking(ZSERIALS)'!F:F)</f>
        <v>CHRISTBELLA CONSTRUCTION MANAGEMENT</v>
      </c>
    </row>
    <row r="351" spans="1:18" x14ac:dyDescent="0.3">
      <c r="A351" s="27">
        <v>40000057</v>
      </c>
      <c r="B351" s="27" t="s">
        <v>11</v>
      </c>
      <c r="C351" s="27">
        <v>4500866</v>
      </c>
      <c r="D351" s="27">
        <v>1000</v>
      </c>
      <c r="E351" s="27" t="s">
        <v>53</v>
      </c>
      <c r="F351" s="27" t="s">
        <v>73</v>
      </c>
      <c r="G351" s="27">
        <v>4900045352</v>
      </c>
      <c r="H351" s="27" t="s">
        <v>54</v>
      </c>
      <c r="I351" s="28">
        <v>45303</v>
      </c>
      <c r="J351" s="27" t="s">
        <v>72</v>
      </c>
      <c r="K351" s="29">
        <v>-2</v>
      </c>
      <c r="L351" s="31">
        <v>1680000718073</v>
      </c>
      <c r="M351" s="28">
        <v>45303</v>
      </c>
      <c r="N351" s="30">
        <v>0.46888888888889002</v>
      </c>
      <c r="O351" s="27" t="s">
        <v>272</v>
      </c>
      <c r="P351" s="137"/>
      <c r="Q351" t="str">
        <f>IFERROR(IF((_xlfn.XLOOKUP(A351,'Set of Installation'!A:A,'Set of Installation'!C:C)+1)&gt;ABS(K351),"OK","Overusage"),"")</f>
        <v>OK</v>
      </c>
      <c r="R351" t="str">
        <f>_xlfn.XLOOKUP(C351,'Checking(ZSERIALS)'!E:E,'Checking(ZSERIALS)'!F:F)</f>
        <v>CHRISTBELLA CONSTRUCTION MANAGEMENT</v>
      </c>
    </row>
    <row r="352" spans="1:18" x14ac:dyDescent="0.3">
      <c r="A352" s="27">
        <v>40000057</v>
      </c>
      <c r="B352" s="27" t="s">
        <v>11</v>
      </c>
      <c r="C352" s="27">
        <v>4500866</v>
      </c>
      <c r="D352" s="27">
        <v>1000</v>
      </c>
      <c r="E352" s="27" t="s">
        <v>53</v>
      </c>
      <c r="F352" s="27" t="s">
        <v>73</v>
      </c>
      <c r="G352" s="27">
        <v>4900040030</v>
      </c>
      <c r="H352" s="27" t="s">
        <v>54</v>
      </c>
      <c r="I352" s="28">
        <v>45302</v>
      </c>
      <c r="J352" s="27" t="s">
        <v>72</v>
      </c>
      <c r="K352" s="29">
        <v>-2</v>
      </c>
      <c r="L352" s="31">
        <v>1680000728217</v>
      </c>
      <c r="M352" s="28">
        <v>45302</v>
      </c>
      <c r="N352" s="30">
        <v>0.42299768518518999</v>
      </c>
      <c r="O352" s="27" t="s">
        <v>242</v>
      </c>
      <c r="P352" s="137"/>
      <c r="Q352" t="str">
        <f>IFERROR(IF((_xlfn.XLOOKUP(A352,'Set of Installation'!A:A,'Set of Installation'!C:C)+1)&gt;ABS(K352),"OK","Overusage"),"")</f>
        <v>OK</v>
      </c>
      <c r="R352" t="str">
        <f>_xlfn.XLOOKUP(C352,'Checking(ZSERIALS)'!E:E,'Checking(ZSERIALS)'!F:F)</f>
        <v>CHRISTBELLA CONSTRUCTION MANAGEMENT</v>
      </c>
    </row>
    <row r="353" spans="1:18" x14ac:dyDescent="0.3">
      <c r="A353" s="27">
        <v>40000057</v>
      </c>
      <c r="B353" s="27" t="s">
        <v>11</v>
      </c>
      <c r="C353" s="27">
        <v>4500866</v>
      </c>
      <c r="D353" s="27">
        <v>1000</v>
      </c>
      <c r="E353" s="27" t="s">
        <v>53</v>
      </c>
      <c r="F353" s="27" t="s">
        <v>73</v>
      </c>
      <c r="G353" s="27">
        <v>4900040436</v>
      </c>
      <c r="H353" s="27" t="s">
        <v>54</v>
      </c>
      <c r="I353" s="28">
        <v>45302</v>
      </c>
      <c r="J353" s="27" t="s">
        <v>72</v>
      </c>
      <c r="K353" s="29">
        <v>-2</v>
      </c>
      <c r="L353" s="31">
        <v>1680000725722</v>
      </c>
      <c r="M353" s="28">
        <v>45302</v>
      </c>
      <c r="N353" s="30">
        <v>0.47716435185185002</v>
      </c>
      <c r="O353" s="27" t="s">
        <v>245</v>
      </c>
      <c r="P353" s="137"/>
      <c r="Q353" t="str">
        <f>IFERROR(IF((_xlfn.XLOOKUP(A353,'Set of Installation'!A:A,'Set of Installation'!C:C)+1)&gt;ABS(K353),"OK","Overusage"),"")</f>
        <v>OK</v>
      </c>
      <c r="R353" t="str">
        <f>_xlfn.XLOOKUP(C353,'Checking(ZSERIALS)'!E:E,'Checking(ZSERIALS)'!F:F)</f>
        <v>CHRISTBELLA CONSTRUCTION MANAGEMENT</v>
      </c>
    </row>
    <row r="354" spans="1:18" x14ac:dyDescent="0.3">
      <c r="A354" s="27">
        <v>40000057</v>
      </c>
      <c r="B354" s="27" t="s">
        <v>11</v>
      </c>
      <c r="C354" s="27">
        <v>4500866</v>
      </c>
      <c r="D354" s="27">
        <v>1000</v>
      </c>
      <c r="E354" s="27" t="s">
        <v>53</v>
      </c>
      <c r="F354" s="27" t="s">
        <v>73</v>
      </c>
      <c r="G354" s="27">
        <v>4900040450</v>
      </c>
      <c r="H354" s="27" t="s">
        <v>54</v>
      </c>
      <c r="I354" s="28">
        <v>45302</v>
      </c>
      <c r="J354" s="27" t="s">
        <v>72</v>
      </c>
      <c r="K354" s="29">
        <v>-2</v>
      </c>
      <c r="L354" s="31">
        <v>1680000728514</v>
      </c>
      <c r="M354" s="28">
        <v>45302</v>
      </c>
      <c r="N354" s="30">
        <v>0.47855324074074002</v>
      </c>
      <c r="O354" s="27" t="s">
        <v>248</v>
      </c>
      <c r="P354" s="137"/>
      <c r="Q354" t="str">
        <f>IFERROR(IF((_xlfn.XLOOKUP(A354,'Set of Installation'!A:A,'Set of Installation'!C:C)+1)&gt;ABS(K354),"OK","Overusage"),"")</f>
        <v>OK</v>
      </c>
      <c r="R354" t="str">
        <f>_xlfn.XLOOKUP(C354,'Checking(ZSERIALS)'!E:E,'Checking(ZSERIALS)'!F:F)</f>
        <v>CHRISTBELLA CONSTRUCTION MANAGEMENT</v>
      </c>
    </row>
    <row r="355" spans="1:18" x14ac:dyDescent="0.3">
      <c r="A355" s="27">
        <v>40000057</v>
      </c>
      <c r="B355" s="27" t="s">
        <v>11</v>
      </c>
      <c r="C355" s="27">
        <v>4500866</v>
      </c>
      <c r="D355" s="27">
        <v>1000</v>
      </c>
      <c r="E355" s="27" t="s">
        <v>53</v>
      </c>
      <c r="F355" s="27" t="s">
        <v>73</v>
      </c>
      <c r="G355" s="27">
        <v>4900042490</v>
      </c>
      <c r="H355" s="27" t="s">
        <v>54</v>
      </c>
      <c r="I355" s="28">
        <v>45302</v>
      </c>
      <c r="J355" s="27" t="s">
        <v>72</v>
      </c>
      <c r="K355" s="29">
        <v>-2</v>
      </c>
      <c r="L355" s="31">
        <v>1680000728388</v>
      </c>
      <c r="M355" s="28">
        <v>45302</v>
      </c>
      <c r="N355" s="30">
        <v>0.68828703703703997</v>
      </c>
      <c r="O355" s="27" t="s">
        <v>257</v>
      </c>
      <c r="P355" s="137"/>
      <c r="Q355" t="str">
        <f>IFERROR(IF((_xlfn.XLOOKUP(A355,'Set of Installation'!A:A,'Set of Installation'!C:C)+1)&gt;ABS(K355),"OK","Overusage"),"")</f>
        <v>OK</v>
      </c>
      <c r="R355" t="str">
        <f>_xlfn.XLOOKUP(C355,'Checking(ZSERIALS)'!E:E,'Checking(ZSERIALS)'!F:F)</f>
        <v>CHRISTBELLA CONSTRUCTION MANAGEMENT</v>
      </c>
    </row>
    <row r="356" spans="1:18" x14ac:dyDescent="0.3">
      <c r="A356" s="27">
        <v>40000057</v>
      </c>
      <c r="B356" s="27" t="s">
        <v>11</v>
      </c>
      <c r="C356" s="27">
        <v>4500866</v>
      </c>
      <c r="D356" s="27">
        <v>1000</v>
      </c>
      <c r="E356" s="27" t="s">
        <v>53</v>
      </c>
      <c r="F356" s="27" t="s">
        <v>73</v>
      </c>
      <c r="G356" s="27">
        <v>4900042946</v>
      </c>
      <c r="H356" s="27" t="s">
        <v>54</v>
      </c>
      <c r="I356" s="28">
        <v>45302</v>
      </c>
      <c r="J356" s="27" t="s">
        <v>72</v>
      </c>
      <c r="K356" s="29">
        <v>-2</v>
      </c>
      <c r="L356" s="31">
        <v>1680000726647</v>
      </c>
      <c r="M356" s="28">
        <v>45302</v>
      </c>
      <c r="N356" s="30">
        <v>0.72856481481480995</v>
      </c>
      <c r="O356" s="27" t="s">
        <v>260</v>
      </c>
      <c r="P356" s="137"/>
      <c r="Q356" t="str">
        <f>IFERROR(IF((_xlfn.XLOOKUP(A356,'Set of Installation'!A:A,'Set of Installation'!C:C)+1)&gt;ABS(K356),"OK","Overusage"),"")</f>
        <v>OK</v>
      </c>
      <c r="R356" t="str">
        <f>_xlfn.XLOOKUP(C356,'Checking(ZSERIALS)'!E:E,'Checking(ZSERIALS)'!F:F)</f>
        <v>CHRISTBELLA CONSTRUCTION MANAGEMENT</v>
      </c>
    </row>
    <row r="357" spans="1:18" x14ac:dyDescent="0.3">
      <c r="A357" s="27">
        <v>40000057</v>
      </c>
      <c r="B357" s="27" t="s">
        <v>11</v>
      </c>
      <c r="C357" s="27">
        <v>4500866</v>
      </c>
      <c r="D357" s="27">
        <v>1000</v>
      </c>
      <c r="E357" s="27" t="s">
        <v>53</v>
      </c>
      <c r="F357" s="27" t="s">
        <v>73</v>
      </c>
      <c r="G357" s="27">
        <v>4900043348</v>
      </c>
      <c r="H357" s="27" t="s">
        <v>54</v>
      </c>
      <c r="I357" s="28">
        <v>45302</v>
      </c>
      <c r="J357" s="27" t="s">
        <v>72</v>
      </c>
      <c r="K357" s="29">
        <v>-2</v>
      </c>
      <c r="L357" s="31">
        <v>1680000720805</v>
      </c>
      <c r="M357" s="28">
        <v>45302</v>
      </c>
      <c r="N357" s="30">
        <v>0.76328703703704004</v>
      </c>
      <c r="O357" s="27" t="s">
        <v>266</v>
      </c>
      <c r="P357" s="137"/>
      <c r="Q357" t="str">
        <f>IFERROR(IF((_xlfn.XLOOKUP(A357,'Set of Installation'!A:A,'Set of Installation'!C:C)+1)&gt;ABS(K357),"OK","Overusage"),"")</f>
        <v>OK</v>
      </c>
      <c r="R357" t="str">
        <f>_xlfn.XLOOKUP(C357,'Checking(ZSERIALS)'!E:E,'Checking(ZSERIALS)'!F:F)</f>
        <v>CHRISTBELLA CONSTRUCTION MANAGEMENT</v>
      </c>
    </row>
    <row r="358" spans="1:18" x14ac:dyDescent="0.3">
      <c r="A358" s="27">
        <v>40000057</v>
      </c>
      <c r="B358" s="27" t="s">
        <v>11</v>
      </c>
      <c r="C358" s="27">
        <v>4500866</v>
      </c>
      <c r="D358" s="27">
        <v>1000</v>
      </c>
      <c r="E358" s="27" t="s">
        <v>53</v>
      </c>
      <c r="F358" s="27" t="s">
        <v>73</v>
      </c>
      <c r="G358" s="27">
        <v>4900038113</v>
      </c>
      <c r="H358" s="27" t="s">
        <v>54</v>
      </c>
      <c r="I358" s="28">
        <v>45301</v>
      </c>
      <c r="J358" s="27" t="s">
        <v>72</v>
      </c>
      <c r="K358" s="29">
        <v>-2</v>
      </c>
      <c r="L358" s="31">
        <v>1680000704179</v>
      </c>
      <c r="M358" s="28">
        <v>45301</v>
      </c>
      <c r="N358" s="30">
        <v>0.75495370370369996</v>
      </c>
      <c r="O358" s="27" t="s">
        <v>233</v>
      </c>
      <c r="P358" s="137"/>
      <c r="Q358" t="str">
        <f>IFERROR(IF((_xlfn.XLOOKUP(A358,'Set of Installation'!A:A,'Set of Installation'!C:C)+1)&gt;ABS(K358),"OK","Overusage"),"")</f>
        <v>OK</v>
      </c>
      <c r="R358" t="str">
        <f>_xlfn.XLOOKUP(C358,'Checking(ZSERIALS)'!E:E,'Checking(ZSERIALS)'!F:F)</f>
        <v>CHRISTBELLA CONSTRUCTION MANAGEMENT</v>
      </c>
    </row>
    <row r="359" spans="1:18" x14ac:dyDescent="0.3">
      <c r="A359" s="27">
        <v>40000057</v>
      </c>
      <c r="B359" s="27" t="s">
        <v>11</v>
      </c>
      <c r="C359" s="27">
        <v>4500866</v>
      </c>
      <c r="D359" s="27">
        <v>1000</v>
      </c>
      <c r="E359" s="27" t="s">
        <v>53</v>
      </c>
      <c r="F359" s="27" t="s">
        <v>73</v>
      </c>
      <c r="G359" s="27">
        <v>4900035703</v>
      </c>
      <c r="H359" s="27" t="s">
        <v>54</v>
      </c>
      <c r="I359" s="28">
        <v>45301</v>
      </c>
      <c r="J359" s="27" t="s">
        <v>72</v>
      </c>
      <c r="K359" s="29">
        <v>-2</v>
      </c>
      <c r="L359" s="31">
        <v>1680000724825</v>
      </c>
      <c r="M359" s="28">
        <v>45301</v>
      </c>
      <c r="N359" s="30">
        <v>0.50910879629630001</v>
      </c>
      <c r="O359" s="27" t="s">
        <v>212</v>
      </c>
      <c r="P359" s="137"/>
      <c r="Q359" t="str">
        <f>IFERROR(IF((_xlfn.XLOOKUP(A359,'Set of Installation'!A:A,'Set of Installation'!C:C)+1)&gt;ABS(K359),"OK","Overusage"),"")</f>
        <v>OK</v>
      </c>
      <c r="R359" t="str">
        <f>_xlfn.XLOOKUP(C359,'Checking(ZSERIALS)'!E:E,'Checking(ZSERIALS)'!F:F)</f>
        <v>CHRISTBELLA CONSTRUCTION MANAGEMENT</v>
      </c>
    </row>
    <row r="360" spans="1:18" x14ac:dyDescent="0.3">
      <c r="A360" s="27">
        <v>40000057</v>
      </c>
      <c r="B360" s="27" t="s">
        <v>11</v>
      </c>
      <c r="C360" s="27">
        <v>4500866</v>
      </c>
      <c r="D360" s="27">
        <v>1000</v>
      </c>
      <c r="E360" s="27" t="s">
        <v>53</v>
      </c>
      <c r="F360" s="27" t="s">
        <v>73</v>
      </c>
      <c r="G360" s="27">
        <v>4900037928</v>
      </c>
      <c r="H360" s="27" t="s">
        <v>54</v>
      </c>
      <c r="I360" s="28">
        <v>45301</v>
      </c>
      <c r="J360" s="27" t="s">
        <v>72</v>
      </c>
      <c r="K360" s="29">
        <v>-2</v>
      </c>
      <c r="L360" s="31">
        <v>1680000716616</v>
      </c>
      <c r="M360" s="28">
        <v>45301</v>
      </c>
      <c r="N360" s="30">
        <v>0.73967592592593001</v>
      </c>
      <c r="O360" s="27" t="s">
        <v>227</v>
      </c>
      <c r="P360" s="137"/>
      <c r="Q360" t="str">
        <f>IFERROR(IF((_xlfn.XLOOKUP(A360,'Set of Installation'!A:A,'Set of Installation'!C:C)+1)&gt;ABS(K360),"OK","Overusage"),"")</f>
        <v>OK</v>
      </c>
      <c r="R360" t="str">
        <f>_xlfn.XLOOKUP(C360,'Checking(ZSERIALS)'!E:E,'Checking(ZSERIALS)'!F:F)</f>
        <v>CHRISTBELLA CONSTRUCTION MANAGEMENT</v>
      </c>
    </row>
    <row r="361" spans="1:18" x14ac:dyDescent="0.3">
      <c r="A361" s="27">
        <v>40000057</v>
      </c>
      <c r="B361" s="27" t="s">
        <v>11</v>
      </c>
      <c r="C361" s="27">
        <v>4500866</v>
      </c>
      <c r="D361" s="27">
        <v>1000</v>
      </c>
      <c r="E361" s="27" t="s">
        <v>53</v>
      </c>
      <c r="F361" s="27" t="s">
        <v>73</v>
      </c>
      <c r="G361" s="27">
        <v>4900037869</v>
      </c>
      <c r="H361" s="27" t="s">
        <v>54</v>
      </c>
      <c r="I361" s="28">
        <v>45301</v>
      </c>
      <c r="J361" s="27" t="s">
        <v>72</v>
      </c>
      <c r="K361" s="29">
        <v>-2</v>
      </c>
      <c r="L361" s="31">
        <v>1680000725443</v>
      </c>
      <c r="M361" s="28">
        <v>45301</v>
      </c>
      <c r="N361" s="30">
        <v>0.73275462962963001</v>
      </c>
      <c r="O361" s="27" t="s">
        <v>224</v>
      </c>
      <c r="P361" s="137"/>
      <c r="Q361" t="str">
        <f>IFERROR(IF((_xlfn.XLOOKUP(A361,'Set of Installation'!A:A,'Set of Installation'!C:C)+1)&gt;ABS(K361),"OK","Overusage"),"")</f>
        <v>OK</v>
      </c>
      <c r="R361" t="str">
        <f>_xlfn.XLOOKUP(C361,'Checking(ZSERIALS)'!E:E,'Checking(ZSERIALS)'!F:F)</f>
        <v>CHRISTBELLA CONSTRUCTION MANAGEMENT</v>
      </c>
    </row>
    <row r="362" spans="1:18" x14ac:dyDescent="0.3">
      <c r="A362" s="27">
        <v>40000057</v>
      </c>
      <c r="B362" s="27" t="s">
        <v>11</v>
      </c>
      <c r="C362" s="27">
        <v>4500866</v>
      </c>
      <c r="D362" s="27">
        <v>1000</v>
      </c>
      <c r="E362" s="27" t="s">
        <v>53</v>
      </c>
      <c r="F362" s="27" t="s">
        <v>73</v>
      </c>
      <c r="G362" s="27">
        <v>4900036099</v>
      </c>
      <c r="H362" s="27" t="s">
        <v>54</v>
      </c>
      <c r="I362" s="28">
        <v>45301</v>
      </c>
      <c r="J362" s="27" t="s">
        <v>72</v>
      </c>
      <c r="K362" s="29">
        <v>-2</v>
      </c>
      <c r="L362" s="31">
        <v>1680000724851</v>
      </c>
      <c r="M362" s="28">
        <v>45301</v>
      </c>
      <c r="N362" s="30">
        <v>0.56048611111111002</v>
      </c>
      <c r="O362" s="27" t="s">
        <v>215</v>
      </c>
      <c r="P362" s="137"/>
      <c r="Q362" t="str">
        <f>IFERROR(IF((_xlfn.XLOOKUP(A362,'Set of Installation'!A:A,'Set of Installation'!C:C)+1)&gt;ABS(K362),"OK","Overusage"),"")</f>
        <v>OK</v>
      </c>
      <c r="R362" t="str">
        <f>_xlfn.XLOOKUP(C362,'Checking(ZSERIALS)'!E:E,'Checking(ZSERIALS)'!F:F)</f>
        <v>CHRISTBELLA CONSTRUCTION MANAGEMENT</v>
      </c>
    </row>
    <row r="363" spans="1:18" x14ac:dyDescent="0.3">
      <c r="A363" s="27">
        <v>40000057</v>
      </c>
      <c r="B363" s="27" t="s">
        <v>11</v>
      </c>
      <c r="C363" s="27">
        <v>4500866</v>
      </c>
      <c r="D363" s="27">
        <v>1000</v>
      </c>
      <c r="E363" s="27" t="s">
        <v>53</v>
      </c>
      <c r="F363" s="27" t="s">
        <v>73</v>
      </c>
      <c r="G363" s="27">
        <v>4900035645</v>
      </c>
      <c r="H363" s="27" t="s">
        <v>54</v>
      </c>
      <c r="I363" s="28">
        <v>45301</v>
      </c>
      <c r="J363" s="27" t="s">
        <v>72</v>
      </c>
      <c r="K363" s="29">
        <v>-2</v>
      </c>
      <c r="L363" s="31">
        <v>1680000725440</v>
      </c>
      <c r="M363" s="28">
        <v>45301</v>
      </c>
      <c r="N363" s="30">
        <v>0.50354166666667</v>
      </c>
      <c r="O363" s="27" t="s">
        <v>209</v>
      </c>
      <c r="P363" s="137"/>
      <c r="Q363" t="str">
        <f>IFERROR(IF((_xlfn.XLOOKUP(A363,'Set of Installation'!A:A,'Set of Installation'!C:C)+1)&gt;ABS(K363),"OK","Overusage"),"")</f>
        <v>OK</v>
      </c>
      <c r="R363" t="str">
        <f>_xlfn.XLOOKUP(C363,'Checking(ZSERIALS)'!E:E,'Checking(ZSERIALS)'!F:F)</f>
        <v>CHRISTBELLA CONSTRUCTION MANAGEMENT</v>
      </c>
    </row>
    <row r="364" spans="1:18" x14ac:dyDescent="0.3">
      <c r="A364" s="27">
        <v>40000057</v>
      </c>
      <c r="B364" s="27" t="s">
        <v>11</v>
      </c>
      <c r="C364" s="27">
        <v>4500866</v>
      </c>
      <c r="D364" s="27">
        <v>1000</v>
      </c>
      <c r="E364" s="27" t="s">
        <v>53</v>
      </c>
      <c r="F364" s="27" t="s">
        <v>73</v>
      </c>
      <c r="G364" s="27">
        <v>4900037993</v>
      </c>
      <c r="H364" s="27" t="s">
        <v>54</v>
      </c>
      <c r="I364" s="28">
        <v>45301</v>
      </c>
      <c r="J364" s="27" t="s">
        <v>72</v>
      </c>
      <c r="K364" s="29">
        <v>-2</v>
      </c>
      <c r="L364" s="31">
        <v>1680000715654</v>
      </c>
      <c r="M364" s="28">
        <v>45301</v>
      </c>
      <c r="N364" s="30">
        <v>0.74383101851851996</v>
      </c>
      <c r="O364" s="27" t="s">
        <v>230</v>
      </c>
      <c r="P364" s="137"/>
      <c r="Q364" t="str">
        <f>IFERROR(IF((_xlfn.XLOOKUP(A364,'Set of Installation'!A:A,'Set of Installation'!C:C)+1)&gt;ABS(K364),"OK","Overusage"),"")</f>
        <v>OK</v>
      </c>
      <c r="R364" t="str">
        <f>_xlfn.XLOOKUP(C364,'Checking(ZSERIALS)'!E:E,'Checking(ZSERIALS)'!F:F)</f>
        <v>CHRISTBELLA CONSTRUCTION MANAGEMENT</v>
      </c>
    </row>
    <row r="365" spans="1:18" x14ac:dyDescent="0.3">
      <c r="A365" s="27">
        <v>40000057</v>
      </c>
      <c r="B365" s="27" t="s">
        <v>11</v>
      </c>
      <c r="C365" s="27">
        <v>4500866</v>
      </c>
      <c r="D365" s="27">
        <v>1000</v>
      </c>
      <c r="E365" s="27" t="s">
        <v>53</v>
      </c>
      <c r="F365" s="27" t="s">
        <v>73</v>
      </c>
      <c r="G365" s="27">
        <v>4900030571</v>
      </c>
      <c r="H365" s="27" t="s">
        <v>54</v>
      </c>
      <c r="I365" s="28">
        <v>45300</v>
      </c>
      <c r="J365" s="27" t="s">
        <v>72</v>
      </c>
      <c r="K365" s="29">
        <v>-2</v>
      </c>
      <c r="L365" s="31">
        <v>1680000722982</v>
      </c>
      <c r="M365" s="28">
        <v>45300</v>
      </c>
      <c r="N365" s="30">
        <v>0.49103009259259001</v>
      </c>
      <c r="O365" s="27" t="s">
        <v>200</v>
      </c>
      <c r="P365" s="137"/>
      <c r="Q365" t="str">
        <f>IFERROR(IF((_xlfn.XLOOKUP(A365,'Set of Installation'!A:A,'Set of Installation'!C:C)+1)&gt;ABS(K365),"OK","Overusage"),"")</f>
        <v>OK</v>
      </c>
      <c r="R365" t="str">
        <f>_xlfn.XLOOKUP(C365,'Checking(ZSERIALS)'!E:E,'Checking(ZSERIALS)'!F:F)</f>
        <v>CHRISTBELLA CONSTRUCTION MANAGEMENT</v>
      </c>
    </row>
    <row r="366" spans="1:18" x14ac:dyDescent="0.3">
      <c r="A366" s="27">
        <v>40000057</v>
      </c>
      <c r="B366" s="27" t="s">
        <v>11</v>
      </c>
      <c r="C366" s="27">
        <v>4500866</v>
      </c>
      <c r="D366" s="27">
        <v>1000</v>
      </c>
      <c r="E366" s="27" t="s">
        <v>53</v>
      </c>
      <c r="F366" s="27" t="s">
        <v>73</v>
      </c>
      <c r="G366" s="27">
        <v>4900030288</v>
      </c>
      <c r="H366" s="27" t="s">
        <v>54</v>
      </c>
      <c r="I366" s="28">
        <v>45300</v>
      </c>
      <c r="J366" s="27" t="s">
        <v>72</v>
      </c>
      <c r="K366" s="29">
        <v>-2</v>
      </c>
      <c r="L366" s="31">
        <v>1680000721575</v>
      </c>
      <c r="M366" s="28">
        <v>45300</v>
      </c>
      <c r="N366" s="30">
        <v>0.45773148148148002</v>
      </c>
      <c r="O366" s="27" t="s">
        <v>197</v>
      </c>
      <c r="P366" s="137"/>
      <c r="Q366" t="str">
        <f>IFERROR(IF((_xlfn.XLOOKUP(A366,'Set of Installation'!A:A,'Set of Installation'!C:C)+1)&gt;ABS(K366),"OK","Overusage"),"")</f>
        <v>OK</v>
      </c>
      <c r="R366" t="str">
        <f>_xlfn.XLOOKUP(C366,'Checking(ZSERIALS)'!E:E,'Checking(ZSERIALS)'!F:F)</f>
        <v>CHRISTBELLA CONSTRUCTION MANAGEMENT</v>
      </c>
    </row>
    <row r="367" spans="1:18" x14ac:dyDescent="0.3">
      <c r="A367" s="27">
        <v>40000057</v>
      </c>
      <c r="B367" s="27" t="s">
        <v>11</v>
      </c>
      <c r="C367" s="27">
        <v>4500866</v>
      </c>
      <c r="D367" s="27">
        <v>1000</v>
      </c>
      <c r="E367" s="27" t="s">
        <v>53</v>
      </c>
      <c r="F367" s="27" t="s">
        <v>73</v>
      </c>
      <c r="G367" s="27">
        <v>4900026206</v>
      </c>
      <c r="H367" s="27" t="s">
        <v>54</v>
      </c>
      <c r="I367" s="28">
        <v>45299</v>
      </c>
      <c r="J367" s="27" t="s">
        <v>72</v>
      </c>
      <c r="K367" s="29">
        <v>-2</v>
      </c>
      <c r="L367" s="31">
        <v>1680000718727</v>
      </c>
      <c r="M367" s="28">
        <v>45299</v>
      </c>
      <c r="N367" s="30">
        <v>0.55628472222222003</v>
      </c>
      <c r="O367" s="27" t="s">
        <v>185</v>
      </c>
      <c r="P367" s="137"/>
      <c r="Q367" t="str">
        <f>IFERROR(IF((_xlfn.XLOOKUP(A367,'Set of Installation'!A:A,'Set of Installation'!C:C)+1)&gt;ABS(K367),"OK","Overusage"),"")</f>
        <v>OK</v>
      </c>
      <c r="R367" t="str">
        <f>_xlfn.XLOOKUP(C367,'Checking(ZSERIALS)'!E:E,'Checking(ZSERIALS)'!F:F)</f>
        <v>CHRISTBELLA CONSTRUCTION MANAGEMENT</v>
      </c>
    </row>
    <row r="368" spans="1:18" x14ac:dyDescent="0.3">
      <c r="A368" s="27">
        <v>40000057</v>
      </c>
      <c r="B368" s="27" t="s">
        <v>11</v>
      </c>
      <c r="C368" s="27">
        <v>4500866</v>
      </c>
      <c r="D368" s="27">
        <v>1000</v>
      </c>
      <c r="E368" s="27" t="s">
        <v>53</v>
      </c>
      <c r="F368" s="27" t="s">
        <v>73</v>
      </c>
      <c r="G368" s="27">
        <v>4900027602</v>
      </c>
      <c r="H368" s="27" t="s">
        <v>54</v>
      </c>
      <c r="I368" s="28">
        <v>45299</v>
      </c>
      <c r="J368" s="27" t="s">
        <v>72</v>
      </c>
      <c r="K368" s="29">
        <v>-2</v>
      </c>
      <c r="L368" s="31">
        <v>1680000695259</v>
      </c>
      <c r="M368" s="28">
        <v>45299</v>
      </c>
      <c r="N368" s="30">
        <v>0.69384259259258996</v>
      </c>
      <c r="O368" s="27" t="s">
        <v>191</v>
      </c>
      <c r="P368" s="137"/>
      <c r="Q368" t="str">
        <f>IFERROR(IF((_xlfn.XLOOKUP(A368,'Set of Installation'!A:A,'Set of Installation'!C:C)+1)&gt;ABS(K368),"OK","Overusage"),"")</f>
        <v>OK</v>
      </c>
      <c r="R368" t="str">
        <f>_xlfn.XLOOKUP(C368,'Checking(ZSERIALS)'!E:E,'Checking(ZSERIALS)'!F:F)</f>
        <v>CHRISTBELLA CONSTRUCTION MANAGEMENT</v>
      </c>
    </row>
    <row r="369" spans="1:18" x14ac:dyDescent="0.3">
      <c r="A369" s="27">
        <v>40000057</v>
      </c>
      <c r="B369" s="27" t="s">
        <v>11</v>
      </c>
      <c r="C369" s="27">
        <v>4500866</v>
      </c>
      <c r="D369" s="27">
        <v>1000</v>
      </c>
      <c r="E369" s="27" t="s">
        <v>53</v>
      </c>
      <c r="F369" s="27" t="s">
        <v>73</v>
      </c>
      <c r="G369" s="27">
        <v>4900025961</v>
      </c>
      <c r="H369" s="27" t="s">
        <v>54</v>
      </c>
      <c r="I369" s="28">
        <v>45299</v>
      </c>
      <c r="J369" s="27" t="s">
        <v>72</v>
      </c>
      <c r="K369" s="29">
        <v>-2</v>
      </c>
      <c r="L369" s="31">
        <v>1680000719107</v>
      </c>
      <c r="M369" s="28">
        <v>45299</v>
      </c>
      <c r="N369" s="30">
        <v>0.52298611111111004</v>
      </c>
      <c r="O369" s="27" t="s">
        <v>182</v>
      </c>
      <c r="P369" s="137"/>
      <c r="Q369" t="str">
        <f>IFERROR(IF((_xlfn.XLOOKUP(A369,'Set of Installation'!A:A,'Set of Installation'!C:C)+1)&gt;ABS(K369),"OK","Overusage"),"")</f>
        <v>OK</v>
      </c>
      <c r="R369" t="str">
        <f>_xlfn.XLOOKUP(C369,'Checking(ZSERIALS)'!E:E,'Checking(ZSERIALS)'!F:F)</f>
        <v>CHRISTBELLA CONSTRUCTION MANAGEMENT</v>
      </c>
    </row>
    <row r="370" spans="1:18" x14ac:dyDescent="0.3">
      <c r="A370" s="27">
        <v>40000057</v>
      </c>
      <c r="B370" s="27" t="s">
        <v>11</v>
      </c>
      <c r="C370" s="27">
        <v>4500866</v>
      </c>
      <c r="D370" s="27">
        <v>1000</v>
      </c>
      <c r="E370" s="27" t="s">
        <v>53</v>
      </c>
      <c r="F370" s="27" t="s">
        <v>73</v>
      </c>
      <c r="G370" s="27">
        <v>4900022702</v>
      </c>
      <c r="H370" s="27" t="s">
        <v>54</v>
      </c>
      <c r="I370" s="28">
        <v>45298</v>
      </c>
      <c r="J370" s="27" t="s">
        <v>72</v>
      </c>
      <c r="K370" s="29">
        <v>-2</v>
      </c>
      <c r="L370" s="31">
        <v>1680000714162</v>
      </c>
      <c r="M370" s="28">
        <v>45298</v>
      </c>
      <c r="N370" s="30">
        <v>0.56460648148147996</v>
      </c>
      <c r="O370" s="27" t="s">
        <v>170</v>
      </c>
      <c r="P370" s="137"/>
      <c r="Q370" t="str">
        <f>IFERROR(IF((_xlfn.XLOOKUP(A370,'Set of Installation'!A:A,'Set of Installation'!C:C)+1)&gt;ABS(K370),"OK","Overusage"),"")</f>
        <v>OK</v>
      </c>
      <c r="R370" t="str">
        <f>_xlfn.XLOOKUP(C370,'Checking(ZSERIALS)'!E:E,'Checking(ZSERIALS)'!F:F)</f>
        <v>CHRISTBELLA CONSTRUCTION MANAGEMENT</v>
      </c>
    </row>
    <row r="371" spans="1:18" x14ac:dyDescent="0.3">
      <c r="A371" s="27">
        <v>40000057</v>
      </c>
      <c r="B371" s="27" t="s">
        <v>11</v>
      </c>
      <c r="C371" s="27">
        <v>4500866</v>
      </c>
      <c r="D371" s="27">
        <v>1000</v>
      </c>
      <c r="E371" s="27" t="s">
        <v>53</v>
      </c>
      <c r="F371" s="27" t="s">
        <v>73</v>
      </c>
      <c r="G371" s="27">
        <v>4900022662</v>
      </c>
      <c r="H371" s="27" t="s">
        <v>54</v>
      </c>
      <c r="I371" s="28">
        <v>45298</v>
      </c>
      <c r="J371" s="27" t="s">
        <v>72</v>
      </c>
      <c r="K371" s="29">
        <v>-2</v>
      </c>
      <c r="L371" s="31">
        <v>1680000718039</v>
      </c>
      <c r="M371" s="28">
        <v>45298</v>
      </c>
      <c r="N371" s="30">
        <v>0.55349537037037</v>
      </c>
      <c r="O371" s="27" t="s">
        <v>167</v>
      </c>
      <c r="P371" s="137"/>
      <c r="Q371" t="str">
        <f>IFERROR(IF((_xlfn.XLOOKUP(A371,'Set of Installation'!A:A,'Set of Installation'!C:C)+1)&gt;ABS(K371),"OK","Overusage"),"")</f>
        <v>OK</v>
      </c>
      <c r="R371" t="str">
        <f>_xlfn.XLOOKUP(C371,'Checking(ZSERIALS)'!E:E,'Checking(ZSERIALS)'!F:F)</f>
        <v>CHRISTBELLA CONSTRUCTION MANAGEMENT</v>
      </c>
    </row>
    <row r="372" spans="1:18" x14ac:dyDescent="0.3">
      <c r="A372" s="27">
        <v>40000057</v>
      </c>
      <c r="B372" s="27" t="s">
        <v>11</v>
      </c>
      <c r="C372" s="27">
        <v>4500866</v>
      </c>
      <c r="D372" s="27">
        <v>1000</v>
      </c>
      <c r="E372" s="27" t="s">
        <v>53</v>
      </c>
      <c r="F372" s="27" t="s">
        <v>73</v>
      </c>
      <c r="G372" s="27">
        <v>4900023883</v>
      </c>
      <c r="H372" s="27" t="s">
        <v>54</v>
      </c>
      <c r="I372" s="28">
        <v>45298</v>
      </c>
      <c r="J372" s="27" t="s">
        <v>72</v>
      </c>
      <c r="K372" s="29">
        <v>-2</v>
      </c>
      <c r="L372" s="31">
        <v>1680000720228</v>
      </c>
      <c r="M372" s="28">
        <v>45298</v>
      </c>
      <c r="N372" s="30">
        <v>0.74239583333333004</v>
      </c>
      <c r="O372" s="27" t="s">
        <v>176</v>
      </c>
      <c r="P372" s="137"/>
      <c r="Q372" t="str">
        <f>IFERROR(IF((_xlfn.XLOOKUP(A372,'Set of Installation'!A:A,'Set of Installation'!C:C)+1)&gt;ABS(K372),"OK","Overusage"),"")</f>
        <v>OK</v>
      </c>
      <c r="R372" t="str">
        <f>_xlfn.XLOOKUP(C372,'Checking(ZSERIALS)'!E:E,'Checking(ZSERIALS)'!F:F)</f>
        <v>CHRISTBELLA CONSTRUCTION MANAGEMENT</v>
      </c>
    </row>
    <row r="373" spans="1:18" x14ac:dyDescent="0.3">
      <c r="A373" s="27">
        <v>40000057</v>
      </c>
      <c r="B373" s="27" t="s">
        <v>11</v>
      </c>
      <c r="C373" s="27">
        <v>4500866</v>
      </c>
      <c r="D373" s="27">
        <v>1000</v>
      </c>
      <c r="E373" s="27" t="s">
        <v>53</v>
      </c>
      <c r="F373" s="27" t="s">
        <v>73</v>
      </c>
      <c r="G373" s="27">
        <v>4900023395</v>
      </c>
      <c r="H373" s="27" t="s">
        <v>54</v>
      </c>
      <c r="I373" s="28">
        <v>45298</v>
      </c>
      <c r="J373" s="27" t="s">
        <v>72</v>
      </c>
      <c r="K373" s="29">
        <v>-2</v>
      </c>
      <c r="L373" s="31">
        <v>1680000719137</v>
      </c>
      <c r="M373" s="28">
        <v>45298</v>
      </c>
      <c r="N373" s="30">
        <v>0.66738425925926004</v>
      </c>
      <c r="O373" s="27" t="s">
        <v>173</v>
      </c>
      <c r="P373" s="137"/>
      <c r="Q373" t="str">
        <f>IFERROR(IF((_xlfn.XLOOKUP(A373,'Set of Installation'!A:A,'Set of Installation'!C:C)+1)&gt;ABS(K373),"OK","Overusage"),"")</f>
        <v>OK</v>
      </c>
      <c r="R373" t="str">
        <f>_xlfn.XLOOKUP(C373,'Checking(ZSERIALS)'!E:E,'Checking(ZSERIALS)'!F:F)</f>
        <v>CHRISTBELLA CONSTRUCTION MANAGEMENT</v>
      </c>
    </row>
    <row r="374" spans="1:18" x14ac:dyDescent="0.3">
      <c r="A374" s="27">
        <v>40000057</v>
      </c>
      <c r="B374" s="27" t="s">
        <v>11</v>
      </c>
      <c r="C374" s="27">
        <v>4500866</v>
      </c>
      <c r="D374" s="27">
        <v>1000</v>
      </c>
      <c r="E374" s="27" t="s">
        <v>53</v>
      </c>
      <c r="F374" s="27" t="s">
        <v>73</v>
      </c>
      <c r="G374" s="27">
        <v>4900022008</v>
      </c>
      <c r="H374" s="27" t="s">
        <v>54</v>
      </c>
      <c r="I374" s="28">
        <v>45298</v>
      </c>
      <c r="J374" s="27" t="s">
        <v>72</v>
      </c>
      <c r="K374" s="29">
        <v>-2</v>
      </c>
      <c r="L374" s="31">
        <v>1680000714781</v>
      </c>
      <c r="M374" s="28">
        <v>45298</v>
      </c>
      <c r="N374" s="30">
        <v>0.42849537037037</v>
      </c>
      <c r="O374" s="27" t="s">
        <v>161</v>
      </c>
      <c r="P374" s="137"/>
      <c r="Q374" t="str">
        <f>IFERROR(IF((_xlfn.XLOOKUP(A374,'Set of Installation'!A:A,'Set of Installation'!C:C)+1)&gt;ABS(K374),"OK","Overusage"),"")</f>
        <v>OK</v>
      </c>
      <c r="R374" t="str">
        <f>_xlfn.XLOOKUP(C374,'Checking(ZSERIALS)'!E:E,'Checking(ZSERIALS)'!F:F)</f>
        <v>CHRISTBELLA CONSTRUCTION MANAGEMENT</v>
      </c>
    </row>
    <row r="375" spans="1:18" x14ac:dyDescent="0.3">
      <c r="A375" s="27">
        <v>40000057</v>
      </c>
      <c r="B375" s="27" t="s">
        <v>11</v>
      </c>
      <c r="C375" s="27">
        <v>4500866</v>
      </c>
      <c r="D375" s="27">
        <v>1000</v>
      </c>
      <c r="E375" s="27" t="s">
        <v>53</v>
      </c>
      <c r="F375" s="27" t="s">
        <v>73</v>
      </c>
      <c r="G375" s="27">
        <v>4900017966</v>
      </c>
      <c r="H375" s="27" t="s">
        <v>54</v>
      </c>
      <c r="I375" s="28">
        <v>45297</v>
      </c>
      <c r="J375" s="27" t="s">
        <v>72</v>
      </c>
      <c r="K375" s="29">
        <v>-2</v>
      </c>
      <c r="L375" s="31">
        <v>1680000714783</v>
      </c>
      <c r="M375" s="28">
        <v>45297</v>
      </c>
      <c r="N375" s="30">
        <v>0.52988425925925997</v>
      </c>
      <c r="O375" s="27" t="s">
        <v>149</v>
      </c>
      <c r="P375" s="137"/>
      <c r="Q375" t="str">
        <f>IFERROR(IF((_xlfn.XLOOKUP(A375,'Set of Installation'!A:A,'Set of Installation'!C:C)+1)&gt;ABS(K375),"OK","Overusage"),"")</f>
        <v>OK</v>
      </c>
      <c r="R375" t="str">
        <f>_xlfn.XLOOKUP(C375,'Checking(ZSERIALS)'!E:E,'Checking(ZSERIALS)'!F:F)</f>
        <v>CHRISTBELLA CONSTRUCTION MANAGEMENT</v>
      </c>
    </row>
    <row r="376" spans="1:18" x14ac:dyDescent="0.3">
      <c r="A376" s="27">
        <v>40000057</v>
      </c>
      <c r="B376" s="27" t="s">
        <v>11</v>
      </c>
      <c r="C376" s="27">
        <v>4500866</v>
      </c>
      <c r="D376" s="27">
        <v>1000</v>
      </c>
      <c r="E376" s="27" t="s">
        <v>53</v>
      </c>
      <c r="F376" s="27" t="s">
        <v>73</v>
      </c>
      <c r="G376" s="27">
        <v>4900014043</v>
      </c>
      <c r="H376" s="27" t="s">
        <v>54</v>
      </c>
      <c r="I376" s="28">
        <v>45296</v>
      </c>
      <c r="J376" s="27" t="s">
        <v>72</v>
      </c>
      <c r="K376" s="29">
        <v>-2</v>
      </c>
      <c r="L376" s="31">
        <v>1680000712396</v>
      </c>
      <c r="M376" s="28">
        <v>45296</v>
      </c>
      <c r="N376" s="30">
        <v>0.65347222222222001</v>
      </c>
      <c r="O376" s="27" t="s">
        <v>137</v>
      </c>
      <c r="P376" s="137"/>
      <c r="Q376" t="str">
        <f>IFERROR(IF((_xlfn.XLOOKUP(A376,'Set of Installation'!A:A,'Set of Installation'!C:C)+1)&gt;ABS(K376),"OK","Overusage"),"")</f>
        <v>OK</v>
      </c>
      <c r="R376" t="str">
        <f>_xlfn.XLOOKUP(C376,'Checking(ZSERIALS)'!E:E,'Checking(ZSERIALS)'!F:F)</f>
        <v>CHRISTBELLA CONSTRUCTION MANAGEMENT</v>
      </c>
    </row>
    <row r="377" spans="1:18" x14ac:dyDescent="0.3">
      <c r="A377" s="27">
        <v>40000057</v>
      </c>
      <c r="B377" s="27" t="s">
        <v>11</v>
      </c>
      <c r="C377" s="27">
        <v>4500866</v>
      </c>
      <c r="D377" s="27">
        <v>1000</v>
      </c>
      <c r="E377" s="27" t="s">
        <v>53</v>
      </c>
      <c r="F377" s="27" t="s">
        <v>73</v>
      </c>
      <c r="G377" s="27">
        <v>4900012852</v>
      </c>
      <c r="H377" s="27" t="s">
        <v>54</v>
      </c>
      <c r="I377" s="28">
        <v>45296</v>
      </c>
      <c r="J377" s="27" t="s">
        <v>72</v>
      </c>
      <c r="K377" s="29">
        <v>-2</v>
      </c>
      <c r="L377" s="31">
        <v>1680000710201</v>
      </c>
      <c r="M377" s="28">
        <v>45296</v>
      </c>
      <c r="N377" s="30">
        <v>0.51946759259259001</v>
      </c>
      <c r="O377" s="27" t="s">
        <v>125</v>
      </c>
      <c r="P377" s="137"/>
      <c r="Q377" t="str">
        <f>IFERROR(IF((_xlfn.XLOOKUP(A377,'Set of Installation'!A:A,'Set of Installation'!C:C)+1)&gt;ABS(K377),"OK","Overusage"),"")</f>
        <v>OK</v>
      </c>
      <c r="R377" t="str">
        <f>_xlfn.XLOOKUP(C377,'Checking(ZSERIALS)'!E:E,'Checking(ZSERIALS)'!F:F)</f>
        <v>CHRISTBELLA CONSTRUCTION MANAGEMENT</v>
      </c>
    </row>
    <row r="378" spans="1:18" x14ac:dyDescent="0.3">
      <c r="A378" s="27">
        <v>40000057</v>
      </c>
      <c r="B378" s="27" t="s">
        <v>11</v>
      </c>
      <c r="C378" s="27">
        <v>4500866</v>
      </c>
      <c r="D378" s="27">
        <v>1000</v>
      </c>
      <c r="E378" s="27" t="s">
        <v>53</v>
      </c>
      <c r="F378" s="27" t="s">
        <v>73</v>
      </c>
      <c r="G378" s="27">
        <v>4900014547</v>
      </c>
      <c r="H378" s="27" t="s">
        <v>54</v>
      </c>
      <c r="I378" s="28">
        <v>45296</v>
      </c>
      <c r="J378" s="27" t="s">
        <v>72</v>
      </c>
      <c r="K378" s="29">
        <v>-2</v>
      </c>
      <c r="L378" s="31">
        <v>1680000712841</v>
      </c>
      <c r="M378" s="28">
        <v>45296</v>
      </c>
      <c r="N378" s="30">
        <v>0.70487268518518997</v>
      </c>
      <c r="O378" s="27" t="s">
        <v>140</v>
      </c>
      <c r="P378" s="137"/>
      <c r="Q378" t="str">
        <f>IFERROR(IF((_xlfn.XLOOKUP(A378,'Set of Installation'!A:A,'Set of Installation'!C:C)+1)&gt;ABS(K378),"OK","Overusage"),"")</f>
        <v>OK</v>
      </c>
      <c r="R378" t="str">
        <f>_xlfn.XLOOKUP(C378,'Checking(ZSERIALS)'!E:E,'Checking(ZSERIALS)'!F:F)</f>
        <v>CHRISTBELLA CONSTRUCTION MANAGEMENT</v>
      </c>
    </row>
    <row r="379" spans="1:18" x14ac:dyDescent="0.3">
      <c r="A379" s="27">
        <v>40000057</v>
      </c>
      <c r="B379" s="27" t="s">
        <v>11</v>
      </c>
      <c r="C379" s="27">
        <v>4500866</v>
      </c>
      <c r="D379" s="27">
        <v>1000</v>
      </c>
      <c r="E379" s="27" t="s">
        <v>53</v>
      </c>
      <c r="F379" s="27" t="s">
        <v>73</v>
      </c>
      <c r="G379" s="27">
        <v>4900013228</v>
      </c>
      <c r="H379" s="27" t="s">
        <v>54</v>
      </c>
      <c r="I379" s="28">
        <v>45296</v>
      </c>
      <c r="J379" s="27" t="s">
        <v>72</v>
      </c>
      <c r="K379" s="29">
        <v>-2</v>
      </c>
      <c r="L379" s="31">
        <v>1680000700036</v>
      </c>
      <c r="M379" s="28">
        <v>45296</v>
      </c>
      <c r="N379" s="30">
        <v>0.56253472222222001</v>
      </c>
      <c r="O379" s="27" t="s">
        <v>134</v>
      </c>
      <c r="P379" s="137"/>
      <c r="Q379" t="str">
        <f>IFERROR(IF((_xlfn.XLOOKUP(A379,'Set of Installation'!A:A,'Set of Installation'!C:C)+1)&gt;ABS(K379),"OK","Overusage"),"")</f>
        <v>OK</v>
      </c>
      <c r="R379" t="str">
        <f>_xlfn.XLOOKUP(C379,'Checking(ZSERIALS)'!E:E,'Checking(ZSERIALS)'!F:F)</f>
        <v>CHRISTBELLA CONSTRUCTION MANAGEMENT</v>
      </c>
    </row>
    <row r="380" spans="1:18" x14ac:dyDescent="0.3">
      <c r="A380" s="27">
        <v>40000057</v>
      </c>
      <c r="B380" s="27" t="s">
        <v>11</v>
      </c>
      <c r="C380" s="27">
        <v>4500866</v>
      </c>
      <c r="D380" s="27">
        <v>1000</v>
      </c>
      <c r="E380" s="27" t="s">
        <v>53</v>
      </c>
      <c r="F380" s="27" t="s">
        <v>73</v>
      </c>
      <c r="G380" s="27">
        <v>4900013196</v>
      </c>
      <c r="H380" s="27" t="s">
        <v>54</v>
      </c>
      <c r="I380" s="28">
        <v>45296</v>
      </c>
      <c r="J380" s="27" t="s">
        <v>72</v>
      </c>
      <c r="K380" s="29">
        <v>-2</v>
      </c>
      <c r="L380" s="31">
        <v>1680000711607</v>
      </c>
      <c r="M380" s="28">
        <v>45296</v>
      </c>
      <c r="N380" s="30">
        <v>0.55972222222222001</v>
      </c>
      <c r="O380" s="27" t="s">
        <v>131</v>
      </c>
      <c r="P380" s="137"/>
      <c r="Q380" t="str">
        <f>IFERROR(IF((_xlfn.XLOOKUP(A380,'Set of Installation'!A:A,'Set of Installation'!C:C)+1)&gt;ABS(K380),"OK","Overusage"),"")</f>
        <v>OK</v>
      </c>
      <c r="R380" t="str">
        <f>_xlfn.XLOOKUP(C380,'Checking(ZSERIALS)'!E:E,'Checking(ZSERIALS)'!F:F)</f>
        <v>CHRISTBELLA CONSTRUCTION MANAGEMENT</v>
      </c>
    </row>
    <row r="381" spans="1:18" x14ac:dyDescent="0.3">
      <c r="A381" s="27">
        <v>40000057</v>
      </c>
      <c r="B381" s="27" t="s">
        <v>11</v>
      </c>
      <c r="C381" s="27">
        <v>4500866</v>
      </c>
      <c r="D381" s="27">
        <v>1000</v>
      </c>
      <c r="E381" s="27" t="s">
        <v>53</v>
      </c>
      <c r="F381" s="27" t="s">
        <v>73</v>
      </c>
      <c r="G381" s="27">
        <v>4900015408</v>
      </c>
      <c r="H381" s="27" t="s">
        <v>54</v>
      </c>
      <c r="I381" s="28">
        <v>45296</v>
      </c>
      <c r="J381" s="27" t="s">
        <v>72</v>
      </c>
      <c r="K381" s="29">
        <v>-2</v>
      </c>
      <c r="L381" s="31">
        <v>1680000713356</v>
      </c>
      <c r="M381" s="28">
        <v>45296</v>
      </c>
      <c r="N381" s="30">
        <v>0.78545138888888999</v>
      </c>
      <c r="O381" s="27" t="s">
        <v>146</v>
      </c>
      <c r="P381" s="137"/>
      <c r="Q381" t="str">
        <f>IFERROR(IF((_xlfn.XLOOKUP(A381,'Set of Installation'!A:A,'Set of Installation'!C:C)+1)&gt;ABS(K381),"OK","Overusage"),"")</f>
        <v>OK</v>
      </c>
      <c r="R381" t="str">
        <f>_xlfn.XLOOKUP(C381,'Checking(ZSERIALS)'!E:E,'Checking(ZSERIALS)'!F:F)</f>
        <v>CHRISTBELLA CONSTRUCTION MANAGEMENT</v>
      </c>
    </row>
    <row r="382" spans="1:18" x14ac:dyDescent="0.3">
      <c r="A382" s="27">
        <v>40000057</v>
      </c>
      <c r="B382" s="27" t="s">
        <v>11</v>
      </c>
      <c r="C382" s="27">
        <v>4500866</v>
      </c>
      <c r="D382" s="27">
        <v>1000</v>
      </c>
      <c r="E382" s="27" t="s">
        <v>53</v>
      </c>
      <c r="F382" s="27" t="s">
        <v>73</v>
      </c>
      <c r="G382" s="27">
        <v>4900010420</v>
      </c>
      <c r="H382" s="27" t="s">
        <v>54</v>
      </c>
      <c r="I382" s="28">
        <v>45295</v>
      </c>
      <c r="J382" s="27" t="s">
        <v>72</v>
      </c>
      <c r="K382" s="29">
        <v>-2</v>
      </c>
      <c r="L382" s="31">
        <v>1680000710820</v>
      </c>
      <c r="M382" s="28">
        <v>45295</v>
      </c>
      <c r="N382" s="30">
        <v>0.78190972222221999</v>
      </c>
      <c r="O382" s="27" t="s">
        <v>122</v>
      </c>
      <c r="P382" s="137"/>
      <c r="Q382" t="str">
        <f>IFERROR(IF((_xlfn.XLOOKUP(A382,'Set of Installation'!A:A,'Set of Installation'!C:C)+1)&gt;ABS(K382),"OK","Overusage"),"")</f>
        <v>OK</v>
      </c>
      <c r="R382" t="str">
        <f>_xlfn.XLOOKUP(C382,'Checking(ZSERIALS)'!E:E,'Checking(ZSERIALS)'!F:F)</f>
        <v>CHRISTBELLA CONSTRUCTION MANAGEMENT</v>
      </c>
    </row>
    <row r="383" spans="1:18" x14ac:dyDescent="0.3">
      <c r="A383" s="27">
        <v>40000057</v>
      </c>
      <c r="B383" s="27" t="s">
        <v>11</v>
      </c>
      <c r="C383" s="27">
        <v>4500866</v>
      </c>
      <c r="D383" s="27">
        <v>1000</v>
      </c>
      <c r="E383" s="27" t="s">
        <v>53</v>
      </c>
      <c r="F383" s="27" t="s">
        <v>73</v>
      </c>
      <c r="G383" s="27">
        <v>4900008763</v>
      </c>
      <c r="H383" s="27" t="s">
        <v>54</v>
      </c>
      <c r="I383" s="28">
        <v>45295</v>
      </c>
      <c r="J383" s="27" t="s">
        <v>72</v>
      </c>
      <c r="K383" s="29">
        <v>-2</v>
      </c>
      <c r="L383" s="31">
        <v>1680000692316</v>
      </c>
      <c r="M383" s="28">
        <v>45295</v>
      </c>
      <c r="N383" s="30">
        <v>0.61111111111111005</v>
      </c>
      <c r="O383" s="27" t="s">
        <v>113</v>
      </c>
      <c r="P383" s="137"/>
      <c r="Q383" t="str">
        <f>IFERROR(IF((_xlfn.XLOOKUP(A383,'Set of Installation'!A:A,'Set of Installation'!C:C)+1)&gt;ABS(K383),"OK","Overusage"),"")</f>
        <v>OK</v>
      </c>
      <c r="R383" t="str">
        <f>_xlfn.XLOOKUP(C383,'Checking(ZSERIALS)'!E:E,'Checking(ZSERIALS)'!F:F)</f>
        <v>CHRISTBELLA CONSTRUCTION MANAGEMENT</v>
      </c>
    </row>
    <row r="384" spans="1:18" x14ac:dyDescent="0.3">
      <c r="A384" s="27">
        <v>40000057</v>
      </c>
      <c r="B384" s="27" t="s">
        <v>11</v>
      </c>
      <c r="C384" s="27">
        <v>4500866</v>
      </c>
      <c r="D384" s="27">
        <v>1000</v>
      </c>
      <c r="E384" s="27" t="s">
        <v>53</v>
      </c>
      <c r="F384" s="27" t="s">
        <v>73</v>
      </c>
      <c r="G384" s="27">
        <v>4900010287</v>
      </c>
      <c r="H384" s="27" t="s">
        <v>54</v>
      </c>
      <c r="I384" s="28">
        <v>45295</v>
      </c>
      <c r="J384" s="27" t="s">
        <v>72</v>
      </c>
      <c r="K384" s="29">
        <v>-2</v>
      </c>
      <c r="L384" s="31">
        <v>1680000706966</v>
      </c>
      <c r="M384" s="28">
        <v>45295</v>
      </c>
      <c r="N384" s="30">
        <v>0.76525462962962998</v>
      </c>
      <c r="O384" s="27" t="s">
        <v>116</v>
      </c>
      <c r="P384" s="137"/>
      <c r="Q384" t="str">
        <f>IFERROR(IF((_xlfn.XLOOKUP(A384,'Set of Installation'!A:A,'Set of Installation'!C:C)+1)&gt;ABS(K384),"OK","Overusage"),"")</f>
        <v>OK</v>
      </c>
      <c r="R384" t="str">
        <f>_xlfn.XLOOKUP(C384,'Checking(ZSERIALS)'!E:E,'Checking(ZSERIALS)'!F:F)</f>
        <v>CHRISTBELLA CONSTRUCTION MANAGEMENT</v>
      </c>
    </row>
    <row r="385" spans="1:18" x14ac:dyDescent="0.3">
      <c r="A385" s="27">
        <v>40000057</v>
      </c>
      <c r="B385" s="27" t="s">
        <v>11</v>
      </c>
      <c r="C385" s="27">
        <v>4500866</v>
      </c>
      <c r="D385" s="27">
        <v>1000</v>
      </c>
      <c r="E385" s="27" t="s">
        <v>53</v>
      </c>
      <c r="F385" s="27" t="s">
        <v>73</v>
      </c>
      <c r="G385" s="27">
        <v>4900010391</v>
      </c>
      <c r="H385" s="27" t="s">
        <v>54</v>
      </c>
      <c r="I385" s="28">
        <v>45295</v>
      </c>
      <c r="J385" s="27" t="s">
        <v>72</v>
      </c>
      <c r="K385" s="29">
        <v>-2</v>
      </c>
      <c r="L385" s="31">
        <v>1680000710858</v>
      </c>
      <c r="M385" s="28">
        <v>45295</v>
      </c>
      <c r="N385" s="30">
        <v>0.77778935185185005</v>
      </c>
      <c r="O385" s="27" t="s">
        <v>119</v>
      </c>
      <c r="P385" s="137"/>
      <c r="Q385" t="str">
        <f>IFERROR(IF((_xlfn.XLOOKUP(A385,'Set of Installation'!A:A,'Set of Installation'!C:C)+1)&gt;ABS(K385),"OK","Overusage"),"")</f>
        <v>OK</v>
      </c>
      <c r="R385" t="str">
        <f>_xlfn.XLOOKUP(C385,'Checking(ZSERIALS)'!E:E,'Checking(ZSERIALS)'!F:F)</f>
        <v>CHRISTBELLA CONSTRUCTION MANAGEMENT</v>
      </c>
    </row>
    <row r="386" spans="1:18" x14ac:dyDescent="0.3">
      <c r="A386" s="27">
        <v>40000057</v>
      </c>
      <c r="B386" s="27" t="s">
        <v>11</v>
      </c>
      <c r="C386" s="27">
        <v>4500866</v>
      </c>
      <c r="D386" s="27">
        <v>1000</v>
      </c>
      <c r="E386" s="27" t="s">
        <v>53</v>
      </c>
      <c r="F386" s="27" t="s">
        <v>73</v>
      </c>
      <c r="G386" s="27">
        <v>4900003797</v>
      </c>
      <c r="H386" s="27" t="s">
        <v>54</v>
      </c>
      <c r="I386" s="28">
        <v>45294</v>
      </c>
      <c r="J386" s="27" t="s">
        <v>72</v>
      </c>
      <c r="K386" s="29">
        <v>-2</v>
      </c>
      <c r="L386" s="31">
        <v>1680000705942</v>
      </c>
      <c r="M386" s="28">
        <v>45294</v>
      </c>
      <c r="N386" s="30">
        <v>0.56662037037037005</v>
      </c>
      <c r="O386" s="27" t="s">
        <v>107</v>
      </c>
      <c r="P386" s="137"/>
      <c r="Q386" t="str">
        <f>IFERROR(IF((_xlfn.XLOOKUP(A386,'Set of Installation'!A:A,'Set of Installation'!C:C)+1)&gt;ABS(K386),"OK","Overusage"),"")</f>
        <v>OK</v>
      </c>
      <c r="R386" t="str">
        <f>_xlfn.XLOOKUP(C386,'Checking(ZSERIALS)'!E:E,'Checking(ZSERIALS)'!F:F)</f>
        <v>CHRISTBELLA CONSTRUCTION MANAGEMENT</v>
      </c>
    </row>
    <row r="387" spans="1:18" x14ac:dyDescent="0.3">
      <c r="A387" s="27">
        <v>40000057</v>
      </c>
      <c r="B387" s="27" t="s">
        <v>11</v>
      </c>
      <c r="C387" s="27">
        <v>4500866</v>
      </c>
      <c r="D387" s="27">
        <v>1000</v>
      </c>
      <c r="E387" s="27" t="s">
        <v>53</v>
      </c>
      <c r="F387" s="27" t="s">
        <v>73</v>
      </c>
      <c r="G387" s="27">
        <v>4900004106</v>
      </c>
      <c r="H387" s="27" t="s">
        <v>54</v>
      </c>
      <c r="I387" s="28">
        <v>45294</v>
      </c>
      <c r="J387" s="27" t="s">
        <v>72</v>
      </c>
      <c r="K387" s="29">
        <v>-2</v>
      </c>
      <c r="L387" s="31">
        <v>1680000701938</v>
      </c>
      <c r="M387" s="28">
        <v>45294</v>
      </c>
      <c r="N387" s="30">
        <v>0.60273148148148004</v>
      </c>
      <c r="O387" s="27" t="s">
        <v>110</v>
      </c>
      <c r="P387" s="137"/>
      <c r="Q387" t="str">
        <f>IFERROR(IF((_xlfn.XLOOKUP(A387,'Set of Installation'!A:A,'Set of Installation'!C:C)+1)&gt;ABS(K387),"OK","Overusage"),"")</f>
        <v>OK</v>
      </c>
      <c r="R387" t="str">
        <f>_xlfn.XLOOKUP(C387,'Checking(ZSERIALS)'!E:E,'Checking(ZSERIALS)'!F:F)</f>
        <v>CHRISTBELLA CONSTRUCTION MANAGEMENT</v>
      </c>
    </row>
    <row r="388" spans="1:18" x14ac:dyDescent="0.3">
      <c r="A388" s="27">
        <v>40000057</v>
      </c>
      <c r="B388" s="27" t="s">
        <v>11</v>
      </c>
      <c r="C388" s="27">
        <v>4500866</v>
      </c>
      <c r="D388" s="27">
        <v>1000</v>
      </c>
      <c r="E388" s="27" t="s">
        <v>53</v>
      </c>
      <c r="F388" s="27" t="s">
        <v>73</v>
      </c>
      <c r="G388" s="27">
        <v>4900140958</v>
      </c>
      <c r="H388" s="27" t="s">
        <v>54</v>
      </c>
      <c r="I388" s="28">
        <v>45291</v>
      </c>
      <c r="J388" s="27" t="s">
        <v>72</v>
      </c>
      <c r="K388" s="29">
        <v>-2</v>
      </c>
      <c r="L388" s="31">
        <v>1680000701780</v>
      </c>
      <c r="M388" s="28">
        <v>45291</v>
      </c>
      <c r="N388" s="30">
        <v>0.52074074074073995</v>
      </c>
      <c r="O388" s="27" t="s">
        <v>395</v>
      </c>
      <c r="P388" s="137"/>
      <c r="Q388" t="str">
        <f>IFERROR(IF((_xlfn.XLOOKUP(A388,'Set of Installation'!A:A,'Set of Installation'!C:C)+1)&gt;ABS(K388),"OK","Overusage"),"")</f>
        <v>OK</v>
      </c>
      <c r="R388" t="str">
        <f>_xlfn.XLOOKUP(C388,'Checking(ZSERIALS)'!E:E,'Checking(ZSERIALS)'!F:F)</f>
        <v>CHRISTBELLA CONSTRUCTION MANAGEMENT</v>
      </c>
    </row>
    <row r="389" spans="1:18" x14ac:dyDescent="0.3">
      <c r="A389" s="27">
        <v>40000057</v>
      </c>
      <c r="B389" s="27" t="s">
        <v>11</v>
      </c>
      <c r="C389" s="27">
        <v>4500866</v>
      </c>
      <c r="D389" s="27">
        <v>1000</v>
      </c>
      <c r="E389" s="27" t="s">
        <v>53</v>
      </c>
      <c r="F389" s="27" t="s">
        <v>73</v>
      </c>
      <c r="G389" s="27">
        <v>4900140569</v>
      </c>
      <c r="H389" s="27" t="s">
        <v>54</v>
      </c>
      <c r="I389" s="28">
        <v>45291</v>
      </c>
      <c r="J389" s="27" t="s">
        <v>72</v>
      </c>
      <c r="K389" s="29">
        <v>-2</v>
      </c>
      <c r="L389" s="31">
        <v>1680000701674</v>
      </c>
      <c r="M389" s="28">
        <v>45291</v>
      </c>
      <c r="N389" s="30">
        <v>0.42490740740741001</v>
      </c>
      <c r="O389" s="27" t="s">
        <v>392</v>
      </c>
      <c r="P389" s="137"/>
      <c r="Q389" t="str">
        <f>IFERROR(IF((_xlfn.XLOOKUP(A389,'Set of Installation'!A:A,'Set of Installation'!C:C)+1)&gt;ABS(K389),"OK","Overusage"),"")</f>
        <v>OK</v>
      </c>
      <c r="R389" t="str">
        <f>_xlfn.XLOOKUP(C389,'Checking(ZSERIALS)'!E:E,'Checking(ZSERIALS)'!F:F)</f>
        <v>CHRISTBELLA CONSTRUCTION MANAGEMENT</v>
      </c>
    </row>
    <row r="390" spans="1:18" x14ac:dyDescent="0.3">
      <c r="A390" s="27">
        <v>40000057</v>
      </c>
      <c r="B390" s="27" t="s">
        <v>11</v>
      </c>
      <c r="C390" s="27">
        <v>4500866</v>
      </c>
      <c r="D390" s="27">
        <v>1000</v>
      </c>
      <c r="E390" s="27" t="s">
        <v>53</v>
      </c>
      <c r="F390" s="27" t="s">
        <v>73</v>
      </c>
      <c r="G390" s="27">
        <v>4900141595</v>
      </c>
      <c r="H390" s="27" t="s">
        <v>54</v>
      </c>
      <c r="I390" s="28">
        <v>45291</v>
      </c>
      <c r="J390" s="27" t="s">
        <v>72</v>
      </c>
      <c r="K390" s="29">
        <v>-2</v>
      </c>
      <c r="L390" s="31">
        <v>1680000698441</v>
      </c>
      <c r="M390" s="28">
        <v>45291</v>
      </c>
      <c r="N390" s="30">
        <v>0.70130787037037001</v>
      </c>
      <c r="O390" s="27" t="s">
        <v>410</v>
      </c>
      <c r="P390" s="137"/>
      <c r="Q390" t="str">
        <f>IFERROR(IF((_xlfn.XLOOKUP(A390,'Set of Installation'!A:A,'Set of Installation'!C:C)+1)&gt;ABS(K390),"OK","Overusage"),"")</f>
        <v>OK</v>
      </c>
      <c r="R390" t="str">
        <f>_xlfn.XLOOKUP(C390,'Checking(ZSERIALS)'!E:E,'Checking(ZSERIALS)'!F:F)</f>
        <v>CHRISTBELLA CONSTRUCTION MANAGEMENT</v>
      </c>
    </row>
    <row r="391" spans="1:18" x14ac:dyDescent="0.3">
      <c r="A391" s="27">
        <v>40000057</v>
      </c>
      <c r="B391" s="27" t="s">
        <v>11</v>
      </c>
      <c r="C391" s="27">
        <v>4500866</v>
      </c>
      <c r="D391" s="27">
        <v>1000</v>
      </c>
      <c r="E391" s="27" t="s">
        <v>53</v>
      </c>
      <c r="F391" s="27" t="s">
        <v>73</v>
      </c>
      <c r="G391" s="27">
        <v>4900141377</v>
      </c>
      <c r="H391" s="27" t="s">
        <v>54</v>
      </c>
      <c r="I391" s="28">
        <v>45291</v>
      </c>
      <c r="J391" s="27" t="s">
        <v>72</v>
      </c>
      <c r="K391" s="29">
        <v>-2</v>
      </c>
      <c r="L391" s="31">
        <v>1680000703147</v>
      </c>
      <c r="M391" s="28">
        <v>45291</v>
      </c>
      <c r="N391" s="30">
        <v>0.62630787037036995</v>
      </c>
      <c r="O391" s="27" t="s">
        <v>401</v>
      </c>
      <c r="P391" s="137"/>
      <c r="Q391" t="str">
        <f>IFERROR(IF((_xlfn.XLOOKUP(A391,'Set of Installation'!A:A,'Set of Installation'!C:C)+1)&gt;ABS(K391),"OK","Overusage"),"")</f>
        <v>OK</v>
      </c>
      <c r="R391" t="str">
        <f>_xlfn.XLOOKUP(C391,'Checking(ZSERIALS)'!E:E,'Checking(ZSERIALS)'!F:F)</f>
        <v>CHRISTBELLA CONSTRUCTION MANAGEMENT</v>
      </c>
    </row>
    <row r="392" spans="1:18" x14ac:dyDescent="0.3">
      <c r="A392" s="27">
        <v>40000057</v>
      </c>
      <c r="B392" s="27" t="s">
        <v>11</v>
      </c>
      <c r="C392" s="27">
        <v>4500866</v>
      </c>
      <c r="D392" s="27">
        <v>1000</v>
      </c>
      <c r="E392" s="27" t="s">
        <v>53</v>
      </c>
      <c r="F392" s="27" t="s">
        <v>73</v>
      </c>
      <c r="G392" s="27">
        <v>4900136770</v>
      </c>
      <c r="H392" s="27" t="s">
        <v>54</v>
      </c>
      <c r="I392" s="28">
        <v>45290</v>
      </c>
      <c r="J392" s="27" t="s">
        <v>72</v>
      </c>
      <c r="K392" s="29">
        <v>-2</v>
      </c>
      <c r="L392" s="31">
        <v>1680000697589</v>
      </c>
      <c r="M392" s="28">
        <v>45290</v>
      </c>
      <c r="N392" s="30">
        <v>0.48328703703704001</v>
      </c>
      <c r="O392" s="27" t="s">
        <v>377</v>
      </c>
      <c r="P392" s="137"/>
      <c r="Q392" t="str">
        <f>IFERROR(IF((_xlfn.XLOOKUP(A392,'Set of Installation'!A:A,'Set of Installation'!C:C)+1)&gt;ABS(K392),"OK","Overusage"),"")</f>
        <v>OK</v>
      </c>
      <c r="R392" t="str">
        <f>_xlfn.XLOOKUP(C392,'Checking(ZSERIALS)'!E:E,'Checking(ZSERIALS)'!F:F)</f>
        <v>CHRISTBELLA CONSTRUCTION MANAGEMENT</v>
      </c>
    </row>
    <row r="393" spans="1:18" x14ac:dyDescent="0.3">
      <c r="A393" s="27">
        <v>40000057</v>
      </c>
      <c r="B393" s="27" t="s">
        <v>11</v>
      </c>
      <c r="C393" s="27">
        <v>4500866</v>
      </c>
      <c r="D393" s="27">
        <v>1000</v>
      </c>
      <c r="E393" s="27" t="s">
        <v>53</v>
      </c>
      <c r="F393" s="27" t="s">
        <v>73</v>
      </c>
      <c r="G393" s="27">
        <v>4900138147</v>
      </c>
      <c r="H393" s="27" t="s">
        <v>54</v>
      </c>
      <c r="I393" s="28">
        <v>45290</v>
      </c>
      <c r="J393" s="27" t="s">
        <v>72</v>
      </c>
      <c r="K393" s="29">
        <v>-2</v>
      </c>
      <c r="L393" s="31">
        <v>1680000697080</v>
      </c>
      <c r="M393" s="28">
        <v>45290</v>
      </c>
      <c r="N393" s="30">
        <v>0.65128472222222</v>
      </c>
      <c r="O393" s="27" t="s">
        <v>383</v>
      </c>
      <c r="P393" s="137"/>
      <c r="Q393" t="str">
        <f>IFERROR(IF((_xlfn.XLOOKUP(A393,'Set of Installation'!A:A,'Set of Installation'!C:C)+1)&gt;ABS(K393),"OK","Overusage"),"")</f>
        <v>OK</v>
      </c>
      <c r="R393" t="str">
        <f>_xlfn.XLOOKUP(C393,'Checking(ZSERIALS)'!E:E,'Checking(ZSERIALS)'!F:F)</f>
        <v>CHRISTBELLA CONSTRUCTION MANAGEMENT</v>
      </c>
    </row>
    <row r="394" spans="1:18" x14ac:dyDescent="0.3">
      <c r="A394" s="27">
        <v>40000057</v>
      </c>
      <c r="B394" s="27" t="s">
        <v>11</v>
      </c>
      <c r="C394" s="27">
        <v>4500866</v>
      </c>
      <c r="D394" s="27">
        <v>1000</v>
      </c>
      <c r="E394" s="27" t="s">
        <v>53</v>
      </c>
      <c r="F394" s="27" t="s">
        <v>73</v>
      </c>
      <c r="G394" s="27">
        <v>4900132654</v>
      </c>
      <c r="H394" s="27" t="s">
        <v>54</v>
      </c>
      <c r="I394" s="28">
        <v>45289</v>
      </c>
      <c r="J394" s="27" t="s">
        <v>72</v>
      </c>
      <c r="K394" s="29">
        <v>-2</v>
      </c>
      <c r="L394" s="31">
        <v>1680000699895</v>
      </c>
      <c r="M394" s="28">
        <v>45289</v>
      </c>
      <c r="N394" s="30">
        <v>0.55685185185185004</v>
      </c>
      <c r="O394" s="27" t="s">
        <v>360</v>
      </c>
      <c r="P394" s="137"/>
      <c r="Q394" t="str">
        <f>IFERROR(IF((_xlfn.XLOOKUP(A394,'Set of Installation'!A:A,'Set of Installation'!C:C)+1)&gt;ABS(K394),"OK","Overusage"),"")</f>
        <v>OK</v>
      </c>
      <c r="R394" t="str">
        <f>_xlfn.XLOOKUP(C394,'Checking(ZSERIALS)'!E:E,'Checking(ZSERIALS)'!F:F)</f>
        <v>CHRISTBELLA CONSTRUCTION MANAGEMENT</v>
      </c>
    </row>
    <row r="395" spans="1:18" x14ac:dyDescent="0.3">
      <c r="A395" s="27">
        <v>40000057</v>
      </c>
      <c r="B395" s="27" t="s">
        <v>11</v>
      </c>
      <c r="C395" s="27">
        <v>4500866</v>
      </c>
      <c r="D395" s="27">
        <v>1000</v>
      </c>
      <c r="E395" s="27" t="s">
        <v>53</v>
      </c>
      <c r="F395" s="27" t="s">
        <v>73</v>
      </c>
      <c r="G395" s="27">
        <v>4900134099</v>
      </c>
      <c r="H395" s="27" t="s">
        <v>54</v>
      </c>
      <c r="I395" s="28">
        <v>45289</v>
      </c>
      <c r="J395" s="27" t="s">
        <v>72</v>
      </c>
      <c r="K395" s="29">
        <v>-2</v>
      </c>
      <c r="L395" s="31">
        <v>1680000700506</v>
      </c>
      <c r="M395" s="28">
        <v>45289</v>
      </c>
      <c r="N395" s="30">
        <v>0.70964120370369999</v>
      </c>
      <c r="O395" s="27" t="s">
        <v>366</v>
      </c>
      <c r="P395" s="137"/>
      <c r="Q395" t="str">
        <f>IFERROR(IF((_xlfn.XLOOKUP(A395,'Set of Installation'!A:A,'Set of Installation'!C:C)+1)&gt;ABS(K395),"OK","Overusage"),"")</f>
        <v>OK</v>
      </c>
      <c r="R395" t="str">
        <f>_xlfn.XLOOKUP(C395,'Checking(ZSERIALS)'!E:E,'Checking(ZSERIALS)'!F:F)</f>
        <v>CHRISTBELLA CONSTRUCTION MANAGEMENT</v>
      </c>
    </row>
    <row r="396" spans="1:18" x14ac:dyDescent="0.3">
      <c r="A396" s="27">
        <v>40000057</v>
      </c>
      <c r="B396" s="27" t="s">
        <v>11</v>
      </c>
      <c r="C396" s="27">
        <v>4500866</v>
      </c>
      <c r="D396" s="27">
        <v>1000</v>
      </c>
      <c r="E396" s="27" t="s">
        <v>53</v>
      </c>
      <c r="F396" s="27" t="s">
        <v>73</v>
      </c>
      <c r="G396" s="27">
        <v>4900134267</v>
      </c>
      <c r="H396" s="27" t="s">
        <v>54</v>
      </c>
      <c r="I396" s="28">
        <v>45289</v>
      </c>
      <c r="J396" s="27" t="s">
        <v>72</v>
      </c>
      <c r="K396" s="29">
        <v>-2</v>
      </c>
      <c r="L396" s="31">
        <v>1680000699442</v>
      </c>
      <c r="M396" s="28">
        <v>45289</v>
      </c>
      <c r="N396" s="30">
        <v>0.72211805555555997</v>
      </c>
      <c r="O396" s="27" t="s">
        <v>369</v>
      </c>
      <c r="P396" s="137"/>
      <c r="Q396" t="str">
        <f>IFERROR(IF((_xlfn.XLOOKUP(A396,'Set of Installation'!A:A,'Set of Installation'!C:C)+1)&gt;ABS(K396),"OK","Overusage"),"")</f>
        <v>OK</v>
      </c>
      <c r="R396" t="str">
        <f>_xlfn.XLOOKUP(C396,'Checking(ZSERIALS)'!E:E,'Checking(ZSERIALS)'!F:F)</f>
        <v>CHRISTBELLA CONSTRUCTION MANAGEMENT</v>
      </c>
    </row>
    <row r="397" spans="1:18" x14ac:dyDescent="0.3">
      <c r="A397" s="27">
        <v>40000057</v>
      </c>
      <c r="B397" s="27" t="s">
        <v>11</v>
      </c>
      <c r="C397" s="27">
        <v>4500866</v>
      </c>
      <c r="D397" s="27">
        <v>1000</v>
      </c>
      <c r="E397" s="27" t="s">
        <v>53</v>
      </c>
      <c r="F397" s="27" t="s">
        <v>73</v>
      </c>
      <c r="G397" s="27">
        <v>4900133936</v>
      </c>
      <c r="H397" s="27" t="s">
        <v>54</v>
      </c>
      <c r="I397" s="28">
        <v>45289</v>
      </c>
      <c r="J397" s="27" t="s">
        <v>72</v>
      </c>
      <c r="K397" s="29">
        <v>-2</v>
      </c>
      <c r="L397" s="31">
        <v>1680000700086</v>
      </c>
      <c r="M397" s="28">
        <v>45289</v>
      </c>
      <c r="N397" s="30">
        <v>0.69854166666666995</v>
      </c>
      <c r="O397" s="27" t="s">
        <v>363</v>
      </c>
      <c r="P397" s="137"/>
      <c r="Q397" t="str">
        <f>IFERROR(IF((_xlfn.XLOOKUP(A397,'Set of Installation'!A:A,'Set of Installation'!C:C)+1)&gt;ABS(K397),"OK","Overusage"),"")</f>
        <v>OK</v>
      </c>
      <c r="R397" t="str">
        <f>_xlfn.XLOOKUP(C397,'Checking(ZSERIALS)'!E:E,'Checking(ZSERIALS)'!F:F)</f>
        <v>CHRISTBELLA CONSTRUCTION MANAGEMENT</v>
      </c>
    </row>
    <row r="398" spans="1:18" x14ac:dyDescent="0.3">
      <c r="A398" s="27">
        <v>40000057</v>
      </c>
      <c r="B398" s="27" t="s">
        <v>11</v>
      </c>
      <c r="C398" s="27">
        <v>4500866</v>
      </c>
      <c r="D398" s="27">
        <v>1000</v>
      </c>
      <c r="E398" s="27" t="s">
        <v>53</v>
      </c>
      <c r="F398" s="27" t="s">
        <v>73</v>
      </c>
      <c r="G398" s="27">
        <v>4900134950</v>
      </c>
      <c r="H398" s="27" t="s">
        <v>54</v>
      </c>
      <c r="I398" s="28">
        <v>45289</v>
      </c>
      <c r="J398" s="27" t="s">
        <v>72</v>
      </c>
      <c r="K398" s="29">
        <v>-2</v>
      </c>
      <c r="L398" s="31">
        <v>1680000697821</v>
      </c>
      <c r="M398" s="28">
        <v>45289</v>
      </c>
      <c r="N398" s="30">
        <v>0.80824074074074004</v>
      </c>
      <c r="O398" s="27" t="s">
        <v>374</v>
      </c>
      <c r="P398" s="137"/>
      <c r="Q398" t="str">
        <f>IFERROR(IF((_xlfn.XLOOKUP(A398,'Set of Installation'!A:A,'Set of Installation'!C:C)+1)&gt;ABS(K398),"OK","Overusage"),"")</f>
        <v>OK</v>
      </c>
      <c r="R398" t="str">
        <f>_xlfn.XLOOKUP(C398,'Checking(ZSERIALS)'!E:E,'Checking(ZSERIALS)'!F:F)</f>
        <v>CHRISTBELLA CONSTRUCTION MANAGEMENT</v>
      </c>
    </row>
    <row r="399" spans="1:18" x14ac:dyDescent="0.3">
      <c r="A399" s="27">
        <v>40000057</v>
      </c>
      <c r="B399" s="27" t="s">
        <v>11</v>
      </c>
      <c r="C399" s="27">
        <v>4500866</v>
      </c>
      <c r="D399" s="27">
        <v>1000</v>
      </c>
      <c r="E399" s="27" t="s">
        <v>53</v>
      </c>
      <c r="F399" s="27" t="s">
        <v>73</v>
      </c>
      <c r="G399" s="27">
        <v>4900135136</v>
      </c>
      <c r="H399" s="27" t="s">
        <v>101</v>
      </c>
      <c r="I399" s="28">
        <v>45289</v>
      </c>
      <c r="J399" s="27" t="s">
        <v>72</v>
      </c>
      <c r="K399" s="29">
        <v>-2</v>
      </c>
      <c r="L399" s="31" t="s">
        <v>103</v>
      </c>
      <c r="M399" s="28">
        <v>45289</v>
      </c>
      <c r="N399" s="30">
        <v>0.83835648148148001</v>
      </c>
      <c r="O399" s="27" t="s">
        <v>104</v>
      </c>
      <c r="P399" s="137"/>
      <c r="Q399" t="str">
        <f>IFERROR(IF((_xlfn.XLOOKUP(A399,'Set of Installation'!A:A,'Set of Installation'!C:C)+1)&gt;ABS(K399),"OK","Overusage"),"")</f>
        <v>OK</v>
      </c>
      <c r="R399" t="str">
        <f>_xlfn.XLOOKUP(C399,'Checking(ZSERIALS)'!E:E,'Checking(ZSERIALS)'!F:F)</f>
        <v>CHRISTBELLA CONSTRUCTION MANAGEMENT</v>
      </c>
    </row>
    <row r="400" spans="1:18" x14ac:dyDescent="0.3">
      <c r="A400" s="27">
        <v>40000057</v>
      </c>
      <c r="B400" s="27" t="s">
        <v>11</v>
      </c>
      <c r="C400" s="27">
        <v>4500866</v>
      </c>
      <c r="D400" s="27">
        <v>1000</v>
      </c>
      <c r="E400" s="27" t="s">
        <v>53</v>
      </c>
      <c r="F400" s="27" t="s">
        <v>73</v>
      </c>
      <c r="G400" s="27">
        <v>4900129226</v>
      </c>
      <c r="H400" s="27" t="s">
        <v>54</v>
      </c>
      <c r="I400" s="28">
        <v>45288</v>
      </c>
      <c r="J400" s="27" t="s">
        <v>72</v>
      </c>
      <c r="K400" s="29">
        <v>-2</v>
      </c>
      <c r="L400" s="31">
        <v>1680000696047</v>
      </c>
      <c r="M400" s="28">
        <v>45288</v>
      </c>
      <c r="N400" s="30">
        <v>0.69991898148148002</v>
      </c>
      <c r="O400" s="27" t="s">
        <v>354</v>
      </c>
      <c r="P400" s="137"/>
      <c r="Q400" t="str">
        <f>IFERROR(IF((_xlfn.XLOOKUP(A400,'Set of Installation'!A:A,'Set of Installation'!C:C)+1)&gt;ABS(K400),"OK","Overusage"),"")</f>
        <v>OK</v>
      </c>
      <c r="R400" t="str">
        <f>_xlfn.XLOOKUP(C400,'Checking(ZSERIALS)'!E:E,'Checking(ZSERIALS)'!F:F)</f>
        <v>CHRISTBELLA CONSTRUCTION MANAGEMENT</v>
      </c>
    </row>
    <row r="401" spans="1:18" x14ac:dyDescent="0.3">
      <c r="A401" s="27">
        <v>40000057</v>
      </c>
      <c r="B401" s="27" t="s">
        <v>11</v>
      </c>
      <c r="C401" s="27">
        <v>4500866</v>
      </c>
      <c r="D401" s="27">
        <v>1000</v>
      </c>
      <c r="E401" s="27" t="s">
        <v>53</v>
      </c>
      <c r="F401" s="27" t="s">
        <v>73</v>
      </c>
      <c r="G401" s="27">
        <v>4900127847</v>
      </c>
      <c r="H401" s="27" t="s">
        <v>54</v>
      </c>
      <c r="I401" s="28">
        <v>45288</v>
      </c>
      <c r="J401" s="27" t="s">
        <v>72</v>
      </c>
      <c r="K401" s="29">
        <v>-2</v>
      </c>
      <c r="L401" s="31">
        <v>1680000696871</v>
      </c>
      <c r="M401" s="28">
        <v>45288</v>
      </c>
      <c r="N401" s="30">
        <v>0.54297453703704002</v>
      </c>
      <c r="O401" s="27" t="s">
        <v>346</v>
      </c>
      <c r="P401" s="137"/>
      <c r="Q401" t="str">
        <f>IFERROR(IF((_xlfn.XLOOKUP(A401,'Set of Installation'!A:A,'Set of Installation'!C:C)+1)&gt;ABS(K401),"OK","Overusage"),"")</f>
        <v>OK</v>
      </c>
      <c r="R401" t="str">
        <f>_xlfn.XLOOKUP(C401,'Checking(ZSERIALS)'!E:E,'Checking(ZSERIALS)'!F:F)</f>
        <v>CHRISTBELLA CONSTRUCTION MANAGEMENT</v>
      </c>
    </row>
    <row r="402" spans="1:18" x14ac:dyDescent="0.3">
      <c r="A402" s="27">
        <v>40000057</v>
      </c>
      <c r="B402" s="27" t="s">
        <v>11</v>
      </c>
      <c r="C402" s="27">
        <v>4500866</v>
      </c>
      <c r="D402" s="27">
        <v>1000</v>
      </c>
      <c r="E402" s="27" t="s">
        <v>53</v>
      </c>
      <c r="F402" s="27" t="s">
        <v>73</v>
      </c>
      <c r="G402" s="27">
        <v>4900129135</v>
      </c>
      <c r="H402" s="27" t="s">
        <v>54</v>
      </c>
      <c r="I402" s="28">
        <v>45288</v>
      </c>
      <c r="J402" s="27" t="s">
        <v>72</v>
      </c>
      <c r="K402" s="29">
        <v>-2</v>
      </c>
      <c r="L402" s="31">
        <v>1680000242746</v>
      </c>
      <c r="M402" s="28">
        <v>45288</v>
      </c>
      <c r="N402" s="30">
        <v>0.69295138888888996</v>
      </c>
      <c r="O402" s="27">
        <v>10996682679</v>
      </c>
      <c r="P402" s="137"/>
      <c r="Q402" t="str">
        <f>IFERROR(IF((_xlfn.XLOOKUP(A402,'Set of Installation'!A:A,'Set of Installation'!C:C)+1)&gt;ABS(K402),"OK","Overusage"),"")</f>
        <v>OK</v>
      </c>
      <c r="R402" t="str">
        <f>_xlfn.XLOOKUP(C402,'Checking(ZSERIALS)'!E:E,'Checking(ZSERIALS)'!F:F)</f>
        <v>CHRISTBELLA CONSTRUCTION MANAGEMENT</v>
      </c>
    </row>
    <row r="403" spans="1:18" x14ac:dyDescent="0.3">
      <c r="A403" s="27">
        <v>40000057</v>
      </c>
      <c r="B403" s="27" t="s">
        <v>11</v>
      </c>
      <c r="C403" s="27">
        <v>4500866</v>
      </c>
      <c r="D403" s="27">
        <v>1000</v>
      </c>
      <c r="E403" s="27" t="s">
        <v>53</v>
      </c>
      <c r="F403" s="27" t="s">
        <v>73</v>
      </c>
      <c r="G403" s="27">
        <v>4900129298</v>
      </c>
      <c r="H403" s="27" t="s">
        <v>54</v>
      </c>
      <c r="I403" s="28">
        <v>45288</v>
      </c>
      <c r="J403" s="27" t="s">
        <v>72</v>
      </c>
      <c r="K403" s="29">
        <v>-2</v>
      </c>
      <c r="L403" s="31">
        <v>1680000696970</v>
      </c>
      <c r="M403" s="28">
        <v>45288</v>
      </c>
      <c r="N403" s="30">
        <v>0.70821759259258998</v>
      </c>
      <c r="O403" s="27" t="s">
        <v>357</v>
      </c>
      <c r="P403" s="137"/>
      <c r="Q403" t="str">
        <f>IFERROR(IF((_xlfn.XLOOKUP(A403,'Set of Installation'!A:A,'Set of Installation'!C:C)+1)&gt;ABS(K403),"OK","Overusage"),"")</f>
        <v>OK</v>
      </c>
      <c r="R403" t="str">
        <f>_xlfn.XLOOKUP(C403,'Checking(ZSERIALS)'!E:E,'Checking(ZSERIALS)'!F:F)</f>
        <v>CHRISTBELLA CONSTRUCTION MANAGEMENT</v>
      </c>
    </row>
    <row r="404" spans="1:18" x14ac:dyDescent="0.3">
      <c r="A404" s="27">
        <v>40000057</v>
      </c>
      <c r="B404" s="27" t="s">
        <v>11</v>
      </c>
      <c r="C404" s="27">
        <v>4500866</v>
      </c>
      <c r="D404" s="27">
        <v>1000</v>
      </c>
      <c r="E404" s="27" t="s">
        <v>53</v>
      </c>
      <c r="F404" s="27" t="s">
        <v>73</v>
      </c>
      <c r="G404" s="27">
        <v>4900128934</v>
      </c>
      <c r="H404" s="27" t="s">
        <v>54</v>
      </c>
      <c r="I404" s="28">
        <v>45288</v>
      </c>
      <c r="J404" s="27" t="s">
        <v>72</v>
      </c>
      <c r="K404" s="29">
        <v>-2</v>
      </c>
      <c r="L404" s="31">
        <v>1680000697505</v>
      </c>
      <c r="M404" s="28">
        <v>45288</v>
      </c>
      <c r="N404" s="30">
        <v>0.67491898148148</v>
      </c>
      <c r="O404" s="27" t="s">
        <v>349</v>
      </c>
      <c r="P404" s="137"/>
      <c r="Q404" t="str">
        <f>IFERROR(IF((_xlfn.XLOOKUP(A404,'Set of Installation'!A:A,'Set of Installation'!C:C)+1)&gt;ABS(K404),"OK","Overusage"),"")</f>
        <v>OK</v>
      </c>
      <c r="R404" t="str">
        <f>_xlfn.XLOOKUP(C404,'Checking(ZSERIALS)'!E:E,'Checking(ZSERIALS)'!F:F)</f>
        <v>CHRISTBELLA CONSTRUCTION MANAGEMENT</v>
      </c>
    </row>
    <row r="405" spans="1:18" x14ac:dyDescent="0.3">
      <c r="A405" s="27">
        <v>40000057</v>
      </c>
      <c r="B405" s="27" t="s">
        <v>11</v>
      </c>
      <c r="C405" s="27">
        <v>4500866</v>
      </c>
      <c r="D405" s="27">
        <v>1000</v>
      </c>
      <c r="E405" s="27" t="s">
        <v>53</v>
      </c>
      <c r="F405" s="27" t="s">
        <v>73</v>
      </c>
      <c r="G405" s="27">
        <v>4900126968</v>
      </c>
      <c r="H405" s="27" t="s">
        <v>54</v>
      </c>
      <c r="I405" s="28">
        <v>45288</v>
      </c>
      <c r="J405" s="27" t="s">
        <v>72</v>
      </c>
      <c r="K405" s="29">
        <v>-2</v>
      </c>
      <c r="L405" s="31">
        <v>1680000695397</v>
      </c>
      <c r="M405" s="28">
        <v>45288</v>
      </c>
      <c r="N405" s="30">
        <v>0.43185185185184999</v>
      </c>
      <c r="O405" s="27" t="s">
        <v>343</v>
      </c>
      <c r="P405" s="137"/>
      <c r="Q405" t="str">
        <f>IFERROR(IF((_xlfn.XLOOKUP(A405,'Set of Installation'!A:A,'Set of Installation'!C:C)+1)&gt;ABS(K405),"OK","Overusage"),"")</f>
        <v>OK</v>
      </c>
      <c r="R405" t="str">
        <f>_xlfn.XLOOKUP(C405,'Checking(ZSERIALS)'!E:E,'Checking(ZSERIALS)'!F:F)</f>
        <v>CHRISTBELLA CONSTRUCTION MANAGEMENT</v>
      </c>
    </row>
    <row r="406" spans="1:18" x14ac:dyDescent="0.3">
      <c r="A406" s="27">
        <v>40000057</v>
      </c>
      <c r="B406" s="27" t="s">
        <v>11</v>
      </c>
      <c r="C406" s="27">
        <v>4500866</v>
      </c>
      <c r="D406" s="27">
        <v>1000</v>
      </c>
      <c r="E406" s="27" t="s">
        <v>53</v>
      </c>
      <c r="F406" s="27" t="s">
        <v>73</v>
      </c>
      <c r="G406" s="27">
        <v>4900125233</v>
      </c>
      <c r="H406" s="27" t="s">
        <v>54</v>
      </c>
      <c r="I406" s="28">
        <v>45287</v>
      </c>
      <c r="J406" s="27" t="s">
        <v>72</v>
      </c>
      <c r="K406" s="29">
        <v>-2</v>
      </c>
      <c r="L406" s="31">
        <v>1680000692270</v>
      </c>
      <c r="M406" s="28">
        <v>45287</v>
      </c>
      <c r="N406" s="30">
        <v>0.75821759259259003</v>
      </c>
      <c r="O406" s="27" t="s">
        <v>340</v>
      </c>
      <c r="P406" s="137"/>
      <c r="Q406" t="str">
        <f>IFERROR(IF((_xlfn.XLOOKUP(A406,'Set of Installation'!A:A,'Set of Installation'!C:C)+1)&gt;ABS(K406),"OK","Overusage"),"")</f>
        <v>OK</v>
      </c>
      <c r="R406" t="str">
        <f>_xlfn.XLOOKUP(C406,'Checking(ZSERIALS)'!E:E,'Checking(ZSERIALS)'!F:F)</f>
        <v>CHRISTBELLA CONSTRUCTION MANAGEMENT</v>
      </c>
    </row>
    <row r="407" spans="1:18" x14ac:dyDescent="0.3">
      <c r="A407" s="27">
        <v>40000057</v>
      </c>
      <c r="B407" s="27" t="s">
        <v>11</v>
      </c>
      <c r="C407" s="27">
        <v>4500866</v>
      </c>
      <c r="D407" s="27">
        <v>1000</v>
      </c>
      <c r="E407" s="27" t="s">
        <v>53</v>
      </c>
      <c r="F407" s="27" t="s">
        <v>73</v>
      </c>
      <c r="G407" s="27">
        <v>4900123873</v>
      </c>
      <c r="H407" s="27" t="s">
        <v>54</v>
      </c>
      <c r="I407" s="28">
        <v>45287</v>
      </c>
      <c r="J407" s="27" t="s">
        <v>72</v>
      </c>
      <c r="K407" s="29">
        <v>-2</v>
      </c>
      <c r="L407" s="31">
        <v>1680000693742</v>
      </c>
      <c r="M407" s="28">
        <v>45287</v>
      </c>
      <c r="N407" s="30">
        <v>0.61238425925925999</v>
      </c>
      <c r="O407" s="27" t="s">
        <v>335</v>
      </c>
      <c r="P407" s="137"/>
      <c r="Q407" t="str">
        <f>IFERROR(IF((_xlfn.XLOOKUP(A407,'Set of Installation'!A:A,'Set of Installation'!C:C)+1)&gt;ABS(K407),"OK","Overusage"),"")</f>
        <v>OK</v>
      </c>
      <c r="R407" t="str">
        <f>_xlfn.XLOOKUP(C407,'Checking(ZSERIALS)'!E:E,'Checking(ZSERIALS)'!F:F)</f>
        <v>CHRISTBELLA CONSTRUCTION MANAGEMENT</v>
      </c>
    </row>
    <row r="408" spans="1:18" x14ac:dyDescent="0.3">
      <c r="A408" s="27">
        <v>40000057</v>
      </c>
      <c r="B408" s="27" t="s">
        <v>11</v>
      </c>
      <c r="C408" s="27">
        <v>4500866</v>
      </c>
      <c r="D408" s="27">
        <v>1000</v>
      </c>
      <c r="E408" s="27" t="s">
        <v>53</v>
      </c>
      <c r="F408" s="27" t="s">
        <v>73</v>
      </c>
      <c r="G408" s="27">
        <v>4900120407</v>
      </c>
      <c r="H408" s="27" t="s">
        <v>54</v>
      </c>
      <c r="I408" s="28">
        <v>45286</v>
      </c>
      <c r="J408" s="27" t="s">
        <v>72</v>
      </c>
      <c r="K408" s="29">
        <v>-2</v>
      </c>
      <c r="L408" s="31">
        <v>1680000691706</v>
      </c>
      <c r="M408" s="28">
        <v>45286</v>
      </c>
      <c r="N408" s="30">
        <v>0.56234953703704005</v>
      </c>
      <c r="O408" s="27" t="s">
        <v>332</v>
      </c>
      <c r="P408" s="137"/>
      <c r="Q408" t="str">
        <f>IFERROR(IF((_xlfn.XLOOKUP(A408,'Set of Installation'!A:A,'Set of Installation'!C:C)+1)&gt;ABS(K408),"OK","Overusage"),"")</f>
        <v>OK</v>
      </c>
      <c r="R408" t="str">
        <f>_xlfn.XLOOKUP(C408,'Checking(ZSERIALS)'!E:E,'Checking(ZSERIALS)'!F:F)</f>
        <v>CHRISTBELLA CONSTRUCTION MANAGEMENT</v>
      </c>
    </row>
    <row r="409" spans="1:18" x14ac:dyDescent="0.3">
      <c r="A409" s="27">
        <v>40000059</v>
      </c>
      <c r="B409" s="27" t="s">
        <v>13</v>
      </c>
      <c r="C409" s="27">
        <v>4500866</v>
      </c>
      <c r="D409" s="27">
        <v>1000</v>
      </c>
      <c r="E409" s="27" t="s">
        <v>53</v>
      </c>
      <c r="F409" s="27" t="s">
        <v>73</v>
      </c>
      <c r="G409" s="27">
        <v>4900065059</v>
      </c>
      <c r="H409" s="27" t="s">
        <v>54</v>
      </c>
      <c r="I409" s="28">
        <v>45307</v>
      </c>
      <c r="J409" s="27" t="s">
        <v>72</v>
      </c>
      <c r="K409" s="29">
        <v>-1</v>
      </c>
      <c r="L409" s="31">
        <v>1680000745056</v>
      </c>
      <c r="M409" s="28">
        <v>45307</v>
      </c>
      <c r="N409" s="30">
        <v>0.49394675925926002</v>
      </c>
      <c r="O409" s="27" t="s">
        <v>326</v>
      </c>
      <c r="P409" s="137"/>
      <c r="Q409" t="str">
        <f>IFERROR(IF((_xlfn.XLOOKUP(A409,'Set of Installation'!A:A,'Set of Installation'!C:C)+1)&gt;ABS(K409),"OK","Overusage"),"")</f>
        <v>OK</v>
      </c>
      <c r="R409" t="str">
        <f>_xlfn.XLOOKUP(C409,'Checking(ZSERIALS)'!E:E,'Checking(ZSERIALS)'!F:F)</f>
        <v>CHRISTBELLA CONSTRUCTION MANAGEMENT</v>
      </c>
    </row>
    <row r="410" spans="1:18" x14ac:dyDescent="0.3">
      <c r="A410" s="27">
        <v>40000059</v>
      </c>
      <c r="B410" s="27" t="s">
        <v>13</v>
      </c>
      <c r="C410" s="27">
        <v>4500866</v>
      </c>
      <c r="D410" s="27">
        <v>1000</v>
      </c>
      <c r="E410" s="27" t="s">
        <v>53</v>
      </c>
      <c r="F410" s="27" t="s">
        <v>73</v>
      </c>
      <c r="G410" s="27">
        <v>4900065493</v>
      </c>
      <c r="H410" s="27" t="s">
        <v>54</v>
      </c>
      <c r="I410" s="28">
        <v>45307</v>
      </c>
      <c r="J410" s="27" t="s">
        <v>72</v>
      </c>
      <c r="K410" s="29">
        <v>-1</v>
      </c>
      <c r="L410" s="31">
        <v>1680000745079</v>
      </c>
      <c r="M410" s="28">
        <v>45307</v>
      </c>
      <c r="N410" s="30">
        <v>0.54668981481481005</v>
      </c>
      <c r="O410" s="27" t="s">
        <v>329</v>
      </c>
      <c r="P410" s="137"/>
      <c r="Q410" t="str">
        <f>IFERROR(IF((_xlfn.XLOOKUP(A410,'Set of Installation'!A:A,'Set of Installation'!C:C)+1)&gt;ABS(K410),"OK","Overusage"),"")</f>
        <v>OK</v>
      </c>
      <c r="R410" t="str">
        <f>_xlfn.XLOOKUP(C410,'Checking(ZSERIALS)'!E:E,'Checking(ZSERIALS)'!F:F)</f>
        <v>CHRISTBELLA CONSTRUCTION MANAGEMENT</v>
      </c>
    </row>
    <row r="411" spans="1:18" x14ac:dyDescent="0.3">
      <c r="A411" s="27">
        <v>40000059</v>
      </c>
      <c r="B411" s="27" t="s">
        <v>13</v>
      </c>
      <c r="C411" s="27">
        <v>4500866</v>
      </c>
      <c r="D411" s="27">
        <v>1000</v>
      </c>
      <c r="E411" s="27" t="s">
        <v>53</v>
      </c>
      <c r="F411" s="27" t="s">
        <v>73</v>
      </c>
      <c r="G411" s="27">
        <v>4900061600</v>
      </c>
      <c r="H411" s="27" t="s">
        <v>54</v>
      </c>
      <c r="I411" s="28">
        <v>45306</v>
      </c>
      <c r="J411" s="27" t="s">
        <v>72</v>
      </c>
      <c r="K411" s="29">
        <v>-1</v>
      </c>
      <c r="L411" s="31">
        <v>1680000743530</v>
      </c>
      <c r="M411" s="28">
        <v>45306</v>
      </c>
      <c r="N411" s="30">
        <v>0.66474537037036996</v>
      </c>
      <c r="O411" s="27" t="s">
        <v>317</v>
      </c>
      <c r="P411" s="137"/>
      <c r="Q411" t="str">
        <f>IFERROR(IF((_xlfn.XLOOKUP(A411,'Set of Installation'!A:A,'Set of Installation'!C:C)+1)&gt;ABS(K411),"OK","Overusage"),"")</f>
        <v>OK</v>
      </c>
      <c r="R411" t="str">
        <f>_xlfn.XLOOKUP(C411,'Checking(ZSERIALS)'!E:E,'Checking(ZSERIALS)'!F:F)</f>
        <v>CHRISTBELLA CONSTRUCTION MANAGEMENT</v>
      </c>
    </row>
    <row r="412" spans="1:18" x14ac:dyDescent="0.3">
      <c r="A412" s="27">
        <v>40000059</v>
      </c>
      <c r="B412" s="27" t="s">
        <v>13</v>
      </c>
      <c r="C412" s="27">
        <v>4500866</v>
      </c>
      <c r="D412" s="27">
        <v>1000</v>
      </c>
      <c r="E412" s="27" t="s">
        <v>53</v>
      </c>
      <c r="F412" s="27" t="s">
        <v>73</v>
      </c>
      <c r="G412" s="27">
        <v>4900060842</v>
      </c>
      <c r="H412" s="27" t="s">
        <v>54</v>
      </c>
      <c r="I412" s="28">
        <v>45306</v>
      </c>
      <c r="J412" s="27" t="s">
        <v>72</v>
      </c>
      <c r="K412" s="29">
        <v>-1</v>
      </c>
      <c r="L412" s="31">
        <v>1680000742601</v>
      </c>
      <c r="M412" s="28">
        <v>45306</v>
      </c>
      <c r="N412" s="30">
        <v>0.59668981481480998</v>
      </c>
      <c r="O412" s="27" t="s">
        <v>308</v>
      </c>
      <c r="P412" s="137"/>
      <c r="Q412" t="str">
        <f>IFERROR(IF((_xlfn.XLOOKUP(A412,'Set of Installation'!A:A,'Set of Installation'!C:C)+1)&gt;ABS(K412),"OK","Overusage"),"")</f>
        <v>OK</v>
      </c>
      <c r="R412" t="str">
        <f>_xlfn.XLOOKUP(C412,'Checking(ZSERIALS)'!E:E,'Checking(ZSERIALS)'!F:F)</f>
        <v>CHRISTBELLA CONSTRUCTION MANAGEMENT</v>
      </c>
    </row>
    <row r="413" spans="1:18" x14ac:dyDescent="0.3">
      <c r="A413" s="27">
        <v>40000059</v>
      </c>
      <c r="B413" s="27" t="s">
        <v>13</v>
      </c>
      <c r="C413" s="27">
        <v>4500866</v>
      </c>
      <c r="D413" s="27">
        <v>1000</v>
      </c>
      <c r="E413" s="27" t="s">
        <v>53</v>
      </c>
      <c r="F413" s="27" t="s">
        <v>73</v>
      </c>
      <c r="G413" s="27">
        <v>4900061363</v>
      </c>
      <c r="H413" s="27" t="s">
        <v>54</v>
      </c>
      <c r="I413" s="28">
        <v>45306</v>
      </c>
      <c r="J413" s="27" t="s">
        <v>72</v>
      </c>
      <c r="K413" s="29">
        <v>-1</v>
      </c>
      <c r="L413" s="31">
        <v>1680000740804</v>
      </c>
      <c r="M413" s="28">
        <v>45306</v>
      </c>
      <c r="N413" s="30">
        <v>0.64531249999999996</v>
      </c>
      <c r="O413" s="27" t="s">
        <v>314</v>
      </c>
      <c r="P413" s="137"/>
      <c r="Q413" t="str">
        <f>IFERROR(IF((_xlfn.XLOOKUP(A413,'Set of Installation'!A:A,'Set of Installation'!C:C)+1)&gt;ABS(K413),"OK","Overusage"),"")</f>
        <v>OK</v>
      </c>
      <c r="R413" t="str">
        <f>_xlfn.XLOOKUP(C413,'Checking(ZSERIALS)'!E:E,'Checking(ZSERIALS)'!F:F)</f>
        <v>CHRISTBELLA CONSTRUCTION MANAGEMENT</v>
      </c>
    </row>
    <row r="414" spans="1:18" x14ac:dyDescent="0.3">
      <c r="A414" s="27">
        <v>40000059</v>
      </c>
      <c r="B414" s="27" t="s">
        <v>13</v>
      </c>
      <c r="C414" s="27">
        <v>4500866</v>
      </c>
      <c r="D414" s="27">
        <v>1000</v>
      </c>
      <c r="E414" s="27" t="s">
        <v>53</v>
      </c>
      <c r="F414" s="27" t="s">
        <v>73</v>
      </c>
      <c r="G414" s="27">
        <v>4900062310</v>
      </c>
      <c r="H414" s="27" t="s">
        <v>54</v>
      </c>
      <c r="I414" s="28">
        <v>45306</v>
      </c>
      <c r="J414" s="27" t="s">
        <v>72</v>
      </c>
      <c r="K414" s="29">
        <v>-1</v>
      </c>
      <c r="L414" s="31">
        <v>1680000743454</v>
      </c>
      <c r="M414" s="28">
        <v>45306</v>
      </c>
      <c r="N414" s="30">
        <v>0.73282407407407002</v>
      </c>
      <c r="O414" s="27" t="s">
        <v>323</v>
      </c>
      <c r="P414" s="137"/>
      <c r="Q414" t="str">
        <f>IFERROR(IF((_xlfn.XLOOKUP(A414,'Set of Installation'!A:A,'Set of Installation'!C:C)+1)&gt;ABS(K414),"OK","Overusage"),"")</f>
        <v>OK</v>
      </c>
      <c r="R414" t="str">
        <f>_xlfn.XLOOKUP(C414,'Checking(ZSERIALS)'!E:E,'Checking(ZSERIALS)'!F:F)</f>
        <v>CHRISTBELLA CONSTRUCTION MANAGEMENT</v>
      </c>
    </row>
    <row r="415" spans="1:18" x14ac:dyDescent="0.3">
      <c r="A415" s="27">
        <v>40000059</v>
      </c>
      <c r="B415" s="27" t="s">
        <v>13</v>
      </c>
      <c r="C415" s="27">
        <v>4500866</v>
      </c>
      <c r="D415" s="27">
        <v>1000</v>
      </c>
      <c r="E415" s="27" t="s">
        <v>53</v>
      </c>
      <c r="F415" s="27" t="s">
        <v>73</v>
      </c>
      <c r="G415" s="27">
        <v>4900061188</v>
      </c>
      <c r="H415" s="27" t="s">
        <v>54</v>
      </c>
      <c r="I415" s="28">
        <v>45306</v>
      </c>
      <c r="J415" s="27" t="s">
        <v>72</v>
      </c>
      <c r="K415" s="29">
        <v>-1</v>
      </c>
      <c r="L415" s="31">
        <v>1680000740302</v>
      </c>
      <c r="M415" s="28">
        <v>45306</v>
      </c>
      <c r="N415" s="30">
        <v>0.63283564814814997</v>
      </c>
      <c r="O415" s="27" t="s">
        <v>311</v>
      </c>
      <c r="P415" s="137"/>
      <c r="Q415" t="str">
        <f>IFERROR(IF((_xlfn.XLOOKUP(A415,'Set of Installation'!A:A,'Set of Installation'!C:C)+1)&gt;ABS(K415),"OK","Overusage"),"")</f>
        <v>OK</v>
      </c>
      <c r="R415" t="str">
        <f>_xlfn.XLOOKUP(C415,'Checking(ZSERIALS)'!E:E,'Checking(ZSERIALS)'!F:F)</f>
        <v>CHRISTBELLA CONSTRUCTION MANAGEMENT</v>
      </c>
    </row>
    <row r="416" spans="1:18" x14ac:dyDescent="0.3">
      <c r="A416" s="27">
        <v>40000059</v>
      </c>
      <c r="B416" s="27" t="s">
        <v>13</v>
      </c>
      <c r="C416" s="27">
        <v>4500866</v>
      </c>
      <c r="D416" s="27">
        <v>1000</v>
      </c>
      <c r="E416" s="27" t="s">
        <v>53</v>
      </c>
      <c r="F416" s="27" t="s">
        <v>73</v>
      </c>
      <c r="G416" s="27">
        <v>4900057688</v>
      </c>
      <c r="H416" s="27" t="s">
        <v>54</v>
      </c>
      <c r="I416" s="28">
        <v>45305</v>
      </c>
      <c r="J416" s="27" t="s">
        <v>72</v>
      </c>
      <c r="K416" s="29">
        <v>-1</v>
      </c>
      <c r="L416" s="31">
        <v>1680000730454</v>
      </c>
      <c r="M416" s="28">
        <v>45305</v>
      </c>
      <c r="N416" s="30">
        <v>0.76053240740741002</v>
      </c>
      <c r="O416" s="27" t="s">
        <v>305</v>
      </c>
      <c r="P416" s="137"/>
      <c r="Q416" t="str">
        <f>IFERROR(IF((_xlfn.XLOOKUP(A416,'Set of Installation'!A:A,'Set of Installation'!C:C)+1)&gt;ABS(K416),"OK","Overusage"),"")</f>
        <v>OK</v>
      </c>
      <c r="R416" t="str">
        <f>_xlfn.XLOOKUP(C416,'Checking(ZSERIALS)'!E:E,'Checking(ZSERIALS)'!F:F)</f>
        <v>CHRISTBELLA CONSTRUCTION MANAGEMENT</v>
      </c>
    </row>
    <row r="417" spans="1:18" x14ac:dyDescent="0.3">
      <c r="A417" s="27">
        <v>40000059</v>
      </c>
      <c r="B417" s="27" t="s">
        <v>13</v>
      </c>
      <c r="C417" s="27">
        <v>4500866</v>
      </c>
      <c r="D417" s="27">
        <v>1000</v>
      </c>
      <c r="E417" s="27" t="s">
        <v>53</v>
      </c>
      <c r="F417" s="27" t="s">
        <v>73</v>
      </c>
      <c r="G417" s="27">
        <v>4900055724</v>
      </c>
      <c r="H417" s="27" t="s">
        <v>54</v>
      </c>
      <c r="I417" s="28">
        <v>45305</v>
      </c>
      <c r="J417" s="27" t="s">
        <v>72</v>
      </c>
      <c r="K417" s="29">
        <v>-1</v>
      </c>
      <c r="L417" s="31">
        <v>1680000735112</v>
      </c>
      <c r="M417" s="28">
        <v>45305</v>
      </c>
      <c r="N417" s="30">
        <v>0.46473379629630002</v>
      </c>
      <c r="O417" s="27" t="s">
        <v>296</v>
      </c>
      <c r="P417" s="137"/>
      <c r="Q417" t="str">
        <f>IFERROR(IF((_xlfn.XLOOKUP(A417,'Set of Installation'!A:A,'Set of Installation'!C:C)+1)&gt;ABS(K417),"OK","Overusage"),"")</f>
        <v>OK</v>
      </c>
      <c r="R417" t="str">
        <f>_xlfn.XLOOKUP(C417,'Checking(ZSERIALS)'!E:E,'Checking(ZSERIALS)'!F:F)</f>
        <v>CHRISTBELLA CONSTRUCTION MANAGEMENT</v>
      </c>
    </row>
    <row r="418" spans="1:18" x14ac:dyDescent="0.3">
      <c r="A418" s="27">
        <v>40000059</v>
      </c>
      <c r="B418" s="27" t="s">
        <v>13</v>
      </c>
      <c r="C418" s="27">
        <v>4500866</v>
      </c>
      <c r="D418" s="27">
        <v>1000</v>
      </c>
      <c r="E418" s="27" t="s">
        <v>53</v>
      </c>
      <c r="F418" s="27" t="s">
        <v>73</v>
      </c>
      <c r="G418" s="27">
        <v>4900056476</v>
      </c>
      <c r="H418" s="27" t="s">
        <v>54</v>
      </c>
      <c r="I418" s="28">
        <v>45305</v>
      </c>
      <c r="J418" s="27" t="s">
        <v>72</v>
      </c>
      <c r="K418" s="29">
        <v>-1</v>
      </c>
      <c r="L418" s="31">
        <v>1680000737988</v>
      </c>
      <c r="M418" s="28">
        <v>45305</v>
      </c>
      <c r="N418" s="30">
        <v>0.58971064814815</v>
      </c>
      <c r="O418" s="27" t="s">
        <v>302</v>
      </c>
      <c r="P418" s="137"/>
      <c r="Q418" t="str">
        <f>IFERROR(IF((_xlfn.XLOOKUP(A418,'Set of Installation'!A:A,'Set of Installation'!C:C)+1)&gt;ABS(K418),"OK","Overusage"),"")</f>
        <v>OK</v>
      </c>
      <c r="R418" t="str">
        <f>_xlfn.XLOOKUP(C418,'Checking(ZSERIALS)'!E:E,'Checking(ZSERIALS)'!F:F)</f>
        <v>CHRISTBELLA CONSTRUCTION MANAGEMENT</v>
      </c>
    </row>
    <row r="419" spans="1:18" x14ac:dyDescent="0.3">
      <c r="A419" s="27">
        <v>40000059</v>
      </c>
      <c r="B419" s="27" t="s">
        <v>13</v>
      </c>
      <c r="C419" s="27">
        <v>4500866</v>
      </c>
      <c r="D419" s="27">
        <v>1000</v>
      </c>
      <c r="E419" s="27" t="s">
        <v>53</v>
      </c>
      <c r="F419" s="27" t="s">
        <v>73</v>
      </c>
      <c r="G419" s="27">
        <v>4900056186</v>
      </c>
      <c r="H419" s="27" t="s">
        <v>54</v>
      </c>
      <c r="I419" s="28">
        <v>45305</v>
      </c>
      <c r="J419" s="27" t="s">
        <v>72</v>
      </c>
      <c r="K419" s="29">
        <v>-1</v>
      </c>
      <c r="L419" s="31">
        <v>1680000735786</v>
      </c>
      <c r="M419" s="28">
        <v>45305</v>
      </c>
      <c r="N419" s="30">
        <v>0.53276620370369998</v>
      </c>
      <c r="O419" s="27" t="s">
        <v>299</v>
      </c>
      <c r="P419" s="137"/>
      <c r="Q419" t="str">
        <f>IFERROR(IF((_xlfn.XLOOKUP(A419,'Set of Installation'!A:A,'Set of Installation'!C:C)+1)&gt;ABS(K419),"OK","Overusage"),"")</f>
        <v>OK</v>
      </c>
      <c r="R419" t="str">
        <f>_xlfn.XLOOKUP(C419,'Checking(ZSERIALS)'!E:E,'Checking(ZSERIALS)'!F:F)</f>
        <v>CHRISTBELLA CONSTRUCTION MANAGEMENT</v>
      </c>
    </row>
    <row r="420" spans="1:18" x14ac:dyDescent="0.3">
      <c r="A420" s="27">
        <v>40000059</v>
      </c>
      <c r="B420" s="27" t="s">
        <v>13</v>
      </c>
      <c r="C420" s="27">
        <v>4500866</v>
      </c>
      <c r="D420" s="27">
        <v>1000</v>
      </c>
      <c r="E420" s="27" t="s">
        <v>53</v>
      </c>
      <c r="F420" s="27" t="s">
        <v>73</v>
      </c>
      <c r="G420" s="27">
        <v>4900055691</v>
      </c>
      <c r="H420" s="27" t="s">
        <v>54</v>
      </c>
      <c r="I420" s="28">
        <v>45305</v>
      </c>
      <c r="J420" s="27" t="s">
        <v>72</v>
      </c>
      <c r="K420" s="29">
        <v>-1</v>
      </c>
      <c r="L420" s="31">
        <v>1680000740218</v>
      </c>
      <c r="M420" s="28">
        <v>45305</v>
      </c>
      <c r="N420" s="30">
        <v>0.46054398148148001</v>
      </c>
      <c r="O420" s="27" t="s">
        <v>293</v>
      </c>
      <c r="P420" s="137"/>
      <c r="Q420" t="str">
        <f>IFERROR(IF((_xlfn.XLOOKUP(A420,'Set of Installation'!A:A,'Set of Installation'!C:C)+1)&gt;ABS(K420),"OK","Overusage"),"")</f>
        <v>OK</v>
      </c>
      <c r="R420" t="str">
        <f>_xlfn.XLOOKUP(C420,'Checking(ZSERIALS)'!E:E,'Checking(ZSERIALS)'!F:F)</f>
        <v>CHRISTBELLA CONSTRUCTION MANAGEMENT</v>
      </c>
    </row>
    <row r="421" spans="1:18" x14ac:dyDescent="0.3">
      <c r="A421" s="27">
        <v>40000059</v>
      </c>
      <c r="B421" s="27" t="s">
        <v>13</v>
      </c>
      <c r="C421" s="27">
        <v>4500866</v>
      </c>
      <c r="D421" s="27">
        <v>1000</v>
      </c>
      <c r="E421" s="27" t="s">
        <v>53</v>
      </c>
      <c r="F421" s="27" t="s">
        <v>73</v>
      </c>
      <c r="G421" s="27">
        <v>4900051046</v>
      </c>
      <c r="H421" s="27" t="s">
        <v>54</v>
      </c>
      <c r="I421" s="28">
        <v>45304</v>
      </c>
      <c r="J421" s="27" t="s">
        <v>72</v>
      </c>
      <c r="K421" s="29">
        <v>-1</v>
      </c>
      <c r="L421" s="31">
        <v>1680000725181</v>
      </c>
      <c r="M421" s="28">
        <v>45304</v>
      </c>
      <c r="N421" s="30">
        <v>0.54524305555555996</v>
      </c>
      <c r="O421" s="27" t="s">
        <v>287</v>
      </c>
      <c r="P421" s="137"/>
      <c r="Q421" t="str">
        <f>IFERROR(IF((_xlfn.XLOOKUP(A421,'Set of Installation'!A:A,'Set of Installation'!C:C)+1)&gt;ABS(K421),"OK","Overusage"),"")</f>
        <v>OK</v>
      </c>
      <c r="R421" t="str">
        <f>_xlfn.XLOOKUP(C421,'Checking(ZSERIALS)'!E:E,'Checking(ZSERIALS)'!F:F)</f>
        <v>CHRISTBELLA CONSTRUCTION MANAGEMENT</v>
      </c>
    </row>
    <row r="422" spans="1:18" x14ac:dyDescent="0.3">
      <c r="A422" s="27">
        <v>40000059</v>
      </c>
      <c r="B422" s="27" t="s">
        <v>13</v>
      </c>
      <c r="C422" s="27">
        <v>4500866</v>
      </c>
      <c r="D422" s="27">
        <v>1000</v>
      </c>
      <c r="E422" s="27" t="s">
        <v>53</v>
      </c>
      <c r="F422" s="27" t="s">
        <v>73</v>
      </c>
      <c r="G422" s="27">
        <v>4900048171</v>
      </c>
      <c r="H422" s="27" t="s">
        <v>54</v>
      </c>
      <c r="I422" s="28">
        <v>45303</v>
      </c>
      <c r="J422" s="27" t="s">
        <v>72</v>
      </c>
      <c r="K422" s="29">
        <v>-1</v>
      </c>
      <c r="L422" s="31">
        <v>1680000734332</v>
      </c>
      <c r="M422" s="28">
        <v>45303</v>
      </c>
      <c r="N422" s="30">
        <v>0.75217592592592997</v>
      </c>
      <c r="O422" s="27" t="s">
        <v>281</v>
      </c>
      <c r="P422" s="137"/>
      <c r="Q422" t="str">
        <f>IFERROR(IF((_xlfn.XLOOKUP(A422,'Set of Installation'!A:A,'Set of Installation'!C:C)+1)&gt;ABS(K422),"OK","Overusage"),"")</f>
        <v>OK</v>
      </c>
      <c r="R422" t="str">
        <f>_xlfn.XLOOKUP(C422,'Checking(ZSERIALS)'!E:E,'Checking(ZSERIALS)'!F:F)</f>
        <v>CHRISTBELLA CONSTRUCTION MANAGEMENT</v>
      </c>
    </row>
    <row r="423" spans="1:18" x14ac:dyDescent="0.3">
      <c r="A423" s="27">
        <v>40000059</v>
      </c>
      <c r="B423" s="27" t="s">
        <v>13</v>
      </c>
      <c r="C423" s="27">
        <v>4500866</v>
      </c>
      <c r="D423" s="27">
        <v>1000</v>
      </c>
      <c r="E423" s="27" t="s">
        <v>53</v>
      </c>
      <c r="F423" s="27" t="s">
        <v>73</v>
      </c>
      <c r="G423" s="27">
        <v>4900045352</v>
      </c>
      <c r="H423" s="27" t="s">
        <v>54</v>
      </c>
      <c r="I423" s="28">
        <v>45303</v>
      </c>
      <c r="J423" s="27" t="s">
        <v>72</v>
      </c>
      <c r="K423" s="29">
        <v>-1</v>
      </c>
      <c r="L423" s="31">
        <v>1680000718073</v>
      </c>
      <c r="M423" s="28">
        <v>45303</v>
      </c>
      <c r="N423" s="30">
        <v>0.46888888888889002</v>
      </c>
      <c r="O423" s="27" t="s">
        <v>272</v>
      </c>
      <c r="P423" s="137"/>
      <c r="Q423" t="str">
        <f>IFERROR(IF((_xlfn.XLOOKUP(A423,'Set of Installation'!A:A,'Set of Installation'!C:C)+1)&gt;ABS(K423),"OK","Overusage"),"")</f>
        <v>OK</v>
      </c>
      <c r="R423" t="str">
        <f>_xlfn.XLOOKUP(C423,'Checking(ZSERIALS)'!E:E,'Checking(ZSERIALS)'!F:F)</f>
        <v>CHRISTBELLA CONSTRUCTION MANAGEMENT</v>
      </c>
    </row>
    <row r="424" spans="1:18" x14ac:dyDescent="0.3">
      <c r="A424" s="27">
        <v>40000059</v>
      </c>
      <c r="B424" s="27" t="s">
        <v>13</v>
      </c>
      <c r="C424" s="27">
        <v>4500866</v>
      </c>
      <c r="D424" s="27">
        <v>1000</v>
      </c>
      <c r="E424" s="27" t="s">
        <v>53</v>
      </c>
      <c r="F424" s="27" t="s">
        <v>73</v>
      </c>
      <c r="G424" s="27">
        <v>4900045907</v>
      </c>
      <c r="H424" s="27" t="s">
        <v>54</v>
      </c>
      <c r="I424" s="28">
        <v>45303</v>
      </c>
      <c r="J424" s="27" t="s">
        <v>72</v>
      </c>
      <c r="K424" s="29">
        <v>-1</v>
      </c>
      <c r="L424" s="31">
        <v>1680000734062</v>
      </c>
      <c r="M424" s="28">
        <v>45303</v>
      </c>
      <c r="N424" s="30">
        <v>0.53274305555556001</v>
      </c>
      <c r="O424" s="27" t="s">
        <v>275</v>
      </c>
      <c r="P424" s="137"/>
      <c r="Q424" t="str">
        <f>IFERROR(IF((_xlfn.XLOOKUP(A424,'Set of Installation'!A:A,'Set of Installation'!C:C)+1)&gt;ABS(K424),"OK","Overusage"),"")</f>
        <v>OK</v>
      </c>
      <c r="R424" t="str">
        <f>_xlfn.XLOOKUP(C424,'Checking(ZSERIALS)'!E:E,'Checking(ZSERIALS)'!F:F)</f>
        <v>CHRISTBELLA CONSTRUCTION MANAGEMENT</v>
      </c>
    </row>
    <row r="425" spans="1:18" x14ac:dyDescent="0.3">
      <c r="A425" s="27">
        <v>40000059</v>
      </c>
      <c r="B425" s="27" t="s">
        <v>13</v>
      </c>
      <c r="C425" s="27">
        <v>4500866</v>
      </c>
      <c r="D425" s="27">
        <v>1000</v>
      </c>
      <c r="E425" s="27" t="s">
        <v>53</v>
      </c>
      <c r="F425" s="27" t="s">
        <v>73</v>
      </c>
      <c r="G425" s="27">
        <v>4900048389</v>
      </c>
      <c r="H425" s="27" t="s">
        <v>54</v>
      </c>
      <c r="I425" s="28">
        <v>45303</v>
      </c>
      <c r="J425" s="27" t="s">
        <v>72</v>
      </c>
      <c r="K425" s="29">
        <v>-1</v>
      </c>
      <c r="L425" s="31">
        <v>1680000735675</v>
      </c>
      <c r="M425" s="28">
        <v>45303</v>
      </c>
      <c r="N425" s="30">
        <v>0.77858796296295996</v>
      </c>
      <c r="O425" s="27" t="s">
        <v>284</v>
      </c>
      <c r="P425" s="137"/>
      <c r="Q425" t="str">
        <f>IFERROR(IF((_xlfn.XLOOKUP(A425,'Set of Installation'!A:A,'Set of Installation'!C:C)+1)&gt;ABS(K425),"OK","Overusage"),"")</f>
        <v>OK</v>
      </c>
      <c r="R425" t="str">
        <f>_xlfn.XLOOKUP(C425,'Checking(ZSERIALS)'!E:E,'Checking(ZSERIALS)'!F:F)</f>
        <v>CHRISTBELLA CONSTRUCTION MANAGEMENT</v>
      </c>
    </row>
    <row r="426" spans="1:18" x14ac:dyDescent="0.3">
      <c r="A426" s="27">
        <v>40000059</v>
      </c>
      <c r="B426" s="27" t="s">
        <v>13</v>
      </c>
      <c r="C426" s="27">
        <v>4500866</v>
      </c>
      <c r="D426" s="27">
        <v>1000</v>
      </c>
      <c r="E426" s="27" t="s">
        <v>53</v>
      </c>
      <c r="F426" s="27" t="s">
        <v>73</v>
      </c>
      <c r="G426" s="27">
        <v>4900047384</v>
      </c>
      <c r="H426" s="27" t="s">
        <v>54</v>
      </c>
      <c r="I426" s="28">
        <v>45303</v>
      </c>
      <c r="J426" s="27" t="s">
        <v>72</v>
      </c>
      <c r="K426" s="29">
        <v>-1</v>
      </c>
      <c r="L426" s="31">
        <v>1680000734654</v>
      </c>
      <c r="M426" s="28">
        <v>45303</v>
      </c>
      <c r="N426" s="30">
        <v>0.67997685185184997</v>
      </c>
      <c r="O426" s="27" t="s">
        <v>278</v>
      </c>
      <c r="P426" s="137"/>
      <c r="Q426" t="str">
        <f>IFERROR(IF((_xlfn.XLOOKUP(A426,'Set of Installation'!A:A,'Set of Installation'!C:C)+1)&gt;ABS(K426),"OK","Overusage"),"")</f>
        <v>OK</v>
      </c>
      <c r="R426" t="str">
        <f>_xlfn.XLOOKUP(C426,'Checking(ZSERIALS)'!E:E,'Checking(ZSERIALS)'!F:F)</f>
        <v>CHRISTBELLA CONSTRUCTION MANAGEMENT</v>
      </c>
    </row>
    <row r="427" spans="1:18" x14ac:dyDescent="0.3">
      <c r="A427" s="27">
        <v>40000059</v>
      </c>
      <c r="B427" s="27" t="s">
        <v>13</v>
      </c>
      <c r="C427" s="27">
        <v>4500866</v>
      </c>
      <c r="D427" s="27">
        <v>1000</v>
      </c>
      <c r="E427" s="27" t="s">
        <v>53</v>
      </c>
      <c r="F427" s="27" t="s">
        <v>73</v>
      </c>
      <c r="G427" s="27">
        <v>4900040436</v>
      </c>
      <c r="H427" s="27" t="s">
        <v>54</v>
      </c>
      <c r="I427" s="28">
        <v>45302</v>
      </c>
      <c r="J427" s="27" t="s">
        <v>72</v>
      </c>
      <c r="K427" s="29">
        <v>-1</v>
      </c>
      <c r="L427" s="31">
        <v>1680000725722</v>
      </c>
      <c r="M427" s="28">
        <v>45302</v>
      </c>
      <c r="N427" s="30">
        <v>0.47716435185185002</v>
      </c>
      <c r="O427" s="27" t="s">
        <v>245</v>
      </c>
      <c r="P427" s="137"/>
      <c r="Q427" t="str">
        <f>IFERROR(IF((_xlfn.XLOOKUP(A427,'Set of Installation'!A:A,'Set of Installation'!C:C)+1)&gt;ABS(K427),"OK","Overusage"),"")</f>
        <v>OK</v>
      </c>
      <c r="R427" t="str">
        <f>_xlfn.XLOOKUP(C427,'Checking(ZSERIALS)'!E:E,'Checking(ZSERIALS)'!F:F)</f>
        <v>CHRISTBELLA CONSTRUCTION MANAGEMENT</v>
      </c>
    </row>
    <row r="428" spans="1:18" x14ac:dyDescent="0.3">
      <c r="A428" s="27">
        <v>40000059</v>
      </c>
      <c r="B428" s="27" t="s">
        <v>13</v>
      </c>
      <c r="C428" s="27">
        <v>4500866</v>
      </c>
      <c r="D428" s="27">
        <v>1000</v>
      </c>
      <c r="E428" s="27" t="s">
        <v>53</v>
      </c>
      <c r="F428" s="27" t="s">
        <v>73</v>
      </c>
      <c r="G428" s="27">
        <v>4900040030</v>
      </c>
      <c r="H428" s="27" t="s">
        <v>54</v>
      </c>
      <c r="I428" s="28">
        <v>45302</v>
      </c>
      <c r="J428" s="27" t="s">
        <v>72</v>
      </c>
      <c r="K428" s="29">
        <v>-1</v>
      </c>
      <c r="L428" s="31">
        <v>1680000728217</v>
      </c>
      <c r="M428" s="28">
        <v>45302</v>
      </c>
      <c r="N428" s="30">
        <v>0.42299768518518999</v>
      </c>
      <c r="O428" s="27" t="s">
        <v>242</v>
      </c>
      <c r="P428" s="137"/>
      <c r="Q428" t="str">
        <f>IFERROR(IF((_xlfn.XLOOKUP(A428,'Set of Installation'!A:A,'Set of Installation'!C:C)+1)&gt;ABS(K428),"OK","Overusage"),"")</f>
        <v>OK</v>
      </c>
      <c r="R428" t="str">
        <f>_xlfn.XLOOKUP(C428,'Checking(ZSERIALS)'!E:E,'Checking(ZSERIALS)'!F:F)</f>
        <v>CHRISTBELLA CONSTRUCTION MANAGEMENT</v>
      </c>
    </row>
    <row r="429" spans="1:18" x14ac:dyDescent="0.3">
      <c r="A429" s="27">
        <v>40000059</v>
      </c>
      <c r="B429" s="27" t="s">
        <v>13</v>
      </c>
      <c r="C429" s="27">
        <v>4500866</v>
      </c>
      <c r="D429" s="27">
        <v>1000</v>
      </c>
      <c r="E429" s="27" t="s">
        <v>53</v>
      </c>
      <c r="F429" s="27" t="s">
        <v>73</v>
      </c>
      <c r="G429" s="27">
        <v>4900040450</v>
      </c>
      <c r="H429" s="27" t="s">
        <v>54</v>
      </c>
      <c r="I429" s="28">
        <v>45302</v>
      </c>
      <c r="J429" s="27" t="s">
        <v>72</v>
      </c>
      <c r="K429" s="29">
        <v>-1</v>
      </c>
      <c r="L429" s="31">
        <v>1680000728514</v>
      </c>
      <c r="M429" s="28">
        <v>45302</v>
      </c>
      <c r="N429" s="30">
        <v>0.47855324074074002</v>
      </c>
      <c r="O429" s="27" t="s">
        <v>248</v>
      </c>
      <c r="P429" s="137"/>
      <c r="Q429" t="str">
        <f>IFERROR(IF((_xlfn.XLOOKUP(A429,'Set of Installation'!A:A,'Set of Installation'!C:C)+1)&gt;ABS(K429),"OK","Overusage"),"")</f>
        <v>OK</v>
      </c>
      <c r="R429" t="str">
        <f>_xlfn.XLOOKUP(C429,'Checking(ZSERIALS)'!E:E,'Checking(ZSERIALS)'!F:F)</f>
        <v>CHRISTBELLA CONSTRUCTION MANAGEMENT</v>
      </c>
    </row>
    <row r="430" spans="1:18" x14ac:dyDescent="0.3">
      <c r="A430" s="27">
        <v>40000059</v>
      </c>
      <c r="B430" s="27" t="s">
        <v>13</v>
      </c>
      <c r="C430" s="27">
        <v>4500866</v>
      </c>
      <c r="D430" s="27">
        <v>1000</v>
      </c>
      <c r="E430" s="27" t="s">
        <v>53</v>
      </c>
      <c r="F430" s="27" t="s">
        <v>73</v>
      </c>
      <c r="G430" s="27">
        <v>4900043500</v>
      </c>
      <c r="H430" s="27" t="s">
        <v>54</v>
      </c>
      <c r="I430" s="28">
        <v>45302</v>
      </c>
      <c r="J430" s="27" t="s">
        <v>72</v>
      </c>
      <c r="K430" s="29">
        <v>-1</v>
      </c>
      <c r="L430" s="31">
        <v>1680000729213</v>
      </c>
      <c r="M430" s="28">
        <v>45302</v>
      </c>
      <c r="N430" s="30">
        <v>0.77858796296295996</v>
      </c>
      <c r="O430" s="27" t="s">
        <v>269</v>
      </c>
      <c r="P430" s="137"/>
      <c r="Q430" t="str">
        <f>IFERROR(IF((_xlfn.XLOOKUP(A430,'Set of Installation'!A:A,'Set of Installation'!C:C)+1)&gt;ABS(K430),"OK","Overusage"),"")</f>
        <v>OK</v>
      </c>
      <c r="R430" t="str">
        <f>_xlfn.XLOOKUP(C430,'Checking(ZSERIALS)'!E:E,'Checking(ZSERIALS)'!F:F)</f>
        <v>CHRISTBELLA CONSTRUCTION MANAGEMENT</v>
      </c>
    </row>
    <row r="431" spans="1:18" x14ac:dyDescent="0.3">
      <c r="A431" s="27">
        <v>40000059</v>
      </c>
      <c r="B431" s="27" t="s">
        <v>13</v>
      </c>
      <c r="C431" s="27">
        <v>4500866</v>
      </c>
      <c r="D431" s="27">
        <v>1000</v>
      </c>
      <c r="E431" s="27" t="s">
        <v>53</v>
      </c>
      <c r="F431" s="27" t="s">
        <v>73</v>
      </c>
      <c r="G431" s="27">
        <v>4900043348</v>
      </c>
      <c r="H431" s="27" t="s">
        <v>54</v>
      </c>
      <c r="I431" s="28">
        <v>45302</v>
      </c>
      <c r="J431" s="27" t="s">
        <v>72</v>
      </c>
      <c r="K431" s="29">
        <v>-1</v>
      </c>
      <c r="L431" s="31">
        <v>1680000720805</v>
      </c>
      <c r="M431" s="28">
        <v>45302</v>
      </c>
      <c r="N431" s="30">
        <v>0.76328703703704004</v>
      </c>
      <c r="O431" s="27" t="s">
        <v>266</v>
      </c>
      <c r="P431" s="137"/>
      <c r="Q431" t="str">
        <f>IFERROR(IF((_xlfn.XLOOKUP(A431,'Set of Installation'!A:A,'Set of Installation'!C:C)+1)&gt;ABS(K431),"OK","Overusage"),"")</f>
        <v>OK</v>
      </c>
      <c r="R431" t="str">
        <f>_xlfn.XLOOKUP(C431,'Checking(ZSERIALS)'!E:E,'Checking(ZSERIALS)'!F:F)</f>
        <v>CHRISTBELLA CONSTRUCTION MANAGEMENT</v>
      </c>
    </row>
    <row r="432" spans="1:18" x14ac:dyDescent="0.3">
      <c r="A432" s="27">
        <v>40000059</v>
      </c>
      <c r="B432" s="27" t="s">
        <v>13</v>
      </c>
      <c r="C432" s="27">
        <v>4500866</v>
      </c>
      <c r="D432" s="27">
        <v>1000</v>
      </c>
      <c r="E432" s="27" t="s">
        <v>53</v>
      </c>
      <c r="F432" s="27" t="s">
        <v>73</v>
      </c>
      <c r="G432" s="27">
        <v>4900042946</v>
      </c>
      <c r="H432" s="27" t="s">
        <v>54</v>
      </c>
      <c r="I432" s="28">
        <v>45302</v>
      </c>
      <c r="J432" s="27" t="s">
        <v>72</v>
      </c>
      <c r="K432" s="29">
        <v>-1</v>
      </c>
      <c r="L432" s="31">
        <v>1680000726647</v>
      </c>
      <c r="M432" s="28">
        <v>45302</v>
      </c>
      <c r="N432" s="30">
        <v>0.72856481481480995</v>
      </c>
      <c r="O432" s="27" t="s">
        <v>260</v>
      </c>
      <c r="P432" s="137"/>
      <c r="Q432" t="str">
        <f>IFERROR(IF((_xlfn.XLOOKUP(A432,'Set of Installation'!A:A,'Set of Installation'!C:C)+1)&gt;ABS(K432),"OK","Overusage"),"")</f>
        <v>OK</v>
      </c>
      <c r="R432" t="str">
        <f>_xlfn.XLOOKUP(C432,'Checking(ZSERIALS)'!E:E,'Checking(ZSERIALS)'!F:F)</f>
        <v>CHRISTBELLA CONSTRUCTION MANAGEMENT</v>
      </c>
    </row>
    <row r="433" spans="1:18" x14ac:dyDescent="0.3">
      <c r="A433" s="27">
        <v>40000059</v>
      </c>
      <c r="B433" s="27" t="s">
        <v>13</v>
      </c>
      <c r="C433" s="27">
        <v>4500866</v>
      </c>
      <c r="D433" s="27">
        <v>1000</v>
      </c>
      <c r="E433" s="27" t="s">
        <v>53</v>
      </c>
      <c r="F433" s="27" t="s">
        <v>73</v>
      </c>
      <c r="G433" s="27">
        <v>4900042490</v>
      </c>
      <c r="H433" s="27" t="s">
        <v>54</v>
      </c>
      <c r="I433" s="28">
        <v>45302</v>
      </c>
      <c r="J433" s="27" t="s">
        <v>72</v>
      </c>
      <c r="K433" s="29">
        <v>-1</v>
      </c>
      <c r="L433" s="31">
        <v>1680000728388</v>
      </c>
      <c r="M433" s="28">
        <v>45302</v>
      </c>
      <c r="N433" s="30">
        <v>0.68828703703703997</v>
      </c>
      <c r="O433" s="27" t="s">
        <v>257</v>
      </c>
      <c r="P433" s="137"/>
      <c r="Q433" t="str">
        <f>IFERROR(IF((_xlfn.XLOOKUP(A433,'Set of Installation'!A:A,'Set of Installation'!C:C)+1)&gt;ABS(K433),"OK","Overusage"),"")</f>
        <v>OK</v>
      </c>
      <c r="R433" t="str">
        <f>_xlfn.XLOOKUP(C433,'Checking(ZSERIALS)'!E:E,'Checking(ZSERIALS)'!F:F)</f>
        <v>CHRISTBELLA CONSTRUCTION MANAGEMENT</v>
      </c>
    </row>
    <row r="434" spans="1:18" x14ac:dyDescent="0.3">
      <c r="A434" s="27">
        <v>40000059</v>
      </c>
      <c r="B434" s="27" t="s">
        <v>13</v>
      </c>
      <c r="C434" s="27">
        <v>4500866</v>
      </c>
      <c r="D434" s="27">
        <v>1000</v>
      </c>
      <c r="E434" s="27" t="s">
        <v>53</v>
      </c>
      <c r="F434" s="27" t="s">
        <v>73</v>
      </c>
      <c r="G434" s="27">
        <v>4900037928</v>
      </c>
      <c r="H434" s="27" t="s">
        <v>54</v>
      </c>
      <c r="I434" s="28">
        <v>45301</v>
      </c>
      <c r="J434" s="27" t="s">
        <v>72</v>
      </c>
      <c r="K434" s="29">
        <v>-1</v>
      </c>
      <c r="L434" s="31">
        <v>1680000716616</v>
      </c>
      <c r="M434" s="28">
        <v>45301</v>
      </c>
      <c r="N434" s="30">
        <v>0.73967592592593001</v>
      </c>
      <c r="O434" s="27" t="s">
        <v>227</v>
      </c>
      <c r="P434" s="137"/>
      <c r="Q434" t="str">
        <f>IFERROR(IF((_xlfn.XLOOKUP(A434,'Set of Installation'!A:A,'Set of Installation'!C:C)+1)&gt;ABS(K434),"OK","Overusage"),"")</f>
        <v>OK</v>
      </c>
      <c r="R434" t="str">
        <f>_xlfn.XLOOKUP(C434,'Checking(ZSERIALS)'!E:E,'Checking(ZSERIALS)'!F:F)</f>
        <v>CHRISTBELLA CONSTRUCTION MANAGEMENT</v>
      </c>
    </row>
    <row r="435" spans="1:18" x14ac:dyDescent="0.3">
      <c r="A435" s="27">
        <v>40000059</v>
      </c>
      <c r="B435" s="27" t="s">
        <v>13</v>
      </c>
      <c r="C435" s="27">
        <v>4500866</v>
      </c>
      <c r="D435" s="27">
        <v>1000</v>
      </c>
      <c r="E435" s="27" t="s">
        <v>53</v>
      </c>
      <c r="F435" s="27" t="s">
        <v>73</v>
      </c>
      <c r="G435" s="27">
        <v>4900037869</v>
      </c>
      <c r="H435" s="27" t="s">
        <v>54</v>
      </c>
      <c r="I435" s="28">
        <v>45301</v>
      </c>
      <c r="J435" s="27" t="s">
        <v>72</v>
      </c>
      <c r="K435" s="29">
        <v>-1</v>
      </c>
      <c r="L435" s="31">
        <v>1680000725443</v>
      </c>
      <c r="M435" s="28">
        <v>45301</v>
      </c>
      <c r="N435" s="30">
        <v>0.73275462962963001</v>
      </c>
      <c r="O435" s="27" t="s">
        <v>224</v>
      </c>
      <c r="P435" s="137"/>
      <c r="Q435" t="str">
        <f>IFERROR(IF((_xlfn.XLOOKUP(A435,'Set of Installation'!A:A,'Set of Installation'!C:C)+1)&gt;ABS(K435),"OK","Overusage"),"")</f>
        <v>OK</v>
      </c>
      <c r="R435" t="str">
        <f>_xlfn.XLOOKUP(C435,'Checking(ZSERIALS)'!E:E,'Checking(ZSERIALS)'!F:F)</f>
        <v>CHRISTBELLA CONSTRUCTION MANAGEMENT</v>
      </c>
    </row>
    <row r="436" spans="1:18" x14ac:dyDescent="0.3">
      <c r="A436" s="27">
        <v>40000059</v>
      </c>
      <c r="B436" s="27" t="s">
        <v>13</v>
      </c>
      <c r="C436" s="27">
        <v>4500866</v>
      </c>
      <c r="D436" s="27">
        <v>1000</v>
      </c>
      <c r="E436" s="27" t="s">
        <v>53</v>
      </c>
      <c r="F436" s="27" t="s">
        <v>73</v>
      </c>
      <c r="G436" s="27">
        <v>4900035645</v>
      </c>
      <c r="H436" s="27" t="s">
        <v>54</v>
      </c>
      <c r="I436" s="28">
        <v>45301</v>
      </c>
      <c r="J436" s="27" t="s">
        <v>72</v>
      </c>
      <c r="K436" s="29">
        <v>-1</v>
      </c>
      <c r="L436" s="31">
        <v>1680000725440</v>
      </c>
      <c r="M436" s="28">
        <v>45301</v>
      </c>
      <c r="N436" s="30">
        <v>0.50354166666667</v>
      </c>
      <c r="O436" s="27" t="s">
        <v>209</v>
      </c>
      <c r="P436" s="137"/>
      <c r="Q436" t="str">
        <f>IFERROR(IF((_xlfn.XLOOKUP(A436,'Set of Installation'!A:A,'Set of Installation'!C:C)+1)&gt;ABS(K436),"OK","Overusage"),"")</f>
        <v>OK</v>
      </c>
      <c r="R436" t="str">
        <f>_xlfn.XLOOKUP(C436,'Checking(ZSERIALS)'!E:E,'Checking(ZSERIALS)'!F:F)</f>
        <v>CHRISTBELLA CONSTRUCTION MANAGEMENT</v>
      </c>
    </row>
    <row r="437" spans="1:18" x14ac:dyDescent="0.3">
      <c r="A437" s="27">
        <v>40000059</v>
      </c>
      <c r="B437" s="27" t="s">
        <v>13</v>
      </c>
      <c r="C437" s="27">
        <v>4500866</v>
      </c>
      <c r="D437" s="27">
        <v>1000</v>
      </c>
      <c r="E437" s="27" t="s">
        <v>53</v>
      </c>
      <c r="F437" s="27" t="s">
        <v>73</v>
      </c>
      <c r="G437" s="27">
        <v>4900037993</v>
      </c>
      <c r="H437" s="27" t="s">
        <v>54</v>
      </c>
      <c r="I437" s="28">
        <v>45301</v>
      </c>
      <c r="J437" s="27" t="s">
        <v>72</v>
      </c>
      <c r="K437" s="29">
        <v>-1</v>
      </c>
      <c r="L437" s="31">
        <v>1680000715654</v>
      </c>
      <c r="M437" s="28">
        <v>45301</v>
      </c>
      <c r="N437" s="30">
        <v>0.74383101851851996</v>
      </c>
      <c r="O437" s="27" t="s">
        <v>230</v>
      </c>
      <c r="P437" s="137"/>
      <c r="Q437" t="str">
        <f>IFERROR(IF((_xlfn.XLOOKUP(A437,'Set of Installation'!A:A,'Set of Installation'!C:C)+1)&gt;ABS(K437),"OK","Overusage"),"")</f>
        <v>OK</v>
      </c>
      <c r="R437" t="str">
        <f>_xlfn.XLOOKUP(C437,'Checking(ZSERIALS)'!E:E,'Checking(ZSERIALS)'!F:F)</f>
        <v>CHRISTBELLA CONSTRUCTION MANAGEMENT</v>
      </c>
    </row>
    <row r="438" spans="1:18" x14ac:dyDescent="0.3">
      <c r="A438" s="27">
        <v>40000059</v>
      </c>
      <c r="B438" s="27" t="s">
        <v>13</v>
      </c>
      <c r="C438" s="27">
        <v>4500866</v>
      </c>
      <c r="D438" s="27">
        <v>1000</v>
      </c>
      <c r="E438" s="27" t="s">
        <v>53</v>
      </c>
      <c r="F438" s="27" t="s">
        <v>73</v>
      </c>
      <c r="G438" s="27">
        <v>4900035703</v>
      </c>
      <c r="H438" s="27" t="s">
        <v>54</v>
      </c>
      <c r="I438" s="28">
        <v>45301</v>
      </c>
      <c r="J438" s="27" t="s">
        <v>72</v>
      </c>
      <c r="K438" s="29">
        <v>-1</v>
      </c>
      <c r="L438" s="31">
        <v>1680000724825</v>
      </c>
      <c r="M438" s="28">
        <v>45301</v>
      </c>
      <c r="N438" s="30">
        <v>0.50910879629630001</v>
      </c>
      <c r="O438" s="27" t="s">
        <v>212</v>
      </c>
      <c r="P438" s="137"/>
      <c r="Q438" t="str">
        <f>IFERROR(IF((_xlfn.XLOOKUP(A438,'Set of Installation'!A:A,'Set of Installation'!C:C)+1)&gt;ABS(K438),"OK","Overusage"),"")</f>
        <v>OK</v>
      </c>
      <c r="R438" t="str">
        <f>_xlfn.XLOOKUP(C438,'Checking(ZSERIALS)'!E:E,'Checking(ZSERIALS)'!F:F)</f>
        <v>CHRISTBELLA CONSTRUCTION MANAGEMENT</v>
      </c>
    </row>
    <row r="439" spans="1:18" x14ac:dyDescent="0.3">
      <c r="A439" s="27">
        <v>40000059</v>
      </c>
      <c r="B439" s="27" t="s">
        <v>13</v>
      </c>
      <c r="C439" s="27">
        <v>4500866</v>
      </c>
      <c r="D439" s="27">
        <v>1000</v>
      </c>
      <c r="E439" s="27" t="s">
        <v>53</v>
      </c>
      <c r="F439" s="27" t="s">
        <v>73</v>
      </c>
      <c r="G439" s="27">
        <v>4900038113</v>
      </c>
      <c r="H439" s="27" t="s">
        <v>54</v>
      </c>
      <c r="I439" s="28">
        <v>45301</v>
      </c>
      <c r="J439" s="27" t="s">
        <v>72</v>
      </c>
      <c r="K439" s="29">
        <v>-1</v>
      </c>
      <c r="L439" s="31">
        <v>1680000704179</v>
      </c>
      <c r="M439" s="28">
        <v>45301</v>
      </c>
      <c r="N439" s="30">
        <v>0.75495370370369996</v>
      </c>
      <c r="O439" s="27" t="s">
        <v>233</v>
      </c>
      <c r="P439" s="137"/>
      <c r="Q439" t="str">
        <f>IFERROR(IF((_xlfn.XLOOKUP(A439,'Set of Installation'!A:A,'Set of Installation'!C:C)+1)&gt;ABS(K439),"OK","Overusage"),"")</f>
        <v>OK</v>
      </c>
      <c r="R439" t="str">
        <f>_xlfn.XLOOKUP(C439,'Checking(ZSERIALS)'!E:E,'Checking(ZSERIALS)'!F:F)</f>
        <v>CHRISTBELLA CONSTRUCTION MANAGEMENT</v>
      </c>
    </row>
    <row r="440" spans="1:18" x14ac:dyDescent="0.3">
      <c r="A440" s="27">
        <v>40000059</v>
      </c>
      <c r="B440" s="27" t="s">
        <v>13</v>
      </c>
      <c r="C440" s="27">
        <v>4500866</v>
      </c>
      <c r="D440" s="27">
        <v>1000</v>
      </c>
      <c r="E440" s="27" t="s">
        <v>53</v>
      </c>
      <c r="F440" s="27" t="s">
        <v>73</v>
      </c>
      <c r="G440" s="27">
        <v>4900036099</v>
      </c>
      <c r="H440" s="27" t="s">
        <v>54</v>
      </c>
      <c r="I440" s="28">
        <v>45301</v>
      </c>
      <c r="J440" s="27" t="s">
        <v>72</v>
      </c>
      <c r="K440" s="29">
        <v>-1</v>
      </c>
      <c r="L440" s="31">
        <v>1680000724851</v>
      </c>
      <c r="M440" s="28">
        <v>45301</v>
      </c>
      <c r="N440" s="30">
        <v>0.56048611111111002</v>
      </c>
      <c r="O440" s="27" t="s">
        <v>215</v>
      </c>
      <c r="P440" s="137"/>
      <c r="Q440" t="str">
        <f>IFERROR(IF((_xlfn.XLOOKUP(A440,'Set of Installation'!A:A,'Set of Installation'!C:C)+1)&gt;ABS(K440),"OK","Overusage"),"")</f>
        <v>OK</v>
      </c>
      <c r="R440" t="str">
        <f>_xlfn.XLOOKUP(C440,'Checking(ZSERIALS)'!E:E,'Checking(ZSERIALS)'!F:F)</f>
        <v>CHRISTBELLA CONSTRUCTION MANAGEMENT</v>
      </c>
    </row>
    <row r="441" spans="1:18" x14ac:dyDescent="0.3">
      <c r="A441" s="27">
        <v>40000059</v>
      </c>
      <c r="B441" s="27" t="s">
        <v>13</v>
      </c>
      <c r="C441" s="27">
        <v>4500866</v>
      </c>
      <c r="D441" s="27">
        <v>1000</v>
      </c>
      <c r="E441" s="27" t="s">
        <v>53</v>
      </c>
      <c r="F441" s="27" t="s">
        <v>73</v>
      </c>
      <c r="G441" s="27">
        <v>4900030288</v>
      </c>
      <c r="H441" s="27" t="s">
        <v>54</v>
      </c>
      <c r="I441" s="28">
        <v>45300</v>
      </c>
      <c r="J441" s="27" t="s">
        <v>72</v>
      </c>
      <c r="K441" s="29">
        <v>-1</v>
      </c>
      <c r="L441" s="31">
        <v>1680000721575</v>
      </c>
      <c r="M441" s="28">
        <v>45300</v>
      </c>
      <c r="N441" s="30">
        <v>0.45773148148148002</v>
      </c>
      <c r="O441" s="27" t="s">
        <v>197</v>
      </c>
      <c r="P441" s="137"/>
      <c r="Q441" t="str">
        <f>IFERROR(IF((_xlfn.XLOOKUP(A441,'Set of Installation'!A:A,'Set of Installation'!C:C)+1)&gt;ABS(K441),"OK","Overusage"),"")</f>
        <v>OK</v>
      </c>
      <c r="R441" t="str">
        <f>_xlfn.XLOOKUP(C441,'Checking(ZSERIALS)'!E:E,'Checking(ZSERIALS)'!F:F)</f>
        <v>CHRISTBELLA CONSTRUCTION MANAGEMENT</v>
      </c>
    </row>
    <row r="442" spans="1:18" x14ac:dyDescent="0.3">
      <c r="A442" s="27">
        <v>40000059</v>
      </c>
      <c r="B442" s="27" t="s">
        <v>13</v>
      </c>
      <c r="C442" s="27">
        <v>4500866</v>
      </c>
      <c r="D442" s="27">
        <v>1000</v>
      </c>
      <c r="E442" s="27" t="s">
        <v>53</v>
      </c>
      <c r="F442" s="27" t="s">
        <v>73</v>
      </c>
      <c r="G442" s="27">
        <v>4900030571</v>
      </c>
      <c r="H442" s="27" t="s">
        <v>54</v>
      </c>
      <c r="I442" s="28">
        <v>45300</v>
      </c>
      <c r="J442" s="27" t="s">
        <v>72</v>
      </c>
      <c r="K442" s="29">
        <v>-1</v>
      </c>
      <c r="L442" s="31">
        <v>1680000722982</v>
      </c>
      <c r="M442" s="28">
        <v>45300</v>
      </c>
      <c r="N442" s="30">
        <v>0.49103009259259001</v>
      </c>
      <c r="O442" s="27" t="s">
        <v>200</v>
      </c>
      <c r="P442" s="137"/>
      <c r="Q442" t="str">
        <f>IFERROR(IF((_xlfn.XLOOKUP(A442,'Set of Installation'!A:A,'Set of Installation'!C:C)+1)&gt;ABS(K442),"OK","Overusage"),"")</f>
        <v>OK</v>
      </c>
      <c r="R442" t="str">
        <f>_xlfn.XLOOKUP(C442,'Checking(ZSERIALS)'!E:E,'Checking(ZSERIALS)'!F:F)</f>
        <v>CHRISTBELLA CONSTRUCTION MANAGEMENT</v>
      </c>
    </row>
    <row r="443" spans="1:18" x14ac:dyDescent="0.3">
      <c r="A443" s="27">
        <v>40000059</v>
      </c>
      <c r="B443" s="27" t="s">
        <v>13</v>
      </c>
      <c r="C443" s="27">
        <v>4500866</v>
      </c>
      <c r="D443" s="27">
        <v>1000</v>
      </c>
      <c r="E443" s="27" t="s">
        <v>53</v>
      </c>
      <c r="F443" s="27" t="s">
        <v>73</v>
      </c>
      <c r="G443" s="27">
        <v>4900027602</v>
      </c>
      <c r="H443" s="27" t="s">
        <v>54</v>
      </c>
      <c r="I443" s="28">
        <v>45299</v>
      </c>
      <c r="J443" s="27" t="s">
        <v>72</v>
      </c>
      <c r="K443" s="29">
        <v>-1</v>
      </c>
      <c r="L443" s="31">
        <v>1680000695259</v>
      </c>
      <c r="M443" s="28">
        <v>45299</v>
      </c>
      <c r="N443" s="30">
        <v>0.69384259259258996</v>
      </c>
      <c r="O443" s="27" t="s">
        <v>191</v>
      </c>
      <c r="P443" s="137"/>
      <c r="Q443" t="str">
        <f>IFERROR(IF((_xlfn.XLOOKUP(A443,'Set of Installation'!A:A,'Set of Installation'!C:C)+1)&gt;ABS(K443),"OK","Overusage"),"")</f>
        <v>OK</v>
      </c>
      <c r="R443" t="str">
        <f>_xlfn.XLOOKUP(C443,'Checking(ZSERIALS)'!E:E,'Checking(ZSERIALS)'!F:F)</f>
        <v>CHRISTBELLA CONSTRUCTION MANAGEMENT</v>
      </c>
    </row>
    <row r="444" spans="1:18" x14ac:dyDescent="0.3">
      <c r="A444" s="27">
        <v>40000059</v>
      </c>
      <c r="B444" s="27" t="s">
        <v>13</v>
      </c>
      <c r="C444" s="27">
        <v>4500866</v>
      </c>
      <c r="D444" s="27">
        <v>1000</v>
      </c>
      <c r="E444" s="27" t="s">
        <v>53</v>
      </c>
      <c r="F444" s="27" t="s">
        <v>73</v>
      </c>
      <c r="G444" s="27">
        <v>4900026400</v>
      </c>
      <c r="H444" s="27" t="s">
        <v>54</v>
      </c>
      <c r="I444" s="28">
        <v>45299</v>
      </c>
      <c r="J444" s="27" t="s">
        <v>72</v>
      </c>
      <c r="K444" s="29">
        <v>-1</v>
      </c>
      <c r="L444" s="31">
        <v>1680000713096</v>
      </c>
      <c r="M444" s="28">
        <v>45299</v>
      </c>
      <c r="N444" s="30">
        <v>0.57991898148148002</v>
      </c>
      <c r="O444" s="27" t="s">
        <v>188</v>
      </c>
      <c r="P444" s="137"/>
      <c r="Q444" t="str">
        <f>IFERROR(IF((_xlfn.XLOOKUP(A444,'Set of Installation'!A:A,'Set of Installation'!C:C)+1)&gt;ABS(K444),"OK","Overusage"),"")</f>
        <v>OK</v>
      </c>
      <c r="R444" t="str">
        <f>_xlfn.XLOOKUP(C444,'Checking(ZSERIALS)'!E:E,'Checking(ZSERIALS)'!F:F)</f>
        <v>CHRISTBELLA CONSTRUCTION MANAGEMENT</v>
      </c>
    </row>
    <row r="445" spans="1:18" x14ac:dyDescent="0.3">
      <c r="A445" s="27">
        <v>40000059</v>
      </c>
      <c r="B445" s="27" t="s">
        <v>13</v>
      </c>
      <c r="C445" s="27">
        <v>4500866</v>
      </c>
      <c r="D445" s="27">
        <v>1000</v>
      </c>
      <c r="E445" s="27" t="s">
        <v>53</v>
      </c>
      <c r="F445" s="27" t="s">
        <v>73</v>
      </c>
      <c r="G445" s="27">
        <v>4900026206</v>
      </c>
      <c r="H445" s="27" t="s">
        <v>54</v>
      </c>
      <c r="I445" s="28">
        <v>45299</v>
      </c>
      <c r="J445" s="27" t="s">
        <v>72</v>
      </c>
      <c r="K445" s="29">
        <v>-1</v>
      </c>
      <c r="L445" s="31">
        <v>1680000718727</v>
      </c>
      <c r="M445" s="28">
        <v>45299</v>
      </c>
      <c r="N445" s="30">
        <v>0.55628472222222003</v>
      </c>
      <c r="O445" s="27" t="s">
        <v>185</v>
      </c>
      <c r="P445" s="137"/>
      <c r="Q445" t="str">
        <f>IFERROR(IF((_xlfn.XLOOKUP(A445,'Set of Installation'!A:A,'Set of Installation'!C:C)+1)&gt;ABS(K445),"OK","Overusage"),"")</f>
        <v>OK</v>
      </c>
      <c r="R445" t="str">
        <f>_xlfn.XLOOKUP(C445,'Checking(ZSERIALS)'!E:E,'Checking(ZSERIALS)'!F:F)</f>
        <v>CHRISTBELLA CONSTRUCTION MANAGEMENT</v>
      </c>
    </row>
    <row r="446" spans="1:18" x14ac:dyDescent="0.3">
      <c r="A446" s="27">
        <v>40000059</v>
      </c>
      <c r="B446" s="27" t="s">
        <v>13</v>
      </c>
      <c r="C446" s="27">
        <v>4500866</v>
      </c>
      <c r="D446" s="27">
        <v>1000</v>
      </c>
      <c r="E446" s="27" t="s">
        <v>53</v>
      </c>
      <c r="F446" s="27" t="s">
        <v>73</v>
      </c>
      <c r="G446" s="27">
        <v>4900025961</v>
      </c>
      <c r="H446" s="27" t="s">
        <v>54</v>
      </c>
      <c r="I446" s="28">
        <v>45299</v>
      </c>
      <c r="J446" s="27" t="s">
        <v>72</v>
      </c>
      <c r="K446" s="29">
        <v>-1</v>
      </c>
      <c r="L446" s="31">
        <v>1680000719107</v>
      </c>
      <c r="M446" s="28">
        <v>45299</v>
      </c>
      <c r="N446" s="30">
        <v>0.52298611111111004</v>
      </c>
      <c r="O446" s="27" t="s">
        <v>182</v>
      </c>
      <c r="P446" s="137"/>
      <c r="Q446" t="str">
        <f>IFERROR(IF((_xlfn.XLOOKUP(A446,'Set of Installation'!A:A,'Set of Installation'!C:C)+1)&gt;ABS(K446),"OK","Overusage"),"")</f>
        <v>OK</v>
      </c>
      <c r="R446" t="str">
        <f>_xlfn.XLOOKUP(C446,'Checking(ZSERIALS)'!E:E,'Checking(ZSERIALS)'!F:F)</f>
        <v>CHRISTBELLA CONSTRUCTION MANAGEMENT</v>
      </c>
    </row>
    <row r="447" spans="1:18" x14ac:dyDescent="0.3">
      <c r="A447" s="27">
        <v>40000059</v>
      </c>
      <c r="B447" s="27" t="s">
        <v>13</v>
      </c>
      <c r="C447" s="27">
        <v>4500866</v>
      </c>
      <c r="D447" s="27">
        <v>1000</v>
      </c>
      <c r="E447" s="27" t="s">
        <v>53</v>
      </c>
      <c r="F447" s="27" t="s">
        <v>73</v>
      </c>
      <c r="G447" s="27">
        <v>4900022008</v>
      </c>
      <c r="H447" s="27" t="s">
        <v>54</v>
      </c>
      <c r="I447" s="28">
        <v>45298</v>
      </c>
      <c r="J447" s="27" t="s">
        <v>72</v>
      </c>
      <c r="K447" s="29">
        <v>-1</v>
      </c>
      <c r="L447" s="31">
        <v>1680000714781</v>
      </c>
      <c r="M447" s="28">
        <v>45298</v>
      </c>
      <c r="N447" s="30">
        <v>0.42849537037037</v>
      </c>
      <c r="O447" s="27" t="s">
        <v>161</v>
      </c>
      <c r="P447" s="137"/>
      <c r="Q447" t="str">
        <f>IFERROR(IF((_xlfn.XLOOKUP(A447,'Set of Installation'!A:A,'Set of Installation'!C:C)+1)&gt;ABS(K447),"OK","Overusage"),"")</f>
        <v>OK</v>
      </c>
      <c r="R447" t="str">
        <f>_xlfn.XLOOKUP(C447,'Checking(ZSERIALS)'!E:E,'Checking(ZSERIALS)'!F:F)</f>
        <v>CHRISTBELLA CONSTRUCTION MANAGEMENT</v>
      </c>
    </row>
    <row r="448" spans="1:18" x14ac:dyDescent="0.3">
      <c r="A448" s="27">
        <v>40000059</v>
      </c>
      <c r="B448" s="27" t="s">
        <v>13</v>
      </c>
      <c r="C448" s="27">
        <v>4500866</v>
      </c>
      <c r="D448" s="27">
        <v>1000</v>
      </c>
      <c r="E448" s="27" t="s">
        <v>53</v>
      </c>
      <c r="F448" s="27" t="s">
        <v>73</v>
      </c>
      <c r="G448" s="27">
        <v>4900022662</v>
      </c>
      <c r="H448" s="27" t="s">
        <v>54</v>
      </c>
      <c r="I448" s="28">
        <v>45298</v>
      </c>
      <c r="J448" s="27" t="s">
        <v>72</v>
      </c>
      <c r="K448" s="29">
        <v>-1</v>
      </c>
      <c r="L448" s="31">
        <v>1680000718039</v>
      </c>
      <c r="M448" s="28">
        <v>45298</v>
      </c>
      <c r="N448" s="30">
        <v>0.55349537037037</v>
      </c>
      <c r="O448" s="27" t="s">
        <v>167</v>
      </c>
      <c r="P448" s="137"/>
      <c r="Q448" t="str">
        <f>IFERROR(IF((_xlfn.XLOOKUP(A448,'Set of Installation'!A:A,'Set of Installation'!C:C)+1)&gt;ABS(K448),"OK","Overusage"),"")</f>
        <v>OK</v>
      </c>
      <c r="R448" t="str">
        <f>_xlfn.XLOOKUP(C448,'Checking(ZSERIALS)'!E:E,'Checking(ZSERIALS)'!F:F)</f>
        <v>CHRISTBELLA CONSTRUCTION MANAGEMENT</v>
      </c>
    </row>
    <row r="449" spans="1:18" x14ac:dyDescent="0.3">
      <c r="A449" s="27">
        <v>40000059</v>
      </c>
      <c r="B449" s="27" t="s">
        <v>13</v>
      </c>
      <c r="C449" s="27">
        <v>4500866</v>
      </c>
      <c r="D449" s="27">
        <v>1000</v>
      </c>
      <c r="E449" s="27" t="s">
        <v>53</v>
      </c>
      <c r="F449" s="27" t="s">
        <v>73</v>
      </c>
      <c r="G449" s="27">
        <v>4900022702</v>
      </c>
      <c r="H449" s="27" t="s">
        <v>54</v>
      </c>
      <c r="I449" s="28">
        <v>45298</v>
      </c>
      <c r="J449" s="27" t="s">
        <v>72</v>
      </c>
      <c r="K449" s="29">
        <v>-1</v>
      </c>
      <c r="L449" s="31">
        <v>1680000714162</v>
      </c>
      <c r="M449" s="28">
        <v>45298</v>
      </c>
      <c r="N449" s="30">
        <v>0.56460648148147996</v>
      </c>
      <c r="O449" s="27" t="s">
        <v>170</v>
      </c>
      <c r="P449" s="137"/>
      <c r="Q449" t="str">
        <f>IFERROR(IF((_xlfn.XLOOKUP(A449,'Set of Installation'!A:A,'Set of Installation'!C:C)+1)&gt;ABS(K449),"OK","Overusage"),"")</f>
        <v>OK</v>
      </c>
      <c r="R449" t="str">
        <f>_xlfn.XLOOKUP(C449,'Checking(ZSERIALS)'!E:E,'Checking(ZSERIALS)'!F:F)</f>
        <v>CHRISTBELLA CONSTRUCTION MANAGEMENT</v>
      </c>
    </row>
    <row r="450" spans="1:18" x14ac:dyDescent="0.3">
      <c r="A450" s="27">
        <v>40000059</v>
      </c>
      <c r="B450" s="27" t="s">
        <v>13</v>
      </c>
      <c r="C450" s="27">
        <v>4500866</v>
      </c>
      <c r="D450" s="27">
        <v>1000</v>
      </c>
      <c r="E450" s="27" t="s">
        <v>53</v>
      </c>
      <c r="F450" s="27" t="s">
        <v>73</v>
      </c>
      <c r="G450" s="27">
        <v>4900023395</v>
      </c>
      <c r="H450" s="27" t="s">
        <v>54</v>
      </c>
      <c r="I450" s="28">
        <v>45298</v>
      </c>
      <c r="J450" s="27" t="s">
        <v>72</v>
      </c>
      <c r="K450" s="29">
        <v>-1</v>
      </c>
      <c r="L450" s="31">
        <v>1680000719137</v>
      </c>
      <c r="M450" s="28">
        <v>45298</v>
      </c>
      <c r="N450" s="30">
        <v>0.66738425925926004</v>
      </c>
      <c r="O450" s="27" t="s">
        <v>173</v>
      </c>
      <c r="P450" s="137"/>
      <c r="Q450" t="str">
        <f>IFERROR(IF((_xlfn.XLOOKUP(A450,'Set of Installation'!A:A,'Set of Installation'!C:C)+1)&gt;ABS(K450),"OK","Overusage"),"")</f>
        <v>OK</v>
      </c>
      <c r="R450" t="str">
        <f>_xlfn.XLOOKUP(C450,'Checking(ZSERIALS)'!E:E,'Checking(ZSERIALS)'!F:F)</f>
        <v>CHRISTBELLA CONSTRUCTION MANAGEMENT</v>
      </c>
    </row>
    <row r="451" spans="1:18" x14ac:dyDescent="0.3">
      <c r="A451" s="27">
        <v>40000059</v>
      </c>
      <c r="B451" s="27" t="s">
        <v>13</v>
      </c>
      <c r="C451" s="27">
        <v>4500866</v>
      </c>
      <c r="D451" s="27">
        <v>1000</v>
      </c>
      <c r="E451" s="27" t="s">
        <v>53</v>
      </c>
      <c r="F451" s="27" t="s">
        <v>73</v>
      </c>
      <c r="G451" s="27">
        <v>4900023883</v>
      </c>
      <c r="H451" s="27" t="s">
        <v>54</v>
      </c>
      <c r="I451" s="28">
        <v>45298</v>
      </c>
      <c r="J451" s="27" t="s">
        <v>72</v>
      </c>
      <c r="K451" s="29">
        <v>-1</v>
      </c>
      <c r="L451" s="31">
        <v>1680000720228</v>
      </c>
      <c r="M451" s="28">
        <v>45298</v>
      </c>
      <c r="N451" s="30">
        <v>0.74239583333333004</v>
      </c>
      <c r="O451" s="27" t="s">
        <v>176</v>
      </c>
      <c r="P451" s="137"/>
      <c r="Q451" t="str">
        <f>IFERROR(IF((_xlfn.XLOOKUP(A451,'Set of Installation'!A:A,'Set of Installation'!C:C)+1)&gt;ABS(K451),"OK","Overusage"),"")</f>
        <v>OK</v>
      </c>
      <c r="R451" t="str">
        <f>_xlfn.XLOOKUP(C451,'Checking(ZSERIALS)'!E:E,'Checking(ZSERIALS)'!F:F)</f>
        <v>CHRISTBELLA CONSTRUCTION MANAGEMENT</v>
      </c>
    </row>
    <row r="452" spans="1:18" x14ac:dyDescent="0.3">
      <c r="A452" s="27">
        <v>40000059</v>
      </c>
      <c r="B452" s="27" t="s">
        <v>13</v>
      </c>
      <c r="C452" s="27">
        <v>4500866</v>
      </c>
      <c r="D452" s="27">
        <v>1000</v>
      </c>
      <c r="E452" s="27" t="s">
        <v>53</v>
      </c>
      <c r="F452" s="27" t="s">
        <v>73</v>
      </c>
      <c r="G452" s="27">
        <v>4900017966</v>
      </c>
      <c r="H452" s="27" t="s">
        <v>54</v>
      </c>
      <c r="I452" s="28">
        <v>45297</v>
      </c>
      <c r="J452" s="27" t="s">
        <v>72</v>
      </c>
      <c r="K452" s="29">
        <v>-1</v>
      </c>
      <c r="L452" s="31">
        <v>1680000714783</v>
      </c>
      <c r="M452" s="28">
        <v>45297</v>
      </c>
      <c r="N452" s="30">
        <v>0.52988425925925997</v>
      </c>
      <c r="O452" s="27" t="s">
        <v>149</v>
      </c>
      <c r="P452" s="137"/>
      <c r="Q452" t="str">
        <f>IFERROR(IF((_xlfn.XLOOKUP(A452,'Set of Installation'!A:A,'Set of Installation'!C:C)+1)&gt;ABS(K452),"OK","Overusage"),"")</f>
        <v>OK</v>
      </c>
      <c r="R452" t="str">
        <f>_xlfn.XLOOKUP(C452,'Checking(ZSERIALS)'!E:E,'Checking(ZSERIALS)'!F:F)</f>
        <v>CHRISTBELLA CONSTRUCTION MANAGEMENT</v>
      </c>
    </row>
    <row r="453" spans="1:18" x14ac:dyDescent="0.3">
      <c r="A453" s="27">
        <v>40000059</v>
      </c>
      <c r="B453" s="27" t="s">
        <v>13</v>
      </c>
      <c r="C453" s="27">
        <v>4500866</v>
      </c>
      <c r="D453" s="27">
        <v>1000</v>
      </c>
      <c r="E453" s="27" t="s">
        <v>53</v>
      </c>
      <c r="F453" s="27" t="s">
        <v>73</v>
      </c>
      <c r="G453" s="27">
        <v>4900014043</v>
      </c>
      <c r="H453" s="27" t="s">
        <v>54</v>
      </c>
      <c r="I453" s="28">
        <v>45296</v>
      </c>
      <c r="J453" s="27" t="s">
        <v>72</v>
      </c>
      <c r="K453" s="29">
        <v>-1</v>
      </c>
      <c r="L453" s="31">
        <v>1680000712396</v>
      </c>
      <c r="M453" s="28">
        <v>45296</v>
      </c>
      <c r="N453" s="30">
        <v>0.65347222222222001</v>
      </c>
      <c r="O453" s="27" t="s">
        <v>137</v>
      </c>
      <c r="P453" s="137"/>
      <c r="Q453" t="str">
        <f>IFERROR(IF((_xlfn.XLOOKUP(A453,'Set of Installation'!A:A,'Set of Installation'!C:C)+1)&gt;ABS(K453),"OK","Overusage"),"")</f>
        <v>OK</v>
      </c>
      <c r="R453" t="str">
        <f>_xlfn.XLOOKUP(C453,'Checking(ZSERIALS)'!E:E,'Checking(ZSERIALS)'!F:F)</f>
        <v>CHRISTBELLA CONSTRUCTION MANAGEMENT</v>
      </c>
    </row>
    <row r="454" spans="1:18" x14ac:dyDescent="0.3">
      <c r="A454" s="27">
        <v>40000059</v>
      </c>
      <c r="B454" s="27" t="s">
        <v>13</v>
      </c>
      <c r="C454" s="27">
        <v>4500866</v>
      </c>
      <c r="D454" s="27">
        <v>1000</v>
      </c>
      <c r="E454" s="27" t="s">
        <v>53</v>
      </c>
      <c r="F454" s="27" t="s">
        <v>73</v>
      </c>
      <c r="G454" s="27">
        <v>4900013228</v>
      </c>
      <c r="H454" s="27" t="s">
        <v>54</v>
      </c>
      <c r="I454" s="28">
        <v>45296</v>
      </c>
      <c r="J454" s="27" t="s">
        <v>72</v>
      </c>
      <c r="K454" s="29">
        <v>-1</v>
      </c>
      <c r="L454" s="31">
        <v>1680000700036</v>
      </c>
      <c r="M454" s="28">
        <v>45296</v>
      </c>
      <c r="N454" s="30">
        <v>0.56253472222222001</v>
      </c>
      <c r="O454" s="27" t="s">
        <v>134</v>
      </c>
      <c r="P454" s="137"/>
      <c r="Q454" t="str">
        <f>IFERROR(IF((_xlfn.XLOOKUP(A454,'Set of Installation'!A:A,'Set of Installation'!C:C)+1)&gt;ABS(K454),"OK","Overusage"),"")</f>
        <v>OK</v>
      </c>
      <c r="R454" t="str">
        <f>_xlfn.XLOOKUP(C454,'Checking(ZSERIALS)'!E:E,'Checking(ZSERIALS)'!F:F)</f>
        <v>CHRISTBELLA CONSTRUCTION MANAGEMENT</v>
      </c>
    </row>
    <row r="455" spans="1:18" x14ac:dyDescent="0.3">
      <c r="A455" s="27">
        <v>40000059</v>
      </c>
      <c r="B455" s="27" t="s">
        <v>13</v>
      </c>
      <c r="C455" s="27">
        <v>4500866</v>
      </c>
      <c r="D455" s="27">
        <v>1000</v>
      </c>
      <c r="E455" s="27" t="s">
        <v>53</v>
      </c>
      <c r="F455" s="27" t="s">
        <v>73</v>
      </c>
      <c r="G455" s="27">
        <v>4900014547</v>
      </c>
      <c r="H455" s="27" t="s">
        <v>54</v>
      </c>
      <c r="I455" s="28">
        <v>45296</v>
      </c>
      <c r="J455" s="27" t="s">
        <v>72</v>
      </c>
      <c r="K455" s="29">
        <v>-1</v>
      </c>
      <c r="L455" s="31">
        <v>1680000712841</v>
      </c>
      <c r="M455" s="28">
        <v>45296</v>
      </c>
      <c r="N455" s="30">
        <v>0.70487268518518997</v>
      </c>
      <c r="O455" s="27" t="s">
        <v>140</v>
      </c>
      <c r="P455" s="137"/>
      <c r="Q455" t="str">
        <f>IFERROR(IF((_xlfn.XLOOKUP(A455,'Set of Installation'!A:A,'Set of Installation'!C:C)+1)&gt;ABS(K455),"OK","Overusage"),"")</f>
        <v>OK</v>
      </c>
      <c r="R455" t="str">
        <f>_xlfn.XLOOKUP(C455,'Checking(ZSERIALS)'!E:E,'Checking(ZSERIALS)'!F:F)</f>
        <v>CHRISTBELLA CONSTRUCTION MANAGEMENT</v>
      </c>
    </row>
    <row r="456" spans="1:18" x14ac:dyDescent="0.3">
      <c r="A456" s="27">
        <v>40000059</v>
      </c>
      <c r="B456" s="27" t="s">
        <v>13</v>
      </c>
      <c r="C456" s="27">
        <v>4500866</v>
      </c>
      <c r="D456" s="27">
        <v>1000</v>
      </c>
      <c r="E456" s="27" t="s">
        <v>53</v>
      </c>
      <c r="F456" s="27" t="s">
        <v>73</v>
      </c>
      <c r="G456" s="27">
        <v>4900013196</v>
      </c>
      <c r="H456" s="27" t="s">
        <v>54</v>
      </c>
      <c r="I456" s="28">
        <v>45296</v>
      </c>
      <c r="J456" s="27" t="s">
        <v>72</v>
      </c>
      <c r="K456" s="29">
        <v>-1</v>
      </c>
      <c r="L456" s="31">
        <v>1680000711607</v>
      </c>
      <c r="M456" s="28">
        <v>45296</v>
      </c>
      <c r="N456" s="30">
        <v>0.55972222222222001</v>
      </c>
      <c r="O456" s="27" t="s">
        <v>131</v>
      </c>
      <c r="P456" s="137"/>
      <c r="Q456" t="str">
        <f>IFERROR(IF((_xlfn.XLOOKUP(A456,'Set of Installation'!A:A,'Set of Installation'!C:C)+1)&gt;ABS(K456),"OK","Overusage"),"")</f>
        <v>OK</v>
      </c>
      <c r="R456" t="str">
        <f>_xlfn.XLOOKUP(C456,'Checking(ZSERIALS)'!E:E,'Checking(ZSERIALS)'!F:F)</f>
        <v>CHRISTBELLA CONSTRUCTION MANAGEMENT</v>
      </c>
    </row>
    <row r="457" spans="1:18" x14ac:dyDescent="0.3">
      <c r="A457" s="27">
        <v>40000059</v>
      </c>
      <c r="B457" s="27" t="s">
        <v>13</v>
      </c>
      <c r="C457" s="27">
        <v>4500866</v>
      </c>
      <c r="D457" s="27">
        <v>1000</v>
      </c>
      <c r="E457" s="27" t="s">
        <v>53</v>
      </c>
      <c r="F457" s="27" t="s">
        <v>73</v>
      </c>
      <c r="G457" s="27">
        <v>4900012852</v>
      </c>
      <c r="H457" s="27" t="s">
        <v>54</v>
      </c>
      <c r="I457" s="28">
        <v>45296</v>
      </c>
      <c r="J457" s="27" t="s">
        <v>72</v>
      </c>
      <c r="K457" s="29">
        <v>-1</v>
      </c>
      <c r="L457" s="31">
        <v>1680000710201</v>
      </c>
      <c r="M457" s="28">
        <v>45296</v>
      </c>
      <c r="N457" s="30">
        <v>0.51946759259259001</v>
      </c>
      <c r="O457" s="27" t="s">
        <v>125</v>
      </c>
      <c r="P457" s="137"/>
      <c r="Q457" t="str">
        <f>IFERROR(IF((_xlfn.XLOOKUP(A457,'Set of Installation'!A:A,'Set of Installation'!C:C)+1)&gt;ABS(K457),"OK","Overusage"),"")</f>
        <v>OK</v>
      </c>
      <c r="R457" t="str">
        <f>_xlfn.XLOOKUP(C457,'Checking(ZSERIALS)'!E:E,'Checking(ZSERIALS)'!F:F)</f>
        <v>CHRISTBELLA CONSTRUCTION MANAGEMENT</v>
      </c>
    </row>
    <row r="458" spans="1:18" x14ac:dyDescent="0.3">
      <c r="A458" s="27">
        <v>40000059</v>
      </c>
      <c r="B458" s="27" t="s">
        <v>13</v>
      </c>
      <c r="C458" s="27">
        <v>4500866</v>
      </c>
      <c r="D458" s="27">
        <v>1000</v>
      </c>
      <c r="E458" s="27" t="s">
        <v>53</v>
      </c>
      <c r="F458" s="27" t="s">
        <v>73</v>
      </c>
      <c r="G458" s="27">
        <v>4900015408</v>
      </c>
      <c r="H458" s="27" t="s">
        <v>54</v>
      </c>
      <c r="I458" s="28">
        <v>45296</v>
      </c>
      <c r="J458" s="27" t="s">
        <v>72</v>
      </c>
      <c r="K458" s="29">
        <v>-1</v>
      </c>
      <c r="L458" s="31">
        <v>1680000713356</v>
      </c>
      <c r="M458" s="28">
        <v>45296</v>
      </c>
      <c r="N458" s="30">
        <v>0.78545138888888999</v>
      </c>
      <c r="O458" s="27" t="s">
        <v>146</v>
      </c>
      <c r="P458" s="137"/>
      <c r="Q458" t="str">
        <f>IFERROR(IF((_xlfn.XLOOKUP(A458,'Set of Installation'!A:A,'Set of Installation'!C:C)+1)&gt;ABS(K458),"OK","Overusage"),"")</f>
        <v>OK</v>
      </c>
      <c r="R458" t="str">
        <f>_xlfn.XLOOKUP(C458,'Checking(ZSERIALS)'!E:E,'Checking(ZSERIALS)'!F:F)</f>
        <v>CHRISTBELLA CONSTRUCTION MANAGEMENT</v>
      </c>
    </row>
    <row r="459" spans="1:18" x14ac:dyDescent="0.3">
      <c r="A459" s="27">
        <v>40000059</v>
      </c>
      <c r="B459" s="27" t="s">
        <v>13</v>
      </c>
      <c r="C459" s="27">
        <v>4500866</v>
      </c>
      <c r="D459" s="27">
        <v>1000</v>
      </c>
      <c r="E459" s="27" t="s">
        <v>53</v>
      </c>
      <c r="F459" s="27" t="s">
        <v>73</v>
      </c>
      <c r="G459" s="27">
        <v>4900010391</v>
      </c>
      <c r="H459" s="27" t="s">
        <v>54</v>
      </c>
      <c r="I459" s="28">
        <v>45295</v>
      </c>
      <c r="J459" s="27" t="s">
        <v>72</v>
      </c>
      <c r="K459" s="29">
        <v>-1</v>
      </c>
      <c r="L459" s="31">
        <v>1680000710858</v>
      </c>
      <c r="M459" s="28">
        <v>45295</v>
      </c>
      <c r="N459" s="30">
        <v>0.77778935185185005</v>
      </c>
      <c r="O459" s="27" t="s">
        <v>119</v>
      </c>
      <c r="P459" s="137"/>
      <c r="Q459" t="str">
        <f>IFERROR(IF((_xlfn.XLOOKUP(A459,'Set of Installation'!A:A,'Set of Installation'!C:C)+1)&gt;ABS(K459),"OK","Overusage"),"")</f>
        <v>OK</v>
      </c>
      <c r="R459" t="str">
        <f>_xlfn.XLOOKUP(C459,'Checking(ZSERIALS)'!E:E,'Checking(ZSERIALS)'!F:F)</f>
        <v>CHRISTBELLA CONSTRUCTION MANAGEMENT</v>
      </c>
    </row>
    <row r="460" spans="1:18" x14ac:dyDescent="0.3">
      <c r="A460" s="27">
        <v>40000059</v>
      </c>
      <c r="B460" s="27" t="s">
        <v>13</v>
      </c>
      <c r="C460" s="27">
        <v>4500866</v>
      </c>
      <c r="D460" s="27">
        <v>1000</v>
      </c>
      <c r="E460" s="27" t="s">
        <v>53</v>
      </c>
      <c r="F460" s="27" t="s">
        <v>73</v>
      </c>
      <c r="G460" s="27">
        <v>4900008763</v>
      </c>
      <c r="H460" s="27" t="s">
        <v>54</v>
      </c>
      <c r="I460" s="28">
        <v>45295</v>
      </c>
      <c r="J460" s="27" t="s">
        <v>72</v>
      </c>
      <c r="K460" s="29">
        <v>-1</v>
      </c>
      <c r="L460" s="31">
        <v>1680000692316</v>
      </c>
      <c r="M460" s="28">
        <v>45295</v>
      </c>
      <c r="N460" s="30">
        <v>0.61111111111111005</v>
      </c>
      <c r="O460" s="27" t="s">
        <v>113</v>
      </c>
      <c r="P460" s="137"/>
      <c r="Q460" t="str">
        <f>IFERROR(IF((_xlfn.XLOOKUP(A460,'Set of Installation'!A:A,'Set of Installation'!C:C)+1)&gt;ABS(K460),"OK","Overusage"),"")</f>
        <v>OK</v>
      </c>
      <c r="R460" t="str">
        <f>_xlfn.XLOOKUP(C460,'Checking(ZSERIALS)'!E:E,'Checking(ZSERIALS)'!F:F)</f>
        <v>CHRISTBELLA CONSTRUCTION MANAGEMENT</v>
      </c>
    </row>
    <row r="461" spans="1:18" x14ac:dyDescent="0.3">
      <c r="A461" s="27">
        <v>40000059</v>
      </c>
      <c r="B461" s="27" t="s">
        <v>13</v>
      </c>
      <c r="C461" s="27">
        <v>4500866</v>
      </c>
      <c r="D461" s="27">
        <v>1000</v>
      </c>
      <c r="E461" s="27" t="s">
        <v>53</v>
      </c>
      <c r="F461" s="27" t="s">
        <v>73</v>
      </c>
      <c r="G461" s="27">
        <v>4900010287</v>
      </c>
      <c r="H461" s="27" t="s">
        <v>54</v>
      </c>
      <c r="I461" s="28">
        <v>45295</v>
      </c>
      <c r="J461" s="27" t="s">
        <v>72</v>
      </c>
      <c r="K461" s="29">
        <v>-1</v>
      </c>
      <c r="L461" s="31">
        <v>1680000706966</v>
      </c>
      <c r="M461" s="28">
        <v>45295</v>
      </c>
      <c r="N461" s="30">
        <v>0.76525462962962998</v>
      </c>
      <c r="O461" s="27" t="s">
        <v>116</v>
      </c>
      <c r="P461" s="137"/>
      <c r="Q461" t="str">
        <f>IFERROR(IF((_xlfn.XLOOKUP(A461,'Set of Installation'!A:A,'Set of Installation'!C:C)+1)&gt;ABS(K461),"OK","Overusage"),"")</f>
        <v>OK</v>
      </c>
      <c r="R461" t="str">
        <f>_xlfn.XLOOKUP(C461,'Checking(ZSERIALS)'!E:E,'Checking(ZSERIALS)'!F:F)</f>
        <v>CHRISTBELLA CONSTRUCTION MANAGEMENT</v>
      </c>
    </row>
    <row r="462" spans="1:18" x14ac:dyDescent="0.3">
      <c r="A462" s="27">
        <v>40000059</v>
      </c>
      <c r="B462" s="27" t="s">
        <v>13</v>
      </c>
      <c r="C462" s="27">
        <v>4500866</v>
      </c>
      <c r="D462" s="27">
        <v>1000</v>
      </c>
      <c r="E462" s="27" t="s">
        <v>53</v>
      </c>
      <c r="F462" s="27" t="s">
        <v>73</v>
      </c>
      <c r="G462" s="27">
        <v>4900010420</v>
      </c>
      <c r="H462" s="27" t="s">
        <v>54</v>
      </c>
      <c r="I462" s="28">
        <v>45295</v>
      </c>
      <c r="J462" s="27" t="s">
        <v>72</v>
      </c>
      <c r="K462" s="29">
        <v>-1</v>
      </c>
      <c r="L462" s="31">
        <v>1680000710820</v>
      </c>
      <c r="M462" s="28">
        <v>45295</v>
      </c>
      <c r="N462" s="30">
        <v>0.78190972222221999</v>
      </c>
      <c r="O462" s="27" t="s">
        <v>122</v>
      </c>
      <c r="P462" s="137"/>
      <c r="Q462" t="str">
        <f>IFERROR(IF((_xlfn.XLOOKUP(A462,'Set of Installation'!A:A,'Set of Installation'!C:C)+1)&gt;ABS(K462),"OK","Overusage"),"")</f>
        <v>OK</v>
      </c>
      <c r="R462" t="str">
        <f>_xlfn.XLOOKUP(C462,'Checking(ZSERIALS)'!E:E,'Checking(ZSERIALS)'!F:F)</f>
        <v>CHRISTBELLA CONSTRUCTION MANAGEMENT</v>
      </c>
    </row>
    <row r="463" spans="1:18" x14ac:dyDescent="0.3">
      <c r="A463" s="27">
        <v>40000059</v>
      </c>
      <c r="B463" s="27" t="s">
        <v>13</v>
      </c>
      <c r="C463" s="27">
        <v>4500866</v>
      </c>
      <c r="D463" s="27">
        <v>1000</v>
      </c>
      <c r="E463" s="27" t="s">
        <v>53</v>
      </c>
      <c r="F463" s="27" t="s">
        <v>73</v>
      </c>
      <c r="G463" s="27">
        <v>4900003797</v>
      </c>
      <c r="H463" s="27" t="s">
        <v>54</v>
      </c>
      <c r="I463" s="28">
        <v>45294</v>
      </c>
      <c r="J463" s="27" t="s">
        <v>72</v>
      </c>
      <c r="K463" s="29">
        <v>-1</v>
      </c>
      <c r="L463" s="31">
        <v>1680000705942</v>
      </c>
      <c r="M463" s="28">
        <v>45294</v>
      </c>
      <c r="N463" s="30">
        <v>0.56662037037037005</v>
      </c>
      <c r="O463" s="27" t="s">
        <v>107</v>
      </c>
      <c r="P463" s="137"/>
      <c r="Q463" t="str">
        <f>IFERROR(IF((_xlfn.XLOOKUP(A463,'Set of Installation'!A:A,'Set of Installation'!C:C)+1)&gt;ABS(K463),"OK","Overusage"),"")</f>
        <v>OK</v>
      </c>
      <c r="R463" t="str">
        <f>_xlfn.XLOOKUP(C463,'Checking(ZSERIALS)'!E:E,'Checking(ZSERIALS)'!F:F)</f>
        <v>CHRISTBELLA CONSTRUCTION MANAGEMENT</v>
      </c>
    </row>
    <row r="464" spans="1:18" x14ac:dyDescent="0.3">
      <c r="A464" s="27">
        <v>40000059</v>
      </c>
      <c r="B464" s="27" t="s">
        <v>13</v>
      </c>
      <c r="C464" s="27">
        <v>4500866</v>
      </c>
      <c r="D464" s="27">
        <v>1000</v>
      </c>
      <c r="E464" s="27" t="s">
        <v>53</v>
      </c>
      <c r="F464" s="27" t="s">
        <v>73</v>
      </c>
      <c r="G464" s="27">
        <v>4900141595</v>
      </c>
      <c r="H464" s="27" t="s">
        <v>54</v>
      </c>
      <c r="I464" s="28">
        <v>45291</v>
      </c>
      <c r="J464" s="27" t="s">
        <v>72</v>
      </c>
      <c r="K464" s="29">
        <v>-1</v>
      </c>
      <c r="L464" s="31">
        <v>1680000698441</v>
      </c>
      <c r="M464" s="28">
        <v>45291</v>
      </c>
      <c r="N464" s="30">
        <v>0.70130787037037001</v>
      </c>
      <c r="O464" s="27" t="s">
        <v>410</v>
      </c>
      <c r="P464" s="137"/>
      <c r="Q464" t="str">
        <f>IFERROR(IF((_xlfn.XLOOKUP(A464,'Set of Installation'!A:A,'Set of Installation'!C:C)+1)&gt;ABS(K464),"OK","Overusage"),"")</f>
        <v>OK</v>
      </c>
      <c r="R464" t="str">
        <f>_xlfn.XLOOKUP(C464,'Checking(ZSERIALS)'!E:E,'Checking(ZSERIALS)'!F:F)</f>
        <v>CHRISTBELLA CONSTRUCTION MANAGEMENT</v>
      </c>
    </row>
    <row r="465" spans="1:18" x14ac:dyDescent="0.3">
      <c r="A465" s="27">
        <v>40000059</v>
      </c>
      <c r="B465" s="27" t="s">
        <v>13</v>
      </c>
      <c r="C465" s="27">
        <v>4500866</v>
      </c>
      <c r="D465" s="27">
        <v>1000</v>
      </c>
      <c r="E465" s="27" t="s">
        <v>53</v>
      </c>
      <c r="F465" s="27" t="s">
        <v>73</v>
      </c>
      <c r="G465" s="27">
        <v>4900141416</v>
      </c>
      <c r="H465" s="27" t="s">
        <v>54</v>
      </c>
      <c r="I465" s="28">
        <v>45291</v>
      </c>
      <c r="J465" s="27" t="s">
        <v>72</v>
      </c>
      <c r="K465" s="29">
        <v>-1</v>
      </c>
      <c r="L465" s="31">
        <v>1680000704326</v>
      </c>
      <c r="M465" s="28">
        <v>45291</v>
      </c>
      <c r="N465" s="30">
        <v>0.64157407407406997</v>
      </c>
      <c r="O465" s="27" t="s">
        <v>404</v>
      </c>
      <c r="P465" s="137"/>
      <c r="Q465" t="str">
        <f>IFERROR(IF((_xlfn.XLOOKUP(A465,'Set of Installation'!A:A,'Set of Installation'!C:C)+1)&gt;ABS(K465),"OK","Overusage"),"")</f>
        <v>OK</v>
      </c>
      <c r="R465" t="str">
        <f>_xlfn.XLOOKUP(C465,'Checking(ZSERIALS)'!E:E,'Checking(ZSERIALS)'!F:F)</f>
        <v>CHRISTBELLA CONSTRUCTION MANAGEMENT</v>
      </c>
    </row>
    <row r="466" spans="1:18" x14ac:dyDescent="0.3">
      <c r="A466" s="27">
        <v>40000059</v>
      </c>
      <c r="B466" s="27" t="s">
        <v>13</v>
      </c>
      <c r="C466" s="27">
        <v>4500866</v>
      </c>
      <c r="D466" s="27">
        <v>1000</v>
      </c>
      <c r="E466" s="27" t="s">
        <v>53</v>
      </c>
      <c r="F466" s="27" t="s">
        <v>73</v>
      </c>
      <c r="G466" s="27">
        <v>4900141174</v>
      </c>
      <c r="H466" s="27" t="s">
        <v>54</v>
      </c>
      <c r="I466" s="28">
        <v>45291</v>
      </c>
      <c r="J466" s="27" t="s">
        <v>72</v>
      </c>
      <c r="K466" s="29">
        <v>-1</v>
      </c>
      <c r="L466" s="31">
        <v>1680000703178</v>
      </c>
      <c r="M466" s="28">
        <v>45291</v>
      </c>
      <c r="N466" s="30">
        <v>0.56798611111110997</v>
      </c>
      <c r="O466" s="27" t="s">
        <v>398</v>
      </c>
      <c r="P466" s="137"/>
      <c r="Q466" t="str">
        <f>IFERROR(IF((_xlfn.XLOOKUP(A466,'Set of Installation'!A:A,'Set of Installation'!C:C)+1)&gt;ABS(K466),"OK","Overusage"),"")</f>
        <v>OK</v>
      </c>
      <c r="R466" t="str">
        <f>_xlfn.XLOOKUP(C466,'Checking(ZSERIALS)'!E:E,'Checking(ZSERIALS)'!F:F)</f>
        <v>CHRISTBELLA CONSTRUCTION MANAGEMENT</v>
      </c>
    </row>
    <row r="467" spans="1:18" x14ac:dyDescent="0.3">
      <c r="A467" s="27">
        <v>40000059</v>
      </c>
      <c r="B467" s="27" t="s">
        <v>13</v>
      </c>
      <c r="C467" s="27">
        <v>4500866</v>
      </c>
      <c r="D467" s="27">
        <v>1000</v>
      </c>
      <c r="E467" s="27" t="s">
        <v>53</v>
      </c>
      <c r="F467" s="27" t="s">
        <v>73</v>
      </c>
      <c r="G467" s="27">
        <v>4900140958</v>
      </c>
      <c r="H467" s="27" t="s">
        <v>54</v>
      </c>
      <c r="I467" s="28">
        <v>45291</v>
      </c>
      <c r="J467" s="27" t="s">
        <v>72</v>
      </c>
      <c r="K467" s="29">
        <v>-1</v>
      </c>
      <c r="L467" s="31">
        <v>1680000701780</v>
      </c>
      <c r="M467" s="28">
        <v>45291</v>
      </c>
      <c r="N467" s="30">
        <v>0.52074074074073995</v>
      </c>
      <c r="O467" s="27" t="s">
        <v>395</v>
      </c>
      <c r="P467" s="137"/>
      <c r="Q467" t="str">
        <f>IFERROR(IF((_xlfn.XLOOKUP(A467,'Set of Installation'!A:A,'Set of Installation'!C:C)+1)&gt;ABS(K467),"OK","Overusage"),"")</f>
        <v>OK</v>
      </c>
      <c r="R467" t="str">
        <f>_xlfn.XLOOKUP(C467,'Checking(ZSERIALS)'!E:E,'Checking(ZSERIALS)'!F:F)</f>
        <v>CHRISTBELLA CONSTRUCTION MANAGEMENT</v>
      </c>
    </row>
    <row r="468" spans="1:18" x14ac:dyDescent="0.3">
      <c r="A468" s="27">
        <v>40000059</v>
      </c>
      <c r="B468" s="27" t="s">
        <v>13</v>
      </c>
      <c r="C468" s="27">
        <v>4500866</v>
      </c>
      <c r="D468" s="27">
        <v>1000</v>
      </c>
      <c r="E468" s="27" t="s">
        <v>53</v>
      </c>
      <c r="F468" s="27" t="s">
        <v>73</v>
      </c>
      <c r="G468" s="27">
        <v>4900140569</v>
      </c>
      <c r="H468" s="27" t="s">
        <v>54</v>
      </c>
      <c r="I468" s="28">
        <v>45291</v>
      </c>
      <c r="J468" s="27" t="s">
        <v>72</v>
      </c>
      <c r="K468" s="29">
        <v>-1</v>
      </c>
      <c r="L468" s="31">
        <v>1680000701674</v>
      </c>
      <c r="M468" s="28">
        <v>45291</v>
      </c>
      <c r="N468" s="30">
        <v>0.42490740740741001</v>
      </c>
      <c r="O468" s="27" t="s">
        <v>392</v>
      </c>
      <c r="P468" s="137"/>
      <c r="Q468" t="str">
        <f>IFERROR(IF((_xlfn.XLOOKUP(A468,'Set of Installation'!A:A,'Set of Installation'!C:C)+1)&gt;ABS(K468),"OK","Overusage"),"")</f>
        <v>OK</v>
      </c>
      <c r="R468" t="str">
        <f>_xlfn.XLOOKUP(C468,'Checking(ZSERIALS)'!E:E,'Checking(ZSERIALS)'!F:F)</f>
        <v>CHRISTBELLA CONSTRUCTION MANAGEMENT</v>
      </c>
    </row>
    <row r="469" spans="1:18" x14ac:dyDescent="0.3">
      <c r="A469" s="27">
        <v>40000059</v>
      </c>
      <c r="B469" s="27" t="s">
        <v>13</v>
      </c>
      <c r="C469" s="27">
        <v>4500866</v>
      </c>
      <c r="D469" s="27">
        <v>1000</v>
      </c>
      <c r="E469" s="27" t="s">
        <v>53</v>
      </c>
      <c r="F469" s="27" t="s">
        <v>73</v>
      </c>
      <c r="G469" s="27">
        <v>4900135136</v>
      </c>
      <c r="H469" s="27" t="s">
        <v>101</v>
      </c>
      <c r="I469" s="28">
        <v>45289</v>
      </c>
      <c r="J469" s="27" t="s">
        <v>72</v>
      </c>
      <c r="K469" s="29">
        <v>-1</v>
      </c>
      <c r="L469" s="31" t="s">
        <v>103</v>
      </c>
      <c r="M469" s="28">
        <v>45289</v>
      </c>
      <c r="N469" s="30">
        <v>0.83835648148148001</v>
      </c>
      <c r="O469" s="27" t="s">
        <v>104</v>
      </c>
      <c r="P469" s="137"/>
      <c r="Q469" t="str">
        <f>IFERROR(IF((_xlfn.XLOOKUP(A469,'Set of Installation'!A:A,'Set of Installation'!C:C)+1)&gt;ABS(K469),"OK","Overusage"),"")</f>
        <v>OK</v>
      </c>
      <c r="R469" t="str">
        <f>_xlfn.XLOOKUP(C469,'Checking(ZSERIALS)'!E:E,'Checking(ZSERIALS)'!F:F)</f>
        <v>CHRISTBELLA CONSTRUCTION MANAGEMENT</v>
      </c>
    </row>
    <row r="470" spans="1:18" x14ac:dyDescent="0.3">
      <c r="A470" s="27">
        <v>40000059</v>
      </c>
      <c r="B470" s="27" t="s">
        <v>13</v>
      </c>
      <c r="C470" s="27">
        <v>4500866</v>
      </c>
      <c r="D470" s="27">
        <v>1000</v>
      </c>
      <c r="E470" s="27" t="s">
        <v>53</v>
      </c>
      <c r="F470" s="27" t="s">
        <v>73</v>
      </c>
      <c r="G470" s="27">
        <v>4900132654</v>
      </c>
      <c r="H470" s="27" t="s">
        <v>54</v>
      </c>
      <c r="I470" s="28">
        <v>45289</v>
      </c>
      <c r="J470" s="27" t="s">
        <v>72</v>
      </c>
      <c r="K470" s="29">
        <v>-1</v>
      </c>
      <c r="L470" s="31">
        <v>1680000699895</v>
      </c>
      <c r="M470" s="28">
        <v>45289</v>
      </c>
      <c r="N470" s="30">
        <v>0.55685185185185004</v>
      </c>
      <c r="O470" s="27" t="s">
        <v>360</v>
      </c>
      <c r="P470" s="137"/>
      <c r="Q470" t="str">
        <f>IFERROR(IF((_xlfn.XLOOKUP(A470,'Set of Installation'!A:A,'Set of Installation'!C:C)+1)&gt;ABS(K470),"OK","Overusage"),"")</f>
        <v>OK</v>
      </c>
      <c r="R470" t="str">
        <f>_xlfn.XLOOKUP(C470,'Checking(ZSERIALS)'!E:E,'Checking(ZSERIALS)'!F:F)</f>
        <v>CHRISTBELLA CONSTRUCTION MANAGEMENT</v>
      </c>
    </row>
    <row r="471" spans="1:18" x14ac:dyDescent="0.3">
      <c r="A471" s="27">
        <v>40000059</v>
      </c>
      <c r="B471" s="27" t="s">
        <v>13</v>
      </c>
      <c r="C471" s="27">
        <v>4500866</v>
      </c>
      <c r="D471" s="27">
        <v>1000</v>
      </c>
      <c r="E471" s="27" t="s">
        <v>53</v>
      </c>
      <c r="F471" s="27" t="s">
        <v>73</v>
      </c>
      <c r="G471" s="27">
        <v>4900133936</v>
      </c>
      <c r="H471" s="27" t="s">
        <v>54</v>
      </c>
      <c r="I471" s="28">
        <v>45289</v>
      </c>
      <c r="J471" s="27" t="s">
        <v>72</v>
      </c>
      <c r="K471" s="29">
        <v>-1</v>
      </c>
      <c r="L471" s="31">
        <v>1680000700086</v>
      </c>
      <c r="M471" s="28">
        <v>45289</v>
      </c>
      <c r="N471" s="30">
        <v>0.69854166666666995</v>
      </c>
      <c r="O471" s="27" t="s">
        <v>363</v>
      </c>
      <c r="P471" s="137"/>
      <c r="Q471" t="str">
        <f>IFERROR(IF((_xlfn.XLOOKUP(A471,'Set of Installation'!A:A,'Set of Installation'!C:C)+1)&gt;ABS(K471),"OK","Overusage"),"")</f>
        <v>OK</v>
      </c>
      <c r="R471" t="str">
        <f>_xlfn.XLOOKUP(C471,'Checking(ZSERIALS)'!E:E,'Checking(ZSERIALS)'!F:F)</f>
        <v>CHRISTBELLA CONSTRUCTION MANAGEMENT</v>
      </c>
    </row>
    <row r="472" spans="1:18" x14ac:dyDescent="0.3">
      <c r="A472" s="27">
        <v>40000059</v>
      </c>
      <c r="B472" s="27" t="s">
        <v>13</v>
      </c>
      <c r="C472" s="27">
        <v>4500866</v>
      </c>
      <c r="D472" s="27">
        <v>1000</v>
      </c>
      <c r="E472" s="27" t="s">
        <v>53</v>
      </c>
      <c r="F472" s="27" t="s">
        <v>73</v>
      </c>
      <c r="G472" s="27">
        <v>4900134267</v>
      </c>
      <c r="H472" s="27" t="s">
        <v>54</v>
      </c>
      <c r="I472" s="28">
        <v>45289</v>
      </c>
      <c r="J472" s="27" t="s">
        <v>72</v>
      </c>
      <c r="K472" s="29">
        <v>-1</v>
      </c>
      <c r="L472" s="31">
        <v>1680000699442</v>
      </c>
      <c r="M472" s="28">
        <v>45289</v>
      </c>
      <c r="N472" s="30">
        <v>0.72211805555555997</v>
      </c>
      <c r="O472" s="27" t="s">
        <v>369</v>
      </c>
      <c r="P472" s="137"/>
      <c r="Q472" t="str">
        <f>IFERROR(IF((_xlfn.XLOOKUP(A472,'Set of Installation'!A:A,'Set of Installation'!C:C)+1)&gt;ABS(K472),"OK","Overusage"),"")</f>
        <v>OK</v>
      </c>
      <c r="R472" t="str">
        <f>_xlfn.XLOOKUP(C472,'Checking(ZSERIALS)'!E:E,'Checking(ZSERIALS)'!F:F)</f>
        <v>CHRISTBELLA CONSTRUCTION MANAGEMENT</v>
      </c>
    </row>
    <row r="473" spans="1:18" x14ac:dyDescent="0.3">
      <c r="A473" s="27">
        <v>40000059</v>
      </c>
      <c r="B473" s="27" t="s">
        <v>13</v>
      </c>
      <c r="C473" s="27">
        <v>4500866</v>
      </c>
      <c r="D473" s="27">
        <v>1000</v>
      </c>
      <c r="E473" s="27" t="s">
        <v>53</v>
      </c>
      <c r="F473" s="27" t="s">
        <v>73</v>
      </c>
      <c r="G473" s="27">
        <v>4900129298</v>
      </c>
      <c r="H473" s="27" t="s">
        <v>54</v>
      </c>
      <c r="I473" s="28">
        <v>45288</v>
      </c>
      <c r="J473" s="27" t="s">
        <v>72</v>
      </c>
      <c r="K473" s="29">
        <v>-1</v>
      </c>
      <c r="L473" s="31">
        <v>1680000696970</v>
      </c>
      <c r="M473" s="28">
        <v>45288</v>
      </c>
      <c r="N473" s="30">
        <v>0.70821759259258998</v>
      </c>
      <c r="O473" s="27" t="s">
        <v>357</v>
      </c>
      <c r="P473" s="137"/>
      <c r="Q473" t="str">
        <f>IFERROR(IF((_xlfn.XLOOKUP(A473,'Set of Installation'!A:A,'Set of Installation'!C:C)+1)&gt;ABS(K473),"OK","Overusage"),"")</f>
        <v>OK</v>
      </c>
      <c r="R473" t="str">
        <f>_xlfn.XLOOKUP(C473,'Checking(ZSERIALS)'!E:E,'Checking(ZSERIALS)'!F:F)</f>
        <v>CHRISTBELLA CONSTRUCTION MANAGEMENT</v>
      </c>
    </row>
    <row r="474" spans="1:18" x14ac:dyDescent="0.3">
      <c r="A474" s="27">
        <v>40000059</v>
      </c>
      <c r="B474" s="27" t="s">
        <v>13</v>
      </c>
      <c r="C474" s="27">
        <v>4500866</v>
      </c>
      <c r="D474" s="27">
        <v>1000</v>
      </c>
      <c r="E474" s="27" t="s">
        <v>53</v>
      </c>
      <c r="F474" s="27" t="s">
        <v>73</v>
      </c>
      <c r="G474" s="27">
        <v>4900128934</v>
      </c>
      <c r="H474" s="27" t="s">
        <v>54</v>
      </c>
      <c r="I474" s="28">
        <v>45288</v>
      </c>
      <c r="J474" s="27" t="s">
        <v>72</v>
      </c>
      <c r="K474" s="29">
        <v>-1</v>
      </c>
      <c r="L474" s="31">
        <v>1680000697505</v>
      </c>
      <c r="M474" s="28">
        <v>45288</v>
      </c>
      <c r="N474" s="30">
        <v>0.67491898148148</v>
      </c>
      <c r="O474" s="27" t="s">
        <v>349</v>
      </c>
      <c r="P474" s="137"/>
      <c r="Q474" t="str">
        <f>IFERROR(IF((_xlfn.XLOOKUP(A474,'Set of Installation'!A:A,'Set of Installation'!C:C)+1)&gt;ABS(K474),"OK","Overusage"),"")</f>
        <v>OK</v>
      </c>
      <c r="R474" t="str">
        <f>_xlfn.XLOOKUP(C474,'Checking(ZSERIALS)'!E:E,'Checking(ZSERIALS)'!F:F)</f>
        <v>CHRISTBELLA CONSTRUCTION MANAGEMENT</v>
      </c>
    </row>
    <row r="475" spans="1:18" x14ac:dyDescent="0.3">
      <c r="A475" s="27">
        <v>40000059</v>
      </c>
      <c r="B475" s="27" t="s">
        <v>13</v>
      </c>
      <c r="C475" s="27">
        <v>4500866</v>
      </c>
      <c r="D475" s="27">
        <v>1000</v>
      </c>
      <c r="E475" s="27" t="s">
        <v>53</v>
      </c>
      <c r="F475" s="27" t="s">
        <v>73</v>
      </c>
      <c r="G475" s="27">
        <v>4900129226</v>
      </c>
      <c r="H475" s="27" t="s">
        <v>54</v>
      </c>
      <c r="I475" s="28">
        <v>45288</v>
      </c>
      <c r="J475" s="27" t="s">
        <v>72</v>
      </c>
      <c r="K475" s="29">
        <v>-1</v>
      </c>
      <c r="L475" s="31">
        <v>1680000696047</v>
      </c>
      <c r="M475" s="28">
        <v>45288</v>
      </c>
      <c r="N475" s="30">
        <v>0.69991898148148002</v>
      </c>
      <c r="O475" s="27" t="s">
        <v>354</v>
      </c>
      <c r="P475" s="137"/>
      <c r="Q475" t="str">
        <f>IFERROR(IF((_xlfn.XLOOKUP(A475,'Set of Installation'!A:A,'Set of Installation'!C:C)+1)&gt;ABS(K475),"OK","Overusage"),"")</f>
        <v>OK</v>
      </c>
      <c r="R475" t="str">
        <f>_xlfn.XLOOKUP(C475,'Checking(ZSERIALS)'!E:E,'Checking(ZSERIALS)'!F:F)</f>
        <v>CHRISTBELLA CONSTRUCTION MANAGEMENT</v>
      </c>
    </row>
    <row r="476" spans="1:18" x14ac:dyDescent="0.3">
      <c r="A476" s="27">
        <v>40000059</v>
      </c>
      <c r="B476" s="27" t="s">
        <v>13</v>
      </c>
      <c r="C476" s="27">
        <v>4500866</v>
      </c>
      <c r="D476" s="27">
        <v>1000</v>
      </c>
      <c r="E476" s="27" t="s">
        <v>53</v>
      </c>
      <c r="F476" s="27" t="s">
        <v>73</v>
      </c>
      <c r="G476" s="27">
        <v>4900126968</v>
      </c>
      <c r="H476" s="27" t="s">
        <v>54</v>
      </c>
      <c r="I476" s="28">
        <v>45288</v>
      </c>
      <c r="J476" s="27" t="s">
        <v>72</v>
      </c>
      <c r="K476" s="29">
        <v>-1</v>
      </c>
      <c r="L476" s="31">
        <v>1680000695397</v>
      </c>
      <c r="M476" s="28">
        <v>45288</v>
      </c>
      <c r="N476" s="30">
        <v>0.43185185185184999</v>
      </c>
      <c r="O476" s="27" t="s">
        <v>343</v>
      </c>
      <c r="P476" s="137"/>
      <c r="Q476" t="str">
        <f>IFERROR(IF((_xlfn.XLOOKUP(A476,'Set of Installation'!A:A,'Set of Installation'!C:C)+1)&gt;ABS(K476),"OK","Overusage"),"")</f>
        <v>OK</v>
      </c>
      <c r="R476" t="str">
        <f>_xlfn.XLOOKUP(C476,'Checking(ZSERIALS)'!E:E,'Checking(ZSERIALS)'!F:F)</f>
        <v>CHRISTBELLA CONSTRUCTION MANAGEMENT</v>
      </c>
    </row>
    <row r="477" spans="1:18" x14ac:dyDescent="0.3">
      <c r="A477" s="27">
        <v>40000059</v>
      </c>
      <c r="B477" s="27" t="s">
        <v>13</v>
      </c>
      <c r="C477" s="27">
        <v>4500866</v>
      </c>
      <c r="D477" s="27">
        <v>1000</v>
      </c>
      <c r="E477" s="27" t="s">
        <v>53</v>
      </c>
      <c r="F477" s="27" t="s">
        <v>73</v>
      </c>
      <c r="G477" s="27">
        <v>4900127847</v>
      </c>
      <c r="H477" s="27" t="s">
        <v>54</v>
      </c>
      <c r="I477" s="28">
        <v>45288</v>
      </c>
      <c r="J477" s="27" t="s">
        <v>72</v>
      </c>
      <c r="K477" s="29">
        <v>-1</v>
      </c>
      <c r="L477" s="31">
        <v>1680000696871</v>
      </c>
      <c r="M477" s="28">
        <v>45288</v>
      </c>
      <c r="N477" s="30">
        <v>0.54297453703704002</v>
      </c>
      <c r="O477" s="27" t="s">
        <v>346</v>
      </c>
      <c r="P477" s="137"/>
      <c r="Q477" t="str">
        <f>IFERROR(IF((_xlfn.XLOOKUP(A477,'Set of Installation'!A:A,'Set of Installation'!C:C)+1)&gt;ABS(K477),"OK","Overusage"),"")</f>
        <v>OK</v>
      </c>
      <c r="R477" t="str">
        <f>_xlfn.XLOOKUP(C477,'Checking(ZSERIALS)'!E:E,'Checking(ZSERIALS)'!F:F)</f>
        <v>CHRISTBELLA CONSTRUCTION MANAGEMENT</v>
      </c>
    </row>
    <row r="478" spans="1:18" x14ac:dyDescent="0.3">
      <c r="A478" s="27">
        <v>40000059</v>
      </c>
      <c r="B478" s="27" t="s">
        <v>13</v>
      </c>
      <c r="C478" s="27">
        <v>4500866</v>
      </c>
      <c r="D478" s="27">
        <v>1000</v>
      </c>
      <c r="E478" s="27" t="s">
        <v>53</v>
      </c>
      <c r="F478" s="27" t="s">
        <v>73</v>
      </c>
      <c r="G478" s="27">
        <v>4900125233</v>
      </c>
      <c r="H478" s="27" t="s">
        <v>54</v>
      </c>
      <c r="I478" s="28">
        <v>45287</v>
      </c>
      <c r="J478" s="27" t="s">
        <v>72</v>
      </c>
      <c r="K478" s="29">
        <v>-1</v>
      </c>
      <c r="L478" s="31">
        <v>1680000692270</v>
      </c>
      <c r="M478" s="28">
        <v>45287</v>
      </c>
      <c r="N478" s="30">
        <v>0.75821759259259003</v>
      </c>
      <c r="O478" s="27" t="s">
        <v>340</v>
      </c>
      <c r="P478" s="137"/>
      <c r="Q478" t="str">
        <f>IFERROR(IF((_xlfn.XLOOKUP(A478,'Set of Installation'!A:A,'Set of Installation'!C:C)+1)&gt;ABS(K478),"OK","Overusage"),"")</f>
        <v>OK</v>
      </c>
      <c r="R478" t="str">
        <f>_xlfn.XLOOKUP(C478,'Checking(ZSERIALS)'!E:E,'Checking(ZSERIALS)'!F:F)</f>
        <v>CHRISTBELLA CONSTRUCTION MANAGEMENT</v>
      </c>
    </row>
    <row r="479" spans="1:18" x14ac:dyDescent="0.3">
      <c r="A479" s="27">
        <v>40000059</v>
      </c>
      <c r="B479" s="27" t="s">
        <v>13</v>
      </c>
      <c r="C479" s="27">
        <v>4500866</v>
      </c>
      <c r="D479" s="27">
        <v>1000</v>
      </c>
      <c r="E479" s="27" t="s">
        <v>53</v>
      </c>
      <c r="F479" s="27" t="s">
        <v>73</v>
      </c>
      <c r="G479" s="27">
        <v>4900123873</v>
      </c>
      <c r="H479" s="27" t="s">
        <v>54</v>
      </c>
      <c r="I479" s="28">
        <v>45287</v>
      </c>
      <c r="J479" s="27" t="s">
        <v>72</v>
      </c>
      <c r="K479" s="29">
        <v>-1</v>
      </c>
      <c r="L479" s="31">
        <v>1680000693742</v>
      </c>
      <c r="M479" s="28">
        <v>45287</v>
      </c>
      <c r="N479" s="30">
        <v>0.61238425925925999</v>
      </c>
      <c r="O479" s="27" t="s">
        <v>335</v>
      </c>
      <c r="P479" s="137"/>
      <c r="Q479" t="str">
        <f>IFERROR(IF((_xlfn.XLOOKUP(A479,'Set of Installation'!A:A,'Set of Installation'!C:C)+1)&gt;ABS(K479),"OK","Overusage"),"")</f>
        <v>OK</v>
      </c>
      <c r="R479" t="str">
        <f>_xlfn.XLOOKUP(C479,'Checking(ZSERIALS)'!E:E,'Checking(ZSERIALS)'!F:F)</f>
        <v>CHRISTBELLA CONSTRUCTION MANAGEMENT</v>
      </c>
    </row>
    <row r="480" spans="1:18" x14ac:dyDescent="0.3">
      <c r="A480" s="27">
        <v>40000059</v>
      </c>
      <c r="B480" s="27" t="s">
        <v>13</v>
      </c>
      <c r="C480" s="27">
        <v>4500866</v>
      </c>
      <c r="D480" s="27">
        <v>1000</v>
      </c>
      <c r="E480" s="27" t="s">
        <v>53</v>
      </c>
      <c r="F480" s="27" t="s">
        <v>73</v>
      </c>
      <c r="G480" s="27">
        <v>4900120407</v>
      </c>
      <c r="H480" s="27" t="s">
        <v>54</v>
      </c>
      <c r="I480" s="28">
        <v>45286</v>
      </c>
      <c r="J480" s="27" t="s">
        <v>72</v>
      </c>
      <c r="K480" s="29">
        <v>-1</v>
      </c>
      <c r="L480" s="31">
        <v>1680000691706</v>
      </c>
      <c r="M480" s="28">
        <v>45286</v>
      </c>
      <c r="N480" s="30">
        <v>0.56234953703704005</v>
      </c>
      <c r="O480" s="27" t="s">
        <v>332</v>
      </c>
      <c r="P480" s="137"/>
      <c r="Q480" t="str">
        <f>IFERROR(IF((_xlfn.XLOOKUP(A480,'Set of Installation'!A:A,'Set of Installation'!C:C)+1)&gt;ABS(K480),"OK","Overusage"),"")</f>
        <v>OK</v>
      </c>
      <c r="R480" t="str">
        <f>_xlfn.XLOOKUP(C480,'Checking(ZSERIALS)'!E:E,'Checking(ZSERIALS)'!F:F)</f>
        <v>CHRISTBELLA CONSTRUCTION MANAGEMENT</v>
      </c>
    </row>
    <row r="481" spans="1:16" x14ac:dyDescent="0.3">
      <c r="A481" s="27"/>
      <c r="B481" s="27"/>
      <c r="C481" s="27"/>
      <c r="D481" s="27"/>
      <c r="E481" s="27"/>
      <c r="F481" s="27"/>
      <c r="G481" s="27"/>
      <c r="H481" s="27"/>
      <c r="I481" s="28"/>
      <c r="J481" s="27"/>
      <c r="K481" s="29"/>
      <c r="L481" s="31"/>
      <c r="M481" s="28"/>
      <c r="N481" s="30"/>
      <c r="O481" s="27"/>
      <c r="P481" s="137"/>
    </row>
    <row r="482" spans="1:16" x14ac:dyDescent="0.3">
      <c r="A482" s="27"/>
      <c r="B482" s="27"/>
      <c r="C482" s="27"/>
      <c r="D482" s="27"/>
      <c r="E482" s="27"/>
      <c r="F482" s="27"/>
      <c r="G482" s="27"/>
      <c r="H482" s="27"/>
      <c r="I482" s="28"/>
      <c r="J482" s="27"/>
      <c r="K482" s="29"/>
      <c r="L482" s="31"/>
      <c r="M482" s="28"/>
      <c r="N482" s="30"/>
      <c r="O482" s="27"/>
      <c r="P482" s="137"/>
    </row>
    <row r="483" spans="1:16" x14ac:dyDescent="0.3">
      <c r="A483" s="27"/>
      <c r="B483" s="27"/>
      <c r="C483" s="27"/>
      <c r="D483" s="27"/>
      <c r="E483" s="27"/>
      <c r="F483" s="27"/>
      <c r="G483" s="27"/>
      <c r="H483" s="27"/>
      <c r="I483" s="28"/>
      <c r="J483" s="27"/>
      <c r="K483" s="29"/>
      <c r="L483" s="31"/>
      <c r="M483" s="28"/>
      <c r="N483" s="30"/>
      <c r="O483" s="27"/>
      <c r="P483" s="137"/>
    </row>
    <row r="484" spans="1:16" x14ac:dyDescent="0.3">
      <c r="A484" s="27"/>
      <c r="B484" s="27"/>
      <c r="C484" s="27"/>
      <c r="D484" s="27"/>
      <c r="E484" s="27"/>
      <c r="F484" s="27"/>
      <c r="G484" s="27"/>
      <c r="H484" s="27"/>
      <c r="I484" s="28"/>
      <c r="J484" s="27"/>
      <c r="K484" s="29"/>
      <c r="L484" s="31"/>
      <c r="M484" s="28"/>
      <c r="N484" s="30"/>
      <c r="O484" s="27"/>
      <c r="P484" s="137"/>
    </row>
    <row r="485" spans="1:16" x14ac:dyDescent="0.3">
      <c r="A485" s="27"/>
      <c r="B485" s="27"/>
      <c r="C485" s="27"/>
      <c r="D485" s="27"/>
      <c r="E485" s="27"/>
      <c r="F485" s="27"/>
      <c r="G485" s="27"/>
      <c r="H485" s="27"/>
      <c r="I485" s="28"/>
      <c r="J485" s="27"/>
      <c r="K485" s="29"/>
      <c r="L485" s="31"/>
      <c r="M485" s="28"/>
      <c r="N485" s="30"/>
      <c r="O485" s="27"/>
      <c r="P485" s="137"/>
    </row>
    <row r="486" spans="1:16" x14ac:dyDescent="0.3">
      <c r="A486" s="27"/>
      <c r="B486" s="27"/>
      <c r="C486" s="27"/>
      <c r="D486" s="27"/>
      <c r="E486" s="27"/>
      <c r="F486" s="27"/>
      <c r="G486" s="27"/>
      <c r="H486" s="27"/>
      <c r="I486" s="28"/>
      <c r="J486" s="27"/>
      <c r="K486" s="29"/>
      <c r="L486" s="31"/>
      <c r="M486" s="28"/>
      <c r="N486" s="30"/>
      <c r="O486" s="27"/>
      <c r="P486" s="137"/>
    </row>
    <row r="487" spans="1:16" x14ac:dyDescent="0.3">
      <c r="A487" s="27"/>
      <c r="B487" s="27"/>
      <c r="C487" s="27"/>
      <c r="D487" s="27"/>
      <c r="E487" s="27"/>
      <c r="F487" s="27"/>
      <c r="G487" s="27"/>
      <c r="H487" s="27"/>
      <c r="I487" s="28"/>
      <c r="J487" s="27"/>
      <c r="K487" s="29"/>
      <c r="L487" s="31"/>
      <c r="M487" s="28"/>
      <c r="N487" s="30"/>
      <c r="O487" s="27"/>
      <c r="P487" s="137"/>
    </row>
    <row r="488" spans="1:16" x14ac:dyDescent="0.3">
      <c r="A488" s="27"/>
      <c r="B488" s="27"/>
      <c r="C488" s="27"/>
      <c r="D488" s="27"/>
      <c r="E488" s="27"/>
      <c r="F488" s="27"/>
      <c r="G488" s="27"/>
      <c r="H488" s="27"/>
      <c r="I488" s="28"/>
      <c r="J488" s="27"/>
      <c r="K488" s="29"/>
      <c r="L488" s="31"/>
      <c r="M488" s="28"/>
      <c r="N488" s="30"/>
      <c r="O488" s="27"/>
      <c r="P488" s="137"/>
    </row>
    <row r="489" spans="1:16" x14ac:dyDescent="0.3">
      <c r="A489" s="27"/>
      <c r="B489" s="27"/>
      <c r="C489" s="27"/>
      <c r="D489" s="27"/>
      <c r="E489" s="27"/>
      <c r="F489" s="27"/>
      <c r="G489" s="27"/>
      <c r="H489" s="27"/>
      <c r="I489" s="28"/>
      <c r="J489" s="27"/>
      <c r="K489" s="29"/>
      <c r="L489" s="31"/>
      <c r="M489" s="28"/>
      <c r="N489" s="30"/>
      <c r="O489" s="27"/>
      <c r="P489" s="137"/>
    </row>
    <row r="490" spans="1:16" x14ac:dyDescent="0.3">
      <c r="A490" s="27"/>
      <c r="B490" s="27"/>
      <c r="C490" s="27"/>
      <c r="D490" s="27"/>
      <c r="E490" s="27"/>
      <c r="F490" s="27"/>
      <c r="G490" s="27"/>
      <c r="H490" s="27"/>
      <c r="I490" s="28"/>
      <c r="J490" s="27"/>
      <c r="K490" s="29"/>
      <c r="L490" s="31"/>
      <c r="M490" s="28"/>
      <c r="N490" s="30"/>
      <c r="O490" s="27"/>
      <c r="P490" s="137"/>
    </row>
    <row r="491" spans="1:16" x14ac:dyDescent="0.3">
      <c r="A491" s="27"/>
      <c r="B491" s="27"/>
      <c r="C491" s="27"/>
      <c r="D491" s="27"/>
      <c r="E491" s="27"/>
      <c r="F491" s="27"/>
      <c r="G491" s="27"/>
      <c r="H491" s="27"/>
      <c r="I491" s="28"/>
      <c r="J491" s="27"/>
      <c r="K491" s="29"/>
      <c r="L491" s="31"/>
      <c r="M491" s="28"/>
      <c r="N491" s="30"/>
      <c r="O491" s="27"/>
      <c r="P491" s="137"/>
    </row>
    <row r="492" spans="1:16" x14ac:dyDescent="0.3">
      <c r="A492" s="27"/>
      <c r="B492" s="27"/>
      <c r="C492" s="27"/>
      <c r="D492" s="27"/>
      <c r="E492" s="27"/>
      <c r="F492" s="27"/>
      <c r="G492" s="27"/>
      <c r="H492" s="27"/>
      <c r="I492" s="28"/>
      <c r="J492" s="27"/>
      <c r="K492" s="29"/>
      <c r="L492" s="31"/>
      <c r="M492" s="28"/>
      <c r="N492" s="30"/>
      <c r="O492" s="27"/>
      <c r="P492" s="137"/>
    </row>
    <row r="493" spans="1:16" x14ac:dyDescent="0.3">
      <c r="A493" s="27"/>
      <c r="B493" s="27"/>
      <c r="C493" s="27"/>
      <c r="D493" s="27"/>
      <c r="E493" s="27"/>
      <c r="F493" s="27"/>
      <c r="G493" s="27"/>
      <c r="H493" s="27"/>
      <c r="I493" s="28"/>
      <c r="J493" s="27"/>
      <c r="K493" s="29"/>
      <c r="L493" s="31"/>
      <c r="M493" s="28"/>
      <c r="N493" s="30"/>
      <c r="O493" s="27"/>
      <c r="P493" s="137"/>
    </row>
    <row r="494" spans="1:16" x14ac:dyDescent="0.3">
      <c r="A494" s="27"/>
      <c r="B494" s="27"/>
      <c r="C494" s="27"/>
      <c r="D494" s="27"/>
      <c r="E494" s="27"/>
      <c r="F494" s="27"/>
      <c r="G494" s="27"/>
      <c r="H494" s="27"/>
      <c r="I494" s="28"/>
      <c r="J494" s="27"/>
      <c r="K494" s="29"/>
      <c r="L494" s="31"/>
      <c r="M494" s="28"/>
      <c r="N494" s="30"/>
      <c r="O494" s="27"/>
      <c r="P494" s="137"/>
    </row>
    <row r="495" spans="1:16" x14ac:dyDescent="0.3">
      <c r="A495" s="27"/>
      <c r="B495" s="27"/>
      <c r="C495" s="27"/>
      <c r="D495" s="27"/>
      <c r="E495" s="27"/>
      <c r="F495" s="27"/>
      <c r="G495" s="27"/>
      <c r="H495" s="27"/>
      <c r="I495" s="28"/>
      <c r="J495" s="27"/>
      <c r="K495" s="29"/>
      <c r="L495" s="31"/>
      <c r="M495" s="28"/>
      <c r="N495" s="30"/>
      <c r="O495" s="27"/>
      <c r="P495" s="137"/>
    </row>
    <row r="496" spans="1:16" x14ac:dyDescent="0.3">
      <c r="A496" s="27"/>
      <c r="B496" s="27"/>
      <c r="C496" s="27"/>
      <c r="D496" s="27"/>
      <c r="E496" s="27"/>
      <c r="F496" s="27"/>
      <c r="G496" s="27"/>
      <c r="H496" s="27"/>
      <c r="I496" s="28"/>
      <c r="J496" s="27"/>
      <c r="K496" s="29"/>
      <c r="L496" s="31"/>
      <c r="M496" s="28"/>
      <c r="N496" s="30"/>
      <c r="O496" s="27"/>
      <c r="P496" s="137"/>
    </row>
    <row r="497" spans="1:16" x14ac:dyDescent="0.3">
      <c r="A497" s="27"/>
      <c r="B497" s="27"/>
      <c r="C497" s="27"/>
      <c r="D497" s="27"/>
      <c r="E497" s="27"/>
      <c r="F497" s="27"/>
      <c r="G497" s="27"/>
      <c r="H497" s="27"/>
      <c r="I497" s="28"/>
      <c r="J497" s="27"/>
      <c r="K497" s="29"/>
      <c r="L497" s="31"/>
      <c r="M497" s="28"/>
      <c r="N497" s="30"/>
      <c r="O497" s="27"/>
      <c r="P497" s="137"/>
    </row>
    <row r="498" spans="1:16" x14ac:dyDescent="0.3">
      <c r="A498" s="27"/>
      <c r="B498" s="27"/>
      <c r="C498" s="27"/>
      <c r="D498" s="27"/>
      <c r="E498" s="27"/>
      <c r="F498" s="27"/>
      <c r="G498" s="27"/>
      <c r="H498" s="27"/>
      <c r="I498" s="28"/>
      <c r="J498" s="27"/>
      <c r="K498" s="29"/>
      <c r="L498" s="31"/>
      <c r="M498" s="28"/>
      <c r="N498" s="30"/>
      <c r="O498" s="27"/>
      <c r="P498" s="137"/>
    </row>
    <row r="499" spans="1:16" x14ac:dyDescent="0.3">
      <c r="A499" s="27"/>
      <c r="B499" s="27"/>
      <c r="C499" s="27"/>
      <c r="D499" s="27"/>
      <c r="E499" s="27"/>
      <c r="F499" s="27"/>
      <c r="G499" s="27"/>
      <c r="H499" s="27"/>
      <c r="I499" s="28"/>
      <c r="J499" s="27"/>
      <c r="K499" s="29"/>
      <c r="L499" s="31"/>
      <c r="M499" s="28"/>
      <c r="N499" s="30"/>
      <c r="O499" s="27"/>
      <c r="P499" s="137"/>
    </row>
    <row r="500" spans="1:16" x14ac:dyDescent="0.3">
      <c r="A500" s="27"/>
      <c r="B500" s="27"/>
      <c r="C500" s="27"/>
      <c r="D500" s="27"/>
      <c r="E500" s="27"/>
      <c r="F500" s="27"/>
      <c r="G500" s="27"/>
      <c r="H500" s="27"/>
      <c r="I500" s="28"/>
      <c r="J500" s="27"/>
      <c r="K500" s="29"/>
      <c r="L500" s="31"/>
      <c r="M500" s="28"/>
      <c r="N500" s="30"/>
      <c r="O500" s="27"/>
      <c r="P500" s="137"/>
    </row>
    <row r="501" spans="1:16" x14ac:dyDescent="0.3">
      <c r="A501" s="27"/>
      <c r="B501" s="27"/>
      <c r="C501" s="27"/>
      <c r="D501" s="27"/>
      <c r="E501" s="27"/>
      <c r="F501" s="27"/>
      <c r="G501" s="27"/>
      <c r="H501" s="27"/>
      <c r="I501" s="28"/>
      <c r="J501" s="27"/>
      <c r="K501" s="29"/>
      <c r="L501" s="31"/>
      <c r="M501" s="28"/>
      <c r="N501" s="30"/>
      <c r="O501" s="27"/>
      <c r="P501" s="137"/>
    </row>
    <row r="502" spans="1:16" x14ac:dyDescent="0.3">
      <c r="A502" s="27"/>
      <c r="B502" s="27"/>
      <c r="C502" s="27"/>
      <c r="D502" s="27"/>
      <c r="E502" s="27"/>
      <c r="F502" s="27"/>
      <c r="G502" s="27"/>
      <c r="H502" s="27"/>
      <c r="I502" s="28"/>
      <c r="J502" s="27"/>
      <c r="K502" s="29"/>
      <c r="L502" s="31"/>
      <c r="M502" s="28"/>
      <c r="N502" s="30"/>
      <c r="O502" s="27"/>
      <c r="P502" s="137"/>
    </row>
    <row r="503" spans="1:16" x14ac:dyDescent="0.3">
      <c r="A503" s="27"/>
      <c r="B503" s="27"/>
      <c r="C503" s="27"/>
      <c r="D503" s="27"/>
      <c r="E503" s="27"/>
      <c r="F503" s="27"/>
      <c r="G503" s="27"/>
      <c r="H503" s="27"/>
      <c r="I503" s="28"/>
      <c r="J503" s="27"/>
      <c r="K503" s="29"/>
      <c r="L503" s="31"/>
      <c r="M503" s="28"/>
      <c r="N503" s="30"/>
      <c r="O503" s="27"/>
      <c r="P503" s="137"/>
    </row>
    <row r="504" spans="1:16" x14ac:dyDescent="0.3">
      <c r="A504" s="27"/>
      <c r="B504" s="27"/>
      <c r="C504" s="27"/>
      <c r="D504" s="27"/>
      <c r="E504" s="27"/>
      <c r="F504" s="27"/>
      <c r="G504" s="27"/>
      <c r="H504" s="27"/>
      <c r="I504" s="28"/>
      <c r="J504" s="27"/>
      <c r="K504" s="29"/>
      <c r="L504" s="31"/>
      <c r="M504" s="28"/>
      <c r="N504" s="30"/>
      <c r="O504" s="27"/>
      <c r="P504" s="137"/>
    </row>
    <row r="505" spans="1:16" x14ac:dyDescent="0.3">
      <c r="A505" s="27"/>
      <c r="B505" s="27"/>
      <c r="C505" s="27"/>
      <c r="D505" s="27"/>
      <c r="E505" s="27"/>
      <c r="F505" s="27"/>
      <c r="G505" s="27"/>
      <c r="H505" s="27"/>
      <c r="I505" s="28"/>
      <c r="J505" s="27"/>
      <c r="K505" s="29"/>
      <c r="L505" s="31"/>
      <c r="M505" s="28"/>
      <c r="N505" s="30"/>
      <c r="O505" s="27"/>
      <c r="P505" s="137"/>
    </row>
    <row r="506" spans="1:16" x14ac:dyDescent="0.3">
      <c r="A506" s="27"/>
      <c r="B506" s="27"/>
      <c r="C506" s="27"/>
      <c r="D506" s="27"/>
      <c r="E506" s="27"/>
      <c r="F506" s="27"/>
      <c r="G506" s="27"/>
      <c r="H506" s="27"/>
      <c r="I506" s="28"/>
      <c r="J506" s="27"/>
      <c r="K506" s="29"/>
      <c r="L506" s="31"/>
      <c r="M506" s="28"/>
      <c r="N506" s="30"/>
      <c r="O506" s="27"/>
      <c r="P506" s="137"/>
    </row>
    <row r="507" spans="1:16" x14ac:dyDescent="0.3">
      <c r="A507" s="27"/>
      <c r="B507" s="27"/>
      <c r="C507" s="27"/>
      <c r="D507" s="27"/>
      <c r="E507" s="27"/>
      <c r="F507" s="27"/>
      <c r="G507" s="27"/>
      <c r="H507" s="27"/>
      <c r="I507" s="28"/>
      <c r="J507" s="27"/>
      <c r="K507" s="29"/>
      <c r="L507" s="31"/>
      <c r="M507" s="28"/>
      <c r="N507" s="30"/>
      <c r="O507" s="27"/>
      <c r="P507" s="137"/>
    </row>
    <row r="508" spans="1:16" x14ac:dyDescent="0.3">
      <c r="A508" s="27"/>
      <c r="B508" s="27"/>
      <c r="C508" s="27"/>
      <c r="D508" s="27"/>
      <c r="E508" s="27"/>
      <c r="F508" s="27"/>
      <c r="G508" s="27"/>
      <c r="H508" s="27"/>
      <c r="I508" s="28"/>
      <c r="J508" s="27"/>
      <c r="K508" s="29"/>
      <c r="L508" s="31"/>
      <c r="M508" s="28"/>
      <c r="N508" s="30"/>
      <c r="O508" s="27"/>
      <c r="P508" s="137"/>
    </row>
    <row r="509" spans="1:16" x14ac:dyDescent="0.3">
      <c r="A509" s="27"/>
      <c r="B509" s="27"/>
      <c r="C509" s="27"/>
      <c r="D509" s="27"/>
      <c r="E509" s="27"/>
      <c r="F509" s="27"/>
      <c r="G509" s="27"/>
      <c r="H509" s="27"/>
      <c r="I509" s="28"/>
      <c r="J509" s="27"/>
      <c r="K509" s="29"/>
      <c r="L509" s="31"/>
      <c r="M509" s="28"/>
      <c r="N509" s="30"/>
      <c r="O509" s="27"/>
      <c r="P509" s="137"/>
    </row>
    <row r="510" spans="1:16" x14ac:dyDescent="0.3">
      <c r="A510" s="27"/>
      <c r="B510" s="27"/>
      <c r="C510" s="27"/>
      <c r="D510" s="27"/>
      <c r="E510" s="27"/>
      <c r="F510" s="27"/>
      <c r="G510" s="27"/>
      <c r="H510" s="27"/>
      <c r="I510" s="28"/>
      <c r="J510" s="27"/>
      <c r="K510" s="29"/>
      <c r="L510" s="31"/>
      <c r="M510" s="28"/>
      <c r="N510" s="30"/>
      <c r="O510" s="27"/>
      <c r="P510" s="137"/>
    </row>
    <row r="511" spans="1:16" x14ac:dyDescent="0.3">
      <c r="A511" s="27"/>
      <c r="B511" s="27"/>
      <c r="C511" s="27"/>
      <c r="D511" s="27"/>
      <c r="E511" s="27"/>
      <c r="F511" s="27"/>
      <c r="G511" s="27"/>
      <c r="H511" s="27"/>
      <c r="I511" s="28"/>
      <c r="J511" s="27"/>
      <c r="K511" s="29"/>
      <c r="L511" s="31"/>
      <c r="M511" s="28"/>
      <c r="N511" s="30"/>
      <c r="O511" s="27"/>
      <c r="P511" s="137"/>
    </row>
    <row r="512" spans="1:16" x14ac:dyDescent="0.3">
      <c r="A512" s="27"/>
      <c r="B512" s="27"/>
      <c r="C512" s="27"/>
      <c r="D512" s="27"/>
      <c r="E512" s="27"/>
      <c r="F512" s="27"/>
      <c r="G512" s="27"/>
      <c r="H512" s="27"/>
      <c r="I512" s="28"/>
      <c r="J512" s="27"/>
      <c r="K512" s="29"/>
      <c r="L512" s="31"/>
      <c r="M512" s="28"/>
      <c r="N512" s="30"/>
      <c r="O512" s="27"/>
      <c r="P512" s="137"/>
    </row>
    <row r="513" spans="1:16" x14ac:dyDescent="0.3">
      <c r="A513" s="27"/>
      <c r="B513" s="27"/>
      <c r="C513" s="27"/>
      <c r="D513" s="27"/>
      <c r="E513" s="27"/>
      <c r="F513" s="27"/>
      <c r="G513" s="27"/>
      <c r="H513" s="27"/>
      <c r="I513" s="28"/>
      <c r="J513" s="27"/>
      <c r="K513" s="29"/>
      <c r="L513" s="31"/>
      <c r="M513" s="28"/>
      <c r="N513" s="30"/>
      <c r="O513" s="27"/>
      <c r="P513" s="137"/>
    </row>
    <row r="514" spans="1:16" x14ac:dyDescent="0.3">
      <c r="A514" s="27"/>
      <c r="B514" s="27"/>
      <c r="C514" s="27"/>
      <c r="D514" s="27"/>
      <c r="E514" s="27"/>
      <c r="F514" s="27"/>
      <c r="G514" s="27"/>
      <c r="H514" s="27"/>
      <c r="I514" s="28"/>
      <c r="J514" s="27"/>
      <c r="K514" s="29"/>
      <c r="L514" s="31"/>
      <c r="M514" s="28"/>
      <c r="N514" s="30"/>
      <c r="O514" s="27"/>
      <c r="P514" s="137"/>
    </row>
    <row r="515" spans="1:16" x14ac:dyDescent="0.3">
      <c r="A515" s="27"/>
      <c r="B515" s="27"/>
      <c r="C515" s="27"/>
      <c r="D515" s="27"/>
      <c r="E515" s="27"/>
      <c r="F515" s="27"/>
      <c r="G515" s="27"/>
      <c r="H515" s="27"/>
      <c r="I515" s="28"/>
      <c r="J515" s="27"/>
      <c r="K515" s="29"/>
      <c r="L515" s="31"/>
      <c r="M515" s="28"/>
      <c r="N515" s="30"/>
      <c r="O515" s="27"/>
      <c r="P515" s="137"/>
    </row>
    <row r="516" spans="1:16" x14ac:dyDescent="0.3">
      <c r="A516" s="27"/>
      <c r="B516" s="27"/>
      <c r="C516" s="27"/>
      <c r="D516" s="27"/>
      <c r="E516" s="27"/>
      <c r="F516" s="27"/>
      <c r="G516" s="27"/>
      <c r="H516" s="27"/>
      <c r="I516" s="28"/>
      <c r="J516" s="27"/>
      <c r="K516" s="29"/>
      <c r="L516" s="31"/>
      <c r="M516" s="28"/>
      <c r="N516" s="30"/>
      <c r="O516" s="27"/>
      <c r="P516" s="137"/>
    </row>
    <row r="517" spans="1:16" x14ac:dyDescent="0.3">
      <c r="A517" s="27"/>
      <c r="B517" s="27"/>
      <c r="C517" s="27"/>
      <c r="D517" s="27"/>
      <c r="E517" s="27"/>
      <c r="F517" s="27"/>
      <c r="G517" s="27"/>
      <c r="H517" s="27"/>
      <c r="I517" s="28"/>
      <c r="J517" s="27"/>
      <c r="K517" s="29"/>
      <c r="L517" s="31"/>
      <c r="M517" s="28"/>
      <c r="N517" s="30"/>
      <c r="O517" s="27"/>
      <c r="P517" s="137"/>
    </row>
    <row r="518" spans="1:16" x14ac:dyDescent="0.3">
      <c r="A518" s="27"/>
      <c r="B518" s="27"/>
      <c r="C518" s="27"/>
      <c r="D518" s="27"/>
      <c r="E518" s="27"/>
      <c r="F518" s="27"/>
      <c r="G518" s="27"/>
      <c r="H518" s="27"/>
      <c r="I518" s="28"/>
      <c r="J518" s="27"/>
      <c r="K518" s="29"/>
      <c r="L518" s="31"/>
      <c r="M518" s="28"/>
      <c r="N518" s="30"/>
      <c r="O518" s="27"/>
      <c r="P518" s="137"/>
    </row>
    <row r="519" spans="1:16" x14ac:dyDescent="0.3">
      <c r="A519" s="27"/>
      <c r="B519" s="27"/>
      <c r="C519" s="27"/>
      <c r="D519" s="27"/>
      <c r="E519" s="27"/>
      <c r="F519" s="27"/>
      <c r="G519" s="27"/>
      <c r="H519" s="27"/>
      <c r="I519" s="28"/>
      <c r="J519" s="27"/>
      <c r="K519" s="29"/>
      <c r="L519" s="31"/>
      <c r="M519" s="28"/>
      <c r="N519" s="30"/>
      <c r="O519" s="27"/>
      <c r="P519" s="137"/>
    </row>
    <row r="520" spans="1:16" x14ac:dyDescent="0.3">
      <c r="A520" s="27"/>
      <c r="B520" s="27"/>
      <c r="C520" s="27"/>
      <c r="D520" s="27"/>
      <c r="E520" s="27"/>
      <c r="F520" s="27"/>
      <c r="G520" s="27"/>
      <c r="H520" s="27"/>
      <c r="I520" s="28"/>
      <c r="J520" s="27"/>
      <c r="K520" s="29"/>
      <c r="L520" s="31"/>
      <c r="M520" s="28"/>
      <c r="N520" s="30"/>
      <c r="O520" s="27"/>
      <c r="P520" s="137"/>
    </row>
    <row r="521" spans="1:16" x14ac:dyDescent="0.3">
      <c r="A521" s="27"/>
      <c r="B521" s="27"/>
      <c r="C521" s="27"/>
      <c r="D521" s="27"/>
      <c r="E521" s="27"/>
      <c r="F521" s="27"/>
      <c r="G521" s="27"/>
      <c r="H521" s="27"/>
      <c r="I521" s="28"/>
      <c r="J521" s="27"/>
      <c r="K521" s="29"/>
      <c r="L521" s="31"/>
      <c r="M521" s="28"/>
      <c r="N521" s="30"/>
      <c r="O521" s="27"/>
      <c r="P521" s="137"/>
    </row>
    <row r="522" spans="1:16" x14ac:dyDescent="0.3">
      <c r="A522" s="27"/>
      <c r="B522" s="27"/>
      <c r="C522" s="27"/>
      <c r="D522" s="27"/>
      <c r="E522" s="27"/>
      <c r="F522" s="27"/>
      <c r="G522" s="27"/>
      <c r="H522" s="27"/>
      <c r="I522" s="28"/>
      <c r="J522" s="27"/>
      <c r="K522" s="29"/>
      <c r="L522" s="31"/>
      <c r="M522" s="28"/>
      <c r="N522" s="30"/>
      <c r="O522" s="27"/>
      <c r="P522" s="137"/>
    </row>
    <row r="523" spans="1:16" x14ac:dyDescent="0.3">
      <c r="A523" s="27"/>
      <c r="B523" s="27"/>
      <c r="C523" s="27"/>
      <c r="D523" s="27"/>
      <c r="E523" s="27"/>
      <c r="F523" s="27"/>
      <c r="G523" s="27"/>
      <c r="H523" s="27"/>
      <c r="I523" s="28"/>
      <c r="J523" s="27"/>
      <c r="K523" s="29"/>
      <c r="L523" s="31"/>
      <c r="M523" s="28"/>
      <c r="N523" s="30"/>
      <c r="O523" s="27"/>
      <c r="P523" s="137"/>
    </row>
    <row r="524" spans="1:16" x14ac:dyDescent="0.3">
      <c r="A524" s="27"/>
      <c r="B524" s="27"/>
      <c r="C524" s="27"/>
      <c r="D524" s="27"/>
      <c r="E524" s="27"/>
      <c r="F524" s="27"/>
      <c r="G524" s="27"/>
      <c r="H524" s="27"/>
      <c r="I524" s="28"/>
      <c r="J524" s="27"/>
      <c r="K524" s="29"/>
      <c r="L524" s="31"/>
      <c r="M524" s="28"/>
      <c r="N524" s="30"/>
      <c r="O524" s="27"/>
      <c r="P524" s="137"/>
    </row>
    <row r="525" spans="1:16" x14ac:dyDescent="0.3">
      <c r="A525" s="27"/>
      <c r="B525" s="27"/>
      <c r="C525" s="27"/>
      <c r="D525" s="27"/>
      <c r="E525" s="27"/>
      <c r="F525" s="27"/>
      <c r="G525" s="27"/>
      <c r="H525" s="27"/>
      <c r="I525" s="28"/>
      <c r="J525" s="27"/>
      <c r="K525" s="29"/>
      <c r="L525" s="31"/>
      <c r="M525" s="28"/>
      <c r="N525" s="30"/>
      <c r="O525" s="27"/>
      <c r="P525" s="137"/>
    </row>
    <row r="526" spans="1:16" x14ac:dyDescent="0.3">
      <c r="A526" s="27"/>
      <c r="B526" s="27"/>
      <c r="C526" s="27"/>
      <c r="D526" s="27"/>
      <c r="E526" s="27"/>
      <c r="F526" s="27"/>
      <c r="G526" s="27"/>
      <c r="H526" s="27"/>
      <c r="I526" s="28"/>
      <c r="J526" s="27"/>
      <c r="K526" s="29"/>
      <c r="L526" s="31"/>
      <c r="M526" s="28"/>
      <c r="N526" s="30"/>
      <c r="O526" s="27"/>
      <c r="P526" s="137"/>
    </row>
    <row r="527" spans="1:16" x14ac:dyDescent="0.3">
      <c r="A527" s="27"/>
      <c r="B527" s="27"/>
      <c r="C527" s="27"/>
      <c r="D527" s="27"/>
      <c r="E527" s="27"/>
      <c r="F527" s="27"/>
      <c r="G527" s="27"/>
      <c r="H527" s="27"/>
      <c r="I527" s="28"/>
      <c r="J527" s="27"/>
      <c r="K527" s="29"/>
      <c r="L527" s="31"/>
      <c r="M527" s="28"/>
      <c r="N527" s="30"/>
      <c r="O527" s="27"/>
      <c r="P527" s="137"/>
    </row>
    <row r="528" spans="1:16" x14ac:dyDescent="0.3">
      <c r="A528" s="27"/>
      <c r="B528" s="27"/>
      <c r="C528" s="27"/>
      <c r="D528" s="27"/>
      <c r="E528" s="27"/>
      <c r="F528" s="27"/>
      <c r="G528" s="27"/>
      <c r="H528" s="27"/>
      <c r="I528" s="28"/>
      <c r="J528" s="27"/>
      <c r="K528" s="29"/>
      <c r="L528" s="31"/>
      <c r="M528" s="28"/>
      <c r="N528" s="30"/>
      <c r="O528" s="27"/>
      <c r="P528" s="137"/>
    </row>
    <row r="529" spans="1:16" x14ac:dyDescent="0.3">
      <c r="A529" s="27"/>
      <c r="B529" s="27"/>
      <c r="C529" s="27"/>
      <c r="D529" s="27"/>
      <c r="E529" s="27"/>
      <c r="F529" s="27"/>
      <c r="G529" s="27"/>
      <c r="H529" s="27"/>
      <c r="I529" s="28"/>
      <c r="J529" s="27"/>
      <c r="K529" s="29"/>
      <c r="L529" s="31"/>
      <c r="M529" s="28"/>
      <c r="N529" s="30"/>
      <c r="O529" s="27"/>
      <c r="P529" s="137"/>
    </row>
    <row r="530" spans="1:16" x14ac:dyDescent="0.3">
      <c r="A530" s="27"/>
      <c r="B530" s="27"/>
      <c r="C530" s="27"/>
      <c r="D530" s="27"/>
      <c r="E530" s="27"/>
      <c r="F530" s="27"/>
      <c r="G530" s="27"/>
      <c r="H530" s="27"/>
      <c r="I530" s="28"/>
      <c r="J530" s="27"/>
      <c r="K530" s="29"/>
      <c r="L530" s="31"/>
      <c r="M530" s="28"/>
      <c r="N530" s="30"/>
      <c r="O530" s="27"/>
      <c r="P530" s="137"/>
    </row>
    <row r="531" spans="1:16" x14ac:dyDescent="0.3">
      <c r="A531" s="27"/>
      <c r="B531" s="27"/>
      <c r="C531" s="27"/>
      <c r="D531" s="27"/>
      <c r="E531" s="27"/>
      <c r="F531" s="27"/>
      <c r="G531" s="27"/>
      <c r="H531" s="27"/>
      <c r="I531" s="28"/>
      <c r="J531" s="27"/>
      <c r="K531" s="29"/>
      <c r="L531" s="31"/>
      <c r="M531" s="28"/>
      <c r="N531" s="30"/>
      <c r="O531" s="27"/>
      <c r="P531" s="137"/>
    </row>
    <row r="532" spans="1:16" x14ac:dyDescent="0.3">
      <c r="A532" s="27"/>
      <c r="B532" s="27"/>
      <c r="C532" s="27"/>
      <c r="D532" s="27"/>
      <c r="E532" s="27"/>
      <c r="F532" s="27"/>
      <c r="G532" s="27"/>
      <c r="H532" s="27"/>
      <c r="I532" s="28"/>
      <c r="J532" s="27"/>
      <c r="K532" s="29"/>
      <c r="L532" s="31"/>
      <c r="M532" s="28"/>
      <c r="N532" s="30"/>
      <c r="O532" s="27"/>
      <c r="P532" s="137"/>
    </row>
    <row r="533" spans="1:16" x14ac:dyDescent="0.3">
      <c r="A533" s="27"/>
      <c r="B533" s="27"/>
      <c r="C533" s="27"/>
      <c r="D533" s="27"/>
      <c r="E533" s="27"/>
      <c r="F533" s="27"/>
      <c r="G533" s="27"/>
      <c r="H533" s="27"/>
      <c r="I533" s="28"/>
      <c r="J533" s="27"/>
      <c r="K533" s="29"/>
      <c r="L533" s="31"/>
      <c r="M533" s="28"/>
      <c r="N533" s="30"/>
      <c r="O533" s="27"/>
      <c r="P533" s="137"/>
    </row>
    <row r="534" spans="1:16" x14ac:dyDescent="0.3">
      <c r="A534" s="27"/>
      <c r="B534" s="27"/>
      <c r="C534" s="27"/>
      <c r="D534" s="27"/>
      <c r="E534" s="27"/>
      <c r="F534" s="27"/>
      <c r="G534" s="27"/>
      <c r="H534" s="27"/>
      <c r="I534" s="28"/>
      <c r="J534" s="27"/>
      <c r="K534" s="29"/>
      <c r="L534" s="31"/>
      <c r="M534" s="28"/>
      <c r="N534" s="30"/>
      <c r="O534" s="27"/>
      <c r="P534" s="137"/>
    </row>
    <row r="535" spans="1:16" x14ac:dyDescent="0.3">
      <c r="A535" s="27"/>
      <c r="B535" s="27"/>
      <c r="C535" s="27"/>
      <c r="D535" s="27"/>
      <c r="E535" s="27"/>
      <c r="F535" s="27"/>
      <c r="G535" s="27"/>
      <c r="H535" s="27"/>
      <c r="I535" s="28"/>
      <c r="J535" s="27"/>
      <c r="K535" s="29"/>
      <c r="L535" s="31"/>
      <c r="M535" s="28"/>
      <c r="N535" s="30"/>
      <c r="O535" s="27"/>
      <c r="P535" s="137"/>
    </row>
    <row r="536" spans="1:16" x14ac:dyDescent="0.3">
      <c r="A536" s="27"/>
      <c r="B536" s="27"/>
      <c r="C536" s="27"/>
      <c r="D536" s="27"/>
      <c r="E536" s="27"/>
      <c r="F536" s="27"/>
      <c r="G536" s="27"/>
      <c r="H536" s="27"/>
      <c r="I536" s="28"/>
      <c r="J536" s="27"/>
      <c r="K536" s="29"/>
      <c r="L536" s="31"/>
      <c r="M536" s="28"/>
      <c r="N536" s="30"/>
      <c r="O536" s="27"/>
      <c r="P536" s="137"/>
    </row>
    <row r="537" spans="1:16" x14ac:dyDescent="0.3">
      <c r="A537" s="27"/>
      <c r="B537" s="27"/>
      <c r="C537" s="27"/>
      <c r="D537" s="27"/>
      <c r="E537" s="27"/>
      <c r="F537" s="27"/>
      <c r="G537" s="27"/>
      <c r="H537" s="27"/>
      <c r="I537" s="28"/>
      <c r="J537" s="27"/>
      <c r="K537" s="29"/>
      <c r="L537" s="31"/>
      <c r="M537" s="28"/>
      <c r="N537" s="30"/>
      <c r="O537" s="27"/>
      <c r="P537" s="137"/>
    </row>
    <row r="538" spans="1:16" x14ac:dyDescent="0.3">
      <c r="A538" s="27"/>
      <c r="B538" s="27"/>
      <c r="C538" s="27"/>
      <c r="D538" s="27"/>
      <c r="E538" s="27"/>
      <c r="F538" s="27"/>
      <c r="G538" s="27"/>
      <c r="H538" s="27"/>
      <c r="I538" s="28"/>
      <c r="J538" s="27"/>
      <c r="K538" s="29"/>
      <c r="L538" s="31"/>
      <c r="M538" s="28"/>
      <c r="N538" s="30"/>
      <c r="O538" s="27"/>
      <c r="P538" s="137"/>
    </row>
    <row r="539" spans="1:16" x14ac:dyDescent="0.3">
      <c r="A539" s="27"/>
      <c r="B539" s="27"/>
      <c r="C539" s="27"/>
      <c r="D539" s="27"/>
      <c r="E539" s="27"/>
      <c r="F539" s="27"/>
      <c r="G539" s="27"/>
      <c r="H539" s="27"/>
      <c r="I539" s="28"/>
      <c r="J539" s="27"/>
      <c r="K539" s="29"/>
      <c r="L539" s="31"/>
      <c r="M539" s="28"/>
      <c r="N539" s="30"/>
      <c r="O539" s="27"/>
      <c r="P539" s="137"/>
    </row>
    <row r="540" spans="1:16" x14ac:dyDescent="0.3">
      <c r="A540" s="27"/>
      <c r="B540" s="27"/>
      <c r="C540" s="27"/>
      <c r="D540" s="27"/>
      <c r="E540" s="27"/>
      <c r="F540" s="27"/>
      <c r="G540" s="27"/>
      <c r="H540" s="27"/>
      <c r="I540" s="28"/>
      <c r="J540" s="27"/>
      <c r="K540" s="29"/>
      <c r="L540" s="31"/>
      <c r="M540" s="28"/>
      <c r="N540" s="30"/>
      <c r="O540" s="27"/>
      <c r="P540" s="137"/>
    </row>
    <row r="541" spans="1:16" x14ac:dyDescent="0.3">
      <c r="A541" s="27"/>
      <c r="B541" s="27"/>
      <c r="C541" s="27"/>
      <c r="D541" s="27"/>
      <c r="E541" s="27"/>
      <c r="F541" s="27"/>
      <c r="G541" s="27"/>
      <c r="H541" s="27"/>
      <c r="I541" s="28"/>
      <c r="J541" s="27"/>
      <c r="K541" s="29"/>
      <c r="L541" s="31"/>
      <c r="M541" s="28"/>
      <c r="N541" s="30"/>
      <c r="O541" s="27"/>
      <c r="P541" s="137"/>
    </row>
    <row r="542" spans="1:16" x14ac:dyDescent="0.3">
      <c r="A542" s="27"/>
      <c r="B542" s="27"/>
      <c r="C542" s="27"/>
      <c r="D542" s="27"/>
      <c r="E542" s="27"/>
      <c r="F542" s="27"/>
      <c r="G542" s="27"/>
      <c r="H542" s="27"/>
      <c r="I542" s="28"/>
      <c r="J542" s="27"/>
      <c r="K542" s="29"/>
      <c r="L542" s="31"/>
      <c r="M542" s="28"/>
      <c r="N542" s="30"/>
      <c r="O542" s="27"/>
      <c r="P542" s="137"/>
    </row>
    <row r="543" spans="1:16" x14ac:dyDescent="0.3">
      <c r="A543" s="27"/>
      <c r="B543" s="27"/>
      <c r="C543" s="27"/>
      <c r="D543" s="27"/>
      <c r="E543" s="27"/>
      <c r="F543" s="27"/>
      <c r="G543" s="27"/>
      <c r="H543" s="27"/>
      <c r="I543" s="28"/>
      <c r="J543" s="27"/>
      <c r="K543" s="29"/>
      <c r="L543" s="31"/>
      <c r="M543" s="28"/>
      <c r="N543" s="30"/>
      <c r="O543" s="27"/>
      <c r="P543" s="137"/>
    </row>
    <row r="544" spans="1:16" x14ac:dyDescent="0.3">
      <c r="A544" s="27"/>
      <c r="B544" s="27"/>
      <c r="C544" s="27"/>
      <c r="D544" s="27"/>
      <c r="E544" s="27"/>
      <c r="F544" s="27"/>
      <c r="G544" s="27"/>
      <c r="H544" s="27"/>
      <c r="I544" s="28"/>
      <c r="J544" s="27"/>
      <c r="K544" s="29"/>
      <c r="L544" s="31"/>
      <c r="M544" s="28"/>
      <c r="N544" s="30"/>
      <c r="O544" s="27"/>
      <c r="P544" s="137"/>
    </row>
    <row r="545" spans="1:16" x14ac:dyDescent="0.3">
      <c r="A545" s="27"/>
      <c r="B545" s="27"/>
      <c r="C545" s="27"/>
      <c r="D545" s="27"/>
      <c r="E545" s="27"/>
      <c r="F545" s="27"/>
      <c r="G545" s="27"/>
      <c r="H545" s="27"/>
      <c r="I545" s="28"/>
      <c r="J545" s="27"/>
      <c r="K545" s="29"/>
      <c r="L545" s="31"/>
      <c r="M545" s="28"/>
      <c r="N545" s="30"/>
      <c r="O545" s="27"/>
      <c r="P545" s="137"/>
    </row>
    <row r="546" spans="1:16" x14ac:dyDescent="0.3">
      <c r="A546" s="27"/>
      <c r="B546" s="27"/>
      <c r="C546" s="27"/>
      <c r="D546" s="27"/>
      <c r="E546" s="27"/>
      <c r="F546" s="27"/>
      <c r="G546" s="27"/>
      <c r="H546" s="27"/>
      <c r="I546" s="28"/>
      <c r="J546" s="27"/>
      <c r="K546" s="29"/>
      <c r="L546" s="31"/>
      <c r="M546" s="28"/>
      <c r="N546" s="30"/>
      <c r="O546" s="27"/>
      <c r="P546" s="137"/>
    </row>
    <row r="547" spans="1:16" x14ac:dyDescent="0.3">
      <c r="A547" s="27"/>
      <c r="B547" s="27"/>
      <c r="C547" s="27"/>
      <c r="D547" s="27"/>
      <c r="E547" s="27"/>
      <c r="F547" s="27"/>
      <c r="G547" s="27"/>
      <c r="H547" s="27"/>
      <c r="I547" s="28"/>
      <c r="J547" s="27"/>
      <c r="K547" s="29"/>
      <c r="L547" s="31"/>
      <c r="M547" s="28"/>
      <c r="N547" s="30"/>
      <c r="O547" s="27"/>
      <c r="P547" s="137"/>
    </row>
    <row r="548" spans="1:16" x14ac:dyDescent="0.3">
      <c r="A548" s="27"/>
      <c r="B548" s="27"/>
      <c r="C548" s="27"/>
      <c r="D548" s="27"/>
      <c r="E548" s="27"/>
      <c r="F548" s="27"/>
      <c r="G548" s="27"/>
      <c r="H548" s="27"/>
      <c r="I548" s="28"/>
      <c r="J548" s="27"/>
      <c r="K548" s="29"/>
      <c r="L548" s="31"/>
      <c r="M548" s="28"/>
      <c r="N548" s="30"/>
      <c r="O548" s="27"/>
      <c r="P548" s="137"/>
    </row>
    <row r="549" spans="1:16" x14ac:dyDescent="0.3">
      <c r="A549" s="27"/>
      <c r="B549" s="27"/>
      <c r="C549" s="27"/>
      <c r="D549" s="27"/>
      <c r="E549" s="27"/>
      <c r="F549" s="27"/>
      <c r="G549" s="27"/>
      <c r="H549" s="27"/>
      <c r="I549" s="28"/>
      <c r="J549" s="27"/>
      <c r="K549" s="29"/>
      <c r="L549" s="31"/>
      <c r="M549" s="28"/>
      <c r="N549" s="30"/>
      <c r="O549" s="27"/>
      <c r="P549" s="137"/>
    </row>
    <row r="550" spans="1:16" x14ac:dyDescent="0.3">
      <c r="A550" s="27"/>
      <c r="B550" s="27"/>
      <c r="C550" s="27"/>
      <c r="D550" s="27"/>
      <c r="E550" s="27"/>
      <c r="F550" s="27"/>
      <c r="G550" s="27"/>
      <c r="H550" s="27"/>
      <c r="I550" s="28"/>
      <c r="J550" s="27"/>
      <c r="K550" s="29"/>
      <c r="L550" s="31"/>
      <c r="M550" s="28"/>
      <c r="N550" s="30"/>
      <c r="O550" s="27"/>
      <c r="P550" s="137"/>
    </row>
    <row r="551" spans="1:16" x14ac:dyDescent="0.3">
      <c r="A551" s="27"/>
      <c r="B551" s="27"/>
      <c r="C551" s="27"/>
      <c r="D551" s="27"/>
      <c r="E551" s="27"/>
      <c r="F551" s="27"/>
      <c r="G551" s="27"/>
      <c r="H551" s="27"/>
      <c r="I551" s="28"/>
      <c r="J551" s="27"/>
      <c r="K551" s="29"/>
      <c r="L551" s="31"/>
      <c r="M551" s="28"/>
      <c r="N551" s="30"/>
      <c r="O551" s="27"/>
      <c r="P551" s="137"/>
    </row>
    <row r="552" spans="1:16" x14ac:dyDescent="0.3">
      <c r="A552" s="27"/>
      <c r="B552" s="27"/>
      <c r="C552" s="27"/>
      <c r="D552" s="27"/>
      <c r="E552" s="27"/>
      <c r="F552" s="27"/>
      <c r="G552" s="27"/>
      <c r="H552" s="27"/>
      <c r="I552" s="28"/>
      <c r="J552" s="27"/>
      <c r="K552" s="29"/>
      <c r="L552" s="31"/>
      <c r="M552" s="28"/>
      <c r="N552" s="30"/>
      <c r="O552" s="27"/>
      <c r="P552" s="137"/>
    </row>
    <row r="553" spans="1:16" x14ac:dyDescent="0.3">
      <c r="A553" s="27"/>
      <c r="B553" s="27"/>
      <c r="C553" s="27"/>
      <c r="D553" s="27"/>
      <c r="E553" s="27"/>
      <c r="F553" s="27"/>
      <c r="G553" s="27"/>
      <c r="H553" s="27"/>
      <c r="I553" s="28"/>
      <c r="J553" s="27"/>
      <c r="K553" s="29"/>
      <c r="L553" s="31"/>
      <c r="M553" s="28"/>
      <c r="N553" s="30"/>
      <c r="O553" s="27"/>
      <c r="P553" s="137"/>
    </row>
    <row r="554" spans="1:16" x14ac:dyDescent="0.3">
      <c r="A554" s="27"/>
      <c r="B554" s="27"/>
      <c r="C554" s="27"/>
      <c r="D554" s="27"/>
      <c r="E554" s="27"/>
      <c r="F554" s="27"/>
      <c r="G554" s="27"/>
      <c r="H554" s="27"/>
      <c r="I554" s="28"/>
      <c r="J554" s="27"/>
      <c r="K554" s="29"/>
      <c r="L554" s="31"/>
      <c r="M554" s="28"/>
      <c r="N554" s="30"/>
      <c r="O554" s="27"/>
      <c r="P554" s="137"/>
    </row>
    <row r="555" spans="1:16" x14ac:dyDescent="0.3">
      <c r="A555" s="27"/>
      <c r="B555" s="27"/>
      <c r="C555" s="27"/>
      <c r="D555" s="27"/>
      <c r="E555" s="27"/>
      <c r="F555" s="27"/>
      <c r="G555" s="27"/>
      <c r="H555" s="27"/>
      <c r="I555" s="28"/>
      <c r="J555" s="27"/>
      <c r="K555" s="29"/>
      <c r="L555" s="31"/>
      <c r="M555" s="28"/>
      <c r="N555" s="30"/>
      <c r="O555" s="27"/>
      <c r="P555" s="137"/>
    </row>
    <row r="556" spans="1:16" x14ac:dyDescent="0.3">
      <c r="A556" s="27"/>
      <c r="B556" s="27"/>
      <c r="C556" s="27"/>
      <c r="D556" s="27"/>
      <c r="E556" s="27"/>
      <c r="F556" s="27"/>
      <c r="G556" s="27"/>
      <c r="H556" s="27"/>
      <c r="I556" s="28"/>
      <c r="J556" s="27"/>
      <c r="K556" s="29"/>
      <c r="L556" s="31"/>
      <c r="M556" s="28"/>
      <c r="N556" s="30"/>
      <c r="O556" s="27"/>
      <c r="P556" s="137"/>
    </row>
    <row r="557" spans="1:16" x14ac:dyDescent="0.3">
      <c r="A557" s="27"/>
      <c r="B557" s="27"/>
      <c r="C557" s="27"/>
      <c r="D557" s="27"/>
      <c r="E557" s="27"/>
      <c r="F557" s="27"/>
      <c r="G557" s="27"/>
      <c r="H557" s="27"/>
      <c r="I557" s="28"/>
      <c r="J557" s="27"/>
      <c r="K557" s="29"/>
      <c r="L557" s="31"/>
      <c r="M557" s="28"/>
      <c r="N557" s="30"/>
      <c r="O557" s="27"/>
      <c r="P557" s="137"/>
    </row>
    <row r="558" spans="1:16" x14ac:dyDescent="0.3">
      <c r="A558" s="27"/>
      <c r="B558" s="27"/>
      <c r="C558" s="27"/>
      <c r="D558" s="27"/>
      <c r="E558" s="27"/>
      <c r="F558" s="27"/>
      <c r="G558" s="27"/>
      <c r="H558" s="27"/>
      <c r="I558" s="28"/>
      <c r="J558" s="27"/>
      <c r="K558" s="29"/>
      <c r="L558" s="31"/>
      <c r="M558" s="28"/>
      <c r="N558" s="30"/>
      <c r="O558" s="27"/>
      <c r="P558" s="137"/>
    </row>
    <row r="559" spans="1:16" x14ac:dyDescent="0.3">
      <c r="A559" s="27"/>
      <c r="B559" s="27"/>
      <c r="C559" s="27"/>
      <c r="D559" s="27"/>
      <c r="E559" s="27"/>
      <c r="F559" s="27"/>
      <c r="G559" s="27"/>
      <c r="H559" s="27"/>
      <c r="I559" s="28"/>
      <c r="J559" s="27"/>
      <c r="K559" s="29"/>
      <c r="L559" s="31"/>
      <c r="M559" s="28"/>
      <c r="N559" s="30"/>
      <c r="O559" s="27"/>
      <c r="P559" s="137"/>
    </row>
    <row r="560" spans="1:16" x14ac:dyDescent="0.3">
      <c r="A560" s="27"/>
      <c r="B560" s="27"/>
      <c r="C560" s="27"/>
      <c r="D560" s="27"/>
      <c r="E560" s="27"/>
      <c r="F560" s="27"/>
      <c r="G560" s="27"/>
      <c r="H560" s="27"/>
      <c r="I560" s="28"/>
      <c r="J560" s="27"/>
      <c r="K560" s="29"/>
      <c r="L560" s="31"/>
      <c r="M560" s="28"/>
      <c r="N560" s="30"/>
      <c r="O560" s="27"/>
      <c r="P560" s="137"/>
    </row>
    <row r="561" spans="1:16" x14ac:dyDescent="0.3">
      <c r="A561" s="27"/>
      <c r="B561" s="27"/>
      <c r="C561" s="27"/>
      <c r="D561" s="27"/>
      <c r="E561" s="27"/>
      <c r="F561" s="27"/>
      <c r="G561" s="27"/>
      <c r="H561" s="27"/>
      <c r="I561" s="28"/>
      <c r="J561" s="27"/>
      <c r="K561" s="29"/>
      <c r="L561" s="31"/>
      <c r="M561" s="28"/>
      <c r="N561" s="30"/>
      <c r="O561" s="27"/>
      <c r="P561" s="137"/>
    </row>
    <row r="562" spans="1:16" x14ac:dyDescent="0.3">
      <c r="A562" s="27"/>
      <c r="B562" s="27"/>
      <c r="C562" s="27"/>
      <c r="D562" s="27"/>
      <c r="E562" s="27"/>
      <c r="F562" s="27"/>
      <c r="G562" s="27"/>
      <c r="H562" s="27"/>
      <c r="I562" s="28"/>
      <c r="J562" s="27"/>
      <c r="K562" s="29"/>
      <c r="L562" s="31"/>
      <c r="M562" s="28"/>
      <c r="N562" s="30"/>
      <c r="O562" s="27"/>
      <c r="P562" s="137"/>
    </row>
    <row r="563" spans="1:16" x14ac:dyDescent="0.3">
      <c r="A563" s="27"/>
      <c r="B563" s="27"/>
      <c r="C563" s="27"/>
      <c r="D563" s="27"/>
      <c r="E563" s="27"/>
      <c r="F563" s="27"/>
      <c r="G563" s="27"/>
      <c r="H563" s="27"/>
      <c r="I563" s="28"/>
      <c r="J563" s="27"/>
      <c r="K563" s="29"/>
      <c r="L563" s="31"/>
      <c r="M563" s="28"/>
      <c r="N563" s="30"/>
      <c r="O563" s="27"/>
      <c r="P563" s="137"/>
    </row>
    <row r="564" spans="1:16" x14ac:dyDescent="0.3">
      <c r="A564" s="27"/>
      <c r="B564" s="27"/>
      <c r="C564" s="27"/>
      <c r="D564" s="27"/>
      <c r="E564" s="27"/>
      <c r="F564" s="27"/>
      <c r="G564" s="27"/>
      <c r="H564" s="27"/>
      <c r="I564" s="28"/>
      <c r="J564" s="27"/>
      <c r="K564" s="29"/>
      <c r="L564" s="31"/>
      <c r="M564" s="28"/>
      <c r="N564" s="30"/>
      <c r="O564" s="27"/>
      <c r="P564" s="137"/>
    </row>
    <row r="565" spans="1:16" x14ac:dyDescent="0.3">
      <c r="A565" s="27"/>
      <c r="B565" s="27"/>
      <c r="C565" s="27"/>
      <c r="D565" s="27"/>
      <c r="E565" s="27"/>
      <c r="F565" s="27"/>
      <c r="G565" s="27"/>
      <c r="H565" s="27"/>
      <c r="I565" s="28"/>
      <c r="J565" s="27"/>
      <c r="K565" s="29"/>
      <c r="L565" s="31"/>
      <c r="M565" s="28"/>
      <c r="N565" s="30"/>
      <c r="O565" s="27"/>
      <c r="P565" s="137"/>
    </row>
    <row r="566" spans="1:16" x14ac:dyDescent="0.3">
      <c r="A566" s="27"/>
      <c r="B566" s="27"/>
      <c r="C566" s="27"/>
      <c r="D566" s="27"/>
      <c r="E566" s="27"/>
      <c r="F566" s="27"/>
      <c r="G566" s="27"/>
      <c r="H566" s="27"/>
      <c r="I566" s="28"/>
      <c r="J566" s="27"/>
      <c r="K566" s="29"/>
      <c r="L566" s="31"/>
      <c r="M566" s="28"/>
      <c r="N566" s="30"/>
      <c r="O566" s="27"/>
      <c r="P566" s="137"/>
    </row>
    <row r="567" spans="1:16" x14ac:dyDescent="0.3">
      <c r="A567" s="27"/>
      <c r="B567" s="27"/>
      <c r="C567" s="27"/>
      <c r="D567" s="27"/>
      <c r="E567" s="27"/>
      <c r="F567" s="27"/>
      <c r="G567" s="27"/>
      <c r="H567" s="27"/>
      <c r="I567" s="28"/>
      <c r="J567" s="27"/>
      <c r="K567" s="29"/>
      <c r="L567" s="31"/>
      <c r="M567" s="28"/>
      <c r="N567" s="30"/>
      <c r="O567" s="27"/>
      <c r="P567" s="137"/>
    </row>
    <row r="568" spans="1:16" x14ac:dyDescent="0.3">
      <c r="A568" s="27"/>
      <c r="B568" s="27"/>
      <c r="C568" s="27"/>
      <c r="D568" s="27"/>
      <c r="E568" s="27"/>
      <c r="F568" s="27"/>
      <c r="G568" s="27"/>
      <c r="H568" s="27"/>
      <c r="I568" s="28"/>
      <c r="J568" s="27"/>
      <c r="K568" s="29"/>
      <c r="L568" s="31"/>
      <c r="M568" s="28"/>
      <c r="N568" s="30"/>
      <c r="O568" s="27"/>
      <c r="P568" s="137"/>
    </row>
    <row r="569" spans="1:16" x14ac:dyDescent="0.3">
      <c r="A569" s="27"/>
      <c r="B569" s="27"/>
      <c r="C569" s="27"/>
      <c r="D569" s="27"/>
      <c r="E569" s="27"/>
      <c r="F569" s="27"/>
      <c r="G569" s="27"/>
      <c r="H569" s="27"/>
      <c r="I569" s="28"/>
      <c r="J569" s="27"/>
      <c r="K569" s="29"/>
      <c r="L569" s="31"/>
      <c r="M569" s="28"/>
      <c r="N569" s="30"/>
      <c r="O569" s="27"/>
      <c r="P569" s="137"/>
    </row>
    <row r="570" spans="1:16" x14ac:dyDescent="0.3">
      <c r="A570" s="27"/>
      <c r="B570" s="27"/>
      <c r="C570" s="27"/>
      <c r="D570" s="27"/>
      <c r="E570" s="27"/>
      <c r="F570" s="27"/>
      <c r="G570" s="27"/>
      <c r="H570" s="27"/>
      <c r="I570" s="28"/>
      <c r="J570" s="27"/>
      <c r="K570" s="29"/>
      <c r="L570" s="31"/>
      <c r="M570" s="28"/>
      <c r="N570" s="30"/>
      <c r="O570" s="27"/>
      <c r="P570" s="137"/>
    </row>
    <row r="571" spans="1:16" x14ac:dyDescent="0.3">
      <c r="A571" s="27"/>
      <c r="B571" s="27"/>
      <c r="C571" s="27"/>
      <c r="D571" s="27"/>
      <c r="E571" s="27"/>
      <c r="F571" s="27"/>
      <c r="G571" s="27"/>
      <c r="H571" s="27"/>
      <c r="I571" s="28"/>
      <c r="J571" s="27"/>
      <c r="K571" s="29"/>
      <c r="L571" s="31"/>
      <c r="M571" s="28"/>
      <c r="N571" s="30"/>
      <c r="O571" s="27"/>
      <c r="P571" s="137"/>
    </row>
    <row r="572" spans="1:16" x14ac:dyDescent="0.3">
      <c r="A572" s="27"/>
      <c r="B572" s="27"/>
      <c r="C572" s="27"/>
      <c r="D572" s="27"/>
      <c r="E572" s="27"/>
      <c r="F572" s="27"/>
      <c r="G572" s="27"/>
      <c r="H572" s="27"/>
      <c r="I572" s="28"/>
      <c r="J572" s="27"/>
      <c r="K572" s="29"/>
      <c r="L572" s="31"/>
      <c r="M572" s="28"/>
      <c r="N572" s="30"/>
      <c r="O572" s="27"/>
      <c r="P572" s="137"/>
    </row>
    <row r="573" spans="1:16" x14ac:dyDescent="0.3">
      <c r="A573" s="27"/>
      <c r="B573" s="27"/>
      <c r="C573" s="27"/>
      <c r="D573" s="27"/>
      <c r="E573" s="27"/>
      <c r="F573" s="27"/>
      <c r="G573" s="27"/>
      <c r="H573" s="27"/>
      <c r="I573" s="28"/>
      <c r="J573" s="27"/>
      <c r="K573" s="29"/>
      <c r="L573" s="31"/>
      <c r="M573" s="28"/>
      <c r="N573" s="30"/>
      <c r="O573" s="27"/>
      <c r="P573" s="137"/>
    </row>
    <row r="574" spans="1:16" x14ac:dyDescent="0.3">
      <c r="A574" s="27"/>
      <c r="B574" s="27"/>
      <c r="C574" s="27"/>
      <c r="D574" s="27"/>
      <c r="E574" s="27"/>
      <c r="F574" s="27"/>
      <c r="G574" s="27"/>
      <c r="H574" s="27"/>
      <c r="I574" s="28"/>
      <c r="J574" s="27"/>
      <c r="K574" s="29"/>
      <c r="L574" s="31"/>
      <c r="M574" s="28"/>
      <c r="N574" s="30"/>
      <c r="O574" s="27"/>
      <c r="P574" s="137"/>
    </row>
    <row r="575" spans="1:16" x14ac:dyDescent="0.3">
      <c r="A575" s="27"/>
      <c r="B575" s="27"/>
      <c r="C575" s="27"/>
      <c r="D575" s="27"/>
      <c r="E575" s="27"/>
      <c r="F575" s="27"/>
      <c r="G575" s="27"/>
      <c r="H575" s="27"/>
      <c r="I575" s="28"/>
      <c r="J575" s="27"/>
      <c r="K575" s="29"/>
      <c r="L575" s="31"/>
      <c r="M575" s="28"/>
      <c r="N575" s="30"/>
      <c r="O575" s="27"/>
      <c r="P575" s="137"/>
    </row>
    <row r="576" spans="1:16" x14ac:dyDescent="0.3">
      <c r="A576" s="27"/>
      <c r="B576" s="27"/>
      <c r="C576" s="27"/>
      <c r="D576" s="27"/>
      <c r="E576" s="27"/>
      <c r="F576" s="27"/>
      <c r="G576" s="27"/>
      <c r="H576" s="27"/>
      <c r="I576" s="28"/>
      <c r="J576" s="27"/>
      <c r="K576" s="29"/>
      <c r="L576" s="31"/>
      <c r="M576" s="28"/>
      <c r="N576" s="30"/>
      <c r="O576" s="27"/>
      <c r="P576" s="137"/>
    </row>
    <row r="577" spans="1:16" x14ac:dyDescent="0.3">
      <c r="A577" s="27"/>
      <c r="B577" s="27"/>
      <c r="C577" s="27"/>
      <c r="D577" s="27"/>
      <c r="E577" s="27"/>
      <c r="F577" s="27"/>
      <c r="G577" s="27"/>
      <c r="H577" s="27"/>
      <c r="I577" s="28"/>
      <c r="J577" s="27"/>
      <c r="K577" s="29"/>
      <c r="L577" s="31"/>
      <c r="M577" s="28"/>
      <c r="N577" s="30"/>
      <c r="O577" s="27"/>
      <c r="P577" s="137"/>
    </row>
    <row r="578" spans="1:16" x14ac:dyDescent="0.3">
      <c r="A578" s="27"/>
      <c r="B578" s="27"/>
      <c r="C578" s="27"/>
      <c r="D578" s="27"/>
      <c r="E578" s="27"/>
      <c r="F578" s="27"/>
      <c r="G578" s="27"/>
      <c r="H578" s="27"/>
      <c r="I578" s="28"/>
      <c r="J578" s="27"/>
      <c r="K578" s="29"/>
      <c r="L578" s="31"/>
      <c r="M578" s="28"/>
      <c r="N578" s="30"/>
      <c r="O578" s="27"/>
      <c r="P578" s="137"/>
    </row>
    <row r="579" spans="1:16" x14ac:dyDescent="0.3">
      <c r="A579" s="27"/>
      <c r="B579" s="27"/>
      <c r="C579" s="27"/>
      <c r="D579" s="27"/>
      <c r="E579" s="27"/>
      <c r="F579" s="27"/>
      <c r="G579" s="27"/>
      <c r="H579" s="27"/>
      <c r="I579" s="28"/>
      <c r="J579" s="27"/>
      <c r="K579" s="29"/>
      <c r="L579" s="31"/>
      <c r="M579" s="28"/>
      <c r="N579" s="30"/>
      <c r="O579" s="27"/>
      <c r="P579" s="137"/>
    </row>
    <row r="580" spans="1:16" x14ac:dyDescent="0.3">
      <c r="A580" s="27"/>
      <c r="B580" s="27"/>
      <c r="C580" s="27"/>
      <c r="D580" s="27"/>
      <c r="E580" s="27"/>
      <c r="F580" s="27"/>
      <c r="G580" s="27"/>
      <c r="H580" s="27"/>
      <c r="I580" s="28"/>
      <c r="J580" s="27"/>
      <c r="K580" s="29"/>
      <c r="L580" s="31"/>
      <c r="M580" s="28"/>
      <c r="N580" s="30"/>
      <c r="O580" s="27"/>
      <c r="P580" s="137"/>
    </row>
    <row r="581" spans="1:16" x14ac:dyDescent="0.3">
      <c r="A581" s="27"/>
      <c r="B581" s="27"/>
      <c r="C581" s="27"/>
      <c r="D581" s="27"/>
      <c r="E581" s="27"/>
      <c r="F581" s="27"/>
      <c r="G581" s="27"/>
      <c r="H581" s="27"/>
      <c r="I581" s="28"/>
      <c r="J581" s="27"/>
      <c r="K581" s="29"/>
      <c r="L581" s="31"/>
      <c r="M581" s="28"/>
      <c r="N581" s="30"/>
      <c r="O581" s="27"/>
      <c r="P581" s="137"/>
    </row>
    <row r="582" spans="1:16" x14ac:dyDescent="0.3">
      <c r="A582" s="27"/>
      <c r="B582" s="27"/>
      <c r="C582" s="27"/>
      <c r="D582" s="27"/>
      <c r="E582" s="27"/>
      <c r="F582" s="27"/>
      <c r="G582" s="27"/>
      <c r="H582" s="27"/>
      <c r="I582" s="28"/>
      <c r="J582" s="27"/>
      <c r="K582" s="29"/>
      <c r="L582" s="31"/>
      <c r="M582" s="28"/>
      <c r="N582" s="30"/>
      <c r="O582" s="27"/>
      <c r="P582" s="137"/>
    </row>
    <row r="583" spans="1:16" x14ac:dyDescent="0.3">
      <c r="A583" s="27"/>
      <c r="B583" s="27"/>
      <c r="C583" s="27"/>
      <c r="D583" s="27"/>
      <c r="E583" s="27"/>
      <c r="F583" s="27"/>
      <c r="G583" s="27"/>
      <c r="H583" s="27"/>
      <c r="I583" s="28"/>
      <c r="J583" s="27"/>
      <c r="K583" s="29"/>
      <c r="L583" s="31"/>
      <c r="M583" s="28"/>
      <c r="N583" s="30"/>
      <c r="O583" s="27"/>
      <c r="P583" s="137"/>
    </row>
    <row r="584" spans="1:16" x14ac:dyDescent="0.3">
      <c r="A584" s="27"/>
      <c r="B584" s="27"/>
      <c r="C584" s="27"/>
      <c r="D584" s="27"/>
      <c r="E584" s="27"/>
      <c r="F584" s="27"/>
      <c r="G584" s="27"/>
      <c r="H584" s="27"/>
      <c r="I584" s="28"/>
      <c r="J584" s="27"/>
      <c r="K584" s="29"/>
      <c r="L584" s="31"/>
      <c r="M584" s="28"/>
      <c r="N584" s="30"/>
      <c r="O584" s="27"/>
      <c r="P584" s="137"/>
    </row>
    <row r="585" spans="1:16" x14ac:dyDescent="0.3">
      <c r="A585" s="27"/>
      <c r="B585" s="27"/>
      <c r="C585" s="27"/>
      <c r="D585" s="27"/>
      <c r="E585" s="27"/>
      <c r="F585" s="27"/>
      <c r="G585" s="27"/>
      <c r="H585" s="27"/>
      <c r="I585" s="28"/>
      <c r="J585" s="27"/>
      <c r="K585" s="29"/>
      <c r="L585" s="31"/>
      <c r="M585" s="28"/>
      <c r="N585" s="30"/>
      <c r="O585" s="27"/>
      <c r="P585" s="137"/>
    </row>
    <row r="586" spans="1:16" x14ac:dyDescent="0.3">
      <c r="A586" s="27"/>
      <c r="B586" s="27"/>
      <c r="C586" s="27"/>
      <c r="D586" s="27"/>
      <c r="E586" s="27"/>
      <c r="F586" s="27"/>
      <c r="G586" s="27"/>
      <c r="H586" s="27"/>
      <c r="I586" s="28"/>
      <c r="J586" s="27"/>
      <c r="K586" s="29"/>
      <c r="L586" s="31"/>
      <c r="M586" s="28"/>
      <c r="N586" s="30"/>
      <c r="O586" s="27"/>
      <c r="P586" s="137"/>
    </row>
    <row r="587" spans="1:16" x14ac:dyDescent="0.3">
      <c r="A587" s="27"/>
      <c r="B587" s="27"/>
      <c r="C587" s="27"/>
      <c r="D587" s="27"/>
      <c r="E587" s="27"/>
      <c r="F587" s="27"/>
      <c r="G587" s="27"/>
      <c r="H587" s="27"/>
      <c r="I587" s="28"/>
      <c r="J587" s="27"/>
      <c r="K587" s="29"/>
      <c r="L587" s="31"/>
      <c r="M587" s="28"/>
      <c r="N587" s="30"/>
      <c r="O587" s="27"/>
      <c r="P587" s="137"/>
    </row>
    <row r="588" spans="1:16" x14ac:dyDescent="0.3">
      <c r="A588" s="27"/>
      <c r="B588" s="27"/>
      <c r="C588" s="27"/>
      <c r="D588" s="27"/>
      <c r="E588" s="27"/>
      <c r="F588" s="27"/>
      <c r="G588" s="27"/>
      <c r="H588" s="27"/>
      <c r="I588" s="28"/>
      <c r="J588" s="27"/>
      <c r="K588" s="29"/>
      <c r="L588" s="31"/>
      <c r="M588" s="28"/>
      <c r="N588" s="30"/>
      <c r="O588" s="27"/>
      <c r="P588" s="137"/>
    </row>
    <row r="589" spans="1:16" x14ac:dyDescent="0.3">
      <c r="A589" s="27"/>
      <c r="B589" s="27"/>
      <c r="C589" s="27"/>
      <c r="D589" s="27"/>
      <c r="E589" s="27"/>
      <c r="F589" s="27"/>
      <c r="G589" s="27"/>
      <c r="H589" s="27"/>
      <c r="I589" s="28"/>
      <c r="J589" s="27"/>
      <c r="K589" s="29"/>
      <c r="L589" s="31"/>
      <c r="M589" s="28"/>
      <c r="N589" s="30"/>
      <c r="O589" s="27"/>
      <c r="P589" s="137"/>
    </row>
    <row r="590" spans="1:16" x14ac:dyDescent="0.3">
      <c r="A590" s="27"/>
      <c r="B590" s="27"/>
      <c r="C590" s="27"/>
      <c r="D590" s="27"/>
      <c r="E590" s="27"/>
      <c r="F590" s="27"/>
      <c r="G590" s="27"/>
      <c r="H590" s="27"/>
      <c r="I590" s="28"/>
      <c r="J590" s="27"/>
      <c r="K590" s="29"/>
      <c r="L590" s="31"/>
      <c r="M590" s="28"/>
      <c r="N590" s="30"/>
      <c r="O590" s="27"/>
      <c r="P590" s="137"/>
    </row>
    <row r="591" spans="1:16" x14ac:dyDescent="0.3">
      <c r="A591" s="27"/>
      <c r="B591" s="27"/>
      <c r="C591" s="27"/>
      <c r="D591" s="27"/>
      <c r="E591" s="27"/>
      <c r="F591" s="27"/>
      <c r="G591" s="27"/>
      <c r="H591" s="27"/>
      <c r="I591" s="28"/>
      <c r="J591" s="27"/>
      <c r="K591" s="29"/>
      <c r="L591" s="31"/>
      <c r="M591" s="28"/>
      <c r="N591" s="30"/>
      <c r="O591" s="27"/>
      <c r="P591" s="137"/>
    </row>
    <row r="592" spans="1:16" x14ac:dyDescent="0.3">
      <c r="A592" s="27"/>
      <c r="B592" s="27"/>
      <c r="C592" s="27"/>
      <c r="D592" s="27"/>
      <c r="E592" s="27"/>
      <c r="F592" s="27"/>
      <c r="G592" s="27"/>
      <c r="H592" s="27"/>
      <c r="I592" s="28"/>
      <c r="J592" s="27"/>
      <c r="K592" s="29"/>
      <c r="L592" s="31"/>
      <c r="M592" s="28"/>
      <c r="N592" s="30"/>
      <c r="O592" s="27"/>
      <c r="P592" s="137"/>
    </row>
    <row r="593" spans="1:16" x14ac:dyDescent="0.3">
      <c r="A593" s="27"/>
      <c r="B593" s="27"/>
      <c r="C593" s="27"/>
      <c r="D593" s="27"/>
      <c r="E593" s="27"/>
      <c r="F593" s="27"/>
      <c r="G593" s="27"/>
      <c r="H593" s="27"/>
      <c r="I593" s="28"/>
      <c r="J593" s="27"/>
      <c r="K593" s="29"/>
      <c r="L593" s="31"/>
      <c r="M593" s="28"/>
      <c r="N593" s="30"/>
      <c r="O593" s="27"/>
      <c r="P593" s="137"/>
    </row>
    <row r="594" spans="1:16" x14ac:dyDescent="0.3">
      <c r="A594" s="27"/>
      <c r="B594" s="27"/>
      <c r="C594" s="27"/>
      <c r="D594" s="27"/>
      <c r="E594" s="27"/>
      <c r="F594" s="27"/>
      <c r="G594" s="27"/>
      <c r="H594" s="27"/>
      <c r="I594" s="28"/>
      <c r="J594" s="27"/>
      <c r="K594" s="29"/>
      <c r="L594" s="31"/>
      <c r="M594" s="28"/>
      <c r="N594" s="30"/>
      <c r="O594" s="27"/>
      <c r="P594" s="137"/>
    </row>
    <row r="595" spans="1:16" x14ac:dyDescent="0.3">
      <c r="A595" s="27"/>
      <c r="B595" s="27"/>
      <c r="C595" s="27"/>
      <c r="D595" s="27"/>
      <c r="E595" s="27"/>
      <c r="F595" s="27"/>
      <c r="G595" s="27"/>
      <c r="H595" s="27"/>
      <c r="I595" s="28"/>
      <c r="J595" s="27"/>
      <c r="K595" s="29"/>
      <c r="L595" s="31"/>
      <c r="M595" s="28"/>
      <c r="N595" s="30"/>
      <c r="O595" s="27"/>
      <c r="P595" s="137"/>
    </row>
    <row r="596" spans="1:16" x14ac:dyDescent="0.3">
      <c r="A596" s="27"/>
      <c r="B596" s="27"/>
      <c r="C596" s="27"/>
      <c r="D596" s="27"/>
      <c r="E596" s="27"/>
      <c r="F596" s="27"/>
      <c r="G596" s="27"/>
      <c r="H596" s="27"/>
      <c r="I596" s="28"/>
      <c r="J596" s="27"/>
      <c r="K596" s="29"/>
      <c r="L596" s="31"/>
      <c r="M596" s="28"/>
      <c r="N596" s="30"/>
      <c r="O596" s="27"/>
      <c r="P596" s="137"/>
    </row>
    <row r="597" spans="1:16" x14ac:dyDescent="0.3">
      <c r="A597" s="27"/>
      <c r="B597" s="27"/>
      <c r="C597" s="27"/>
      <c r="D597" s="27"/>
      <c r="E597" s="27"/>
      <c r="F597" s="27"/>
      <c r="G597" s="27"/>
      <c r="H597" s="27"/>
      <c r="I597" s="28"/>
      <c r="J597" s="27"/>
      <c r="K597" s="29"/>
      <c r="L597" s="31"/>
      <c r="M597" s="28"/>
      <c r="N597" s="30"/>
      <c r="O597" s="27"/>
      <c r="P597" s="137"/>
    </row>
    <row r="598" spans="1:16" x14ac:dyDescent="0.3">
      <c r="A598" s="27"/>
      <c r="B598" s="27"/>
      <c r="C598" s="27"/>
      <c r="D598" s="27"/>
      <c r="E598" s="27"/>
      <c r="F598" s="27"/>
      <c r="G598" s="27"/>
      <c r="H598" s="27"/>
      <c r="I598" s="28"/>
      <c r="J598" s="27"/>
      <c r="K598" s="29"/>
      <c r="L598" s="31"/>
      <c r="M598" s="28"/>
      <c r="N598" s="30"/>
      <c r="O598" s="27"/>
      <c r="P598" s="137"/>
    </row>
    <row r="599" spans="1:16" x14ac:dyDescent="0.3">
      <c r="A599" s="27"/>
      <c r="B599" s="27"/>
      <c r="C599" s="27"/>
      <c r="D599" s="27"/>
      <c r="E599" s="27"/>
      <c r="F599" s="27"/>
      <c r="G599" s="27"/>
      <c r="H599" s="27"/>
      <c r="I599" s="28"/>
      <c r="J599" s="27"/>
      <c r="K599" s="29"/>
      <c r="L599" s="31"/>
      <c r="M599" s="28"/>
      <c r="N599" s="30"/>
      <c r="O599" s="27"/>
      <c r="P599" s="137"/>
    </row>
    <row r="600" spans="1:16" x14ac:dyDescent="0.3">
      <c r="A600" s="27"/>
      <c r="B600" s="27"/>
      <c r="C600" s="27"/>
      <c r="D600" s="27"/>
      <c r="E600" s="27"/>
      <c r="F600" s="27"/>
      <c r="G600" s="27"/>
      <c r="H600" s="27"/>
      <c r="I600" s="28"/>
      <c r="J600" s="27"/>
      <c r="K600" s="29"/>
      <c r="L600" s="31"/>
      <c r="M600" s="28"/>
      <c r="N600" s="30"/>
      <c r="O600" s="27"/>
      <c r="P600" s="137"/>
    </row>
    <row r="601" spans="1:16" x14ac:dyDescent="0.3">
      <c r="A601" s="27"/>
      <c r="B601" s="27"/>
      <c r="C601" s="27"/>
      <c r="D601" s="27"/>
      <c r="E601" s="27"/>
      <c r="F601" s="27"/>
      <c r="G601" s="27"/>
      <c r="H601" s="27"/>
      <c r="I601" s="28"/>
      <c r="J601" s="27"/>
      <c r="K601" s="29"/>
      <c r="L601" s="31"/>
      <c r="M601" s="28"/>
      <c r="N601" s="30"/>
      <c r="O601" s="27"/>
      <c r="P601" s="137"/>
    </row>
    <row r="602" spans="1:16" x14ac:dyDescent="0.3">
      <c r="A602" s="27"/>
      <c r="B602" s="27"/>
      <c r="C602" s="27"/>
      <c r="D602" s="27"/>
      <c r="E602" s="27"/>
      <c r="F602" s="27"/>
      <c r="G602" s="27"/>
      <c r="H602" s="27"/>
      <c r="I602" s="28"/>
      <c r="J602" s="27"/>
      <c r="K602" s="29"/>
      <c r="L602" s="31"/>
      <c r="M602" s="28"/>
      <c r="N602" s="30"/>
      <c r="O602" s="27"/>
      <c r="P602" s="137"/>
    </row>
    <row r="603" spans="1:16" x14ac:dyDescent="0.3">
      <c r="A603" s="27"/>
      <c r="B603" s="27"/>
      <c r="C603" s="27"/>
      <c r="D603" s="27"/>
      <c r="E603" s="27"/>
      <c r="F603" s="27"/>
      <c r="G603" s="27"/>
      <c r="H603" s="27"/>
      <c r="I603" s="28"/>
      <c r="J603" s="27"/>
      <c r="K603" s="29"/>
      <c r="L603" s="31"/>
      <c r="M603" s="28"/>
      <c r="N603" s="30"/>
      <c r="O603" s="27"/>
      <c r="P603" s="137"/>
    </row>
    <row r="604" spans="1:16" x14ac:dyDescent="0.3">
      <c r="A604" s="27"/>
      <c r="B604" s="27"/>
      <c r="C604" s="27"/>
      <c r="D604" s="27"/>
      <c r="E604" s="27"/>
      <c r="F604" s="27"/>
      <c r="G604" s="27"/>
      <c r="H604" s="27"/>
      <c r="I604" s="28"/>
      <c r="J604" s="27"/>
      <c r="K604" s="29"/>
      <c r="L604" s="31"/>
      <c r="M604" s="28"/>
      <c r="N604" s="30"/>
      <c r="O604" s="27"/>
      <c r="P604" s="137"/>
    </row>
    <row r="605" spans="1:16" x14ac:dyDescent="0.3">
      <c r="A605" s="27"/>
      <c r="B605" s="27"/>
      <c r="C605" s="27"/>
      <c r="D605" s="27"/>
      <c r="E605" s="27"/>
      <c r="F605" s="27"/>
      <c r="G605" s="27"/>
      <c r="H605" s="27"/>
      <c r="I605" s="28"/>
      <c r="J605" s="27"/>
      <c r="K605" s="29"/>
      <c r="L605" s="31"/>
      <c r="M605" s="28"/>
      <c r="N605" s="30"/>
      <c r="O605" s="27"/>
      <c r="P605" s="137"/>
    </row>
    <row r="606" spans="1:16" x14ac:dyDescent="0.3">
      <c r="A606" s="27"/>
      <c r="B606" s="27"/>
      <c r="C606" s="27"/>
      <c r="D606" s="27"/>
      <c r="E606" s="27"/>
      <c r="F606" s="27"/>
      <c r="G606" s="27"/>
      <c r="H606" s="27"/>
      <c r="I606" s="28"/>
      <c r="J606" s="27"/>
      <c r="K606" s="29"/>
      <c r="L606" s="31"/>
      <c r="M606" s="28"/>
      <c r="N606" s="30"/>
      <c r="O606" s="27"/>
      <c r="P606" s="137"/>
    </row>
    <row r="607" spans="1:16" x14ac:dyDescent="0.3">
      <c r="A607" s="27"/>
      <c r="B607" s="27"/>
      <c r="C607" s="27"/>
      <c r="D607" s="27"/>
      <c r="E607" s="27"/>
      <c r="F607" s="27"/>
      <c r="G607" s="27"/>
      <c r="H607" s="27"/>
      <c r="I607" s="28"/>
      <c r="J607" s="27"/>
      <c r="K607" s="29"/>
      <c r="L607" s="31"/>
      <c r="M607" s="28"/>
      <c r="N607" s="30"/>
      <c r="O607" s="27"/>
      <c r="P607" s="137"/>
    </row>
    <row r="608" spans="1:16" x14ac:dyDescent="0.3">
      <c r="A608" s="27"/>
      <c r="B608" s="27"/>
      <c r="C608" s="27"/>
      <c r="D608" s="27"/>
      <c r="E608" s="27"/>
      <c r="F608" s="27"/>
      <c r="G608" s="27"/>
      <c r="H608" s="27"/>
      <c r="I608" s="28"/>
      <c r="J608" s="27"/>
      <c r="K608" s="29"/>
      <c r="L608" s="31"/>
      <c r="M608" s="28"/>
      <c r="N608" s="30"/>
      <c r="O608" s="27"/>
      <c r="P608" s="137"/>
    </row>
    <row r="609" spans="1:16" x14ac:dyDescent="0.3">
      <c r="A609" s="27"/>
      <c r="B609" s="27"/>
      <c r="C609" s="27"/>
      <c r="D609" s="27"/>
      <c r="E609" s="27"/>
      <c r="F609" s="27"/>
      <c r="G609" s="27"/>
      <c r="H609" s="27"/>
      <c r="I609" s="28"/>
      <c r="J609" s="27"/>
      <c r="K609" s="29"/>
      <c r="L609" s="31"/>
      <c r="M609" s="28"/>
      <c r="N609" s="30"/>
      <c r="O609" s="27"/>
      <c r="P609" s="137"/>
    </row>
    <row r="610" spans="1:16" x14ac:dyDescent="0.3">
      <c r="A610" s="27"/>
      <c r="B610" s="27"/>
      <c r="C610" s="27"/>
      <c r="D610" s="27"/>
      <c r="E610" s="27"/>
      <c r="F610" s="27"/>
      <c r="G610" s="27"/>
      <c r="H610" s="27"/>
      <c r="I610" s="28"/>
      <c r="J610" s="27"/>
      <c r="K610" s="29"/>
      <c r="L610" s="31"/>
      <c r="M610" s="28"/>
      <c r="N610" s="30"/>
      <c r="O610" s="27"/>
      <c r="P610" s="137"/>
    </row>
    <row r="611" spans="1:16" x14ac:dyDescent="0.3">
      <c r="A611" s="27"/>
      <c r="B611" s="27"/>
      <c r="C611" s="27"/>
      <c r="D611" s="27"/>
      <c r="E611" s="27"/>
      <c r="F611" s="27"/>
      <c r="G611" s="27"/>
      <c r="H611" s="27"/>
      <c r="I611" s="28"/>
      <c r="J611" s="27"/>
      <c r="K611" s="29"/>
      <c r="L611" s="31"/>
      <c r="M611" s="28"/>
      <c r="N611" s="30"/>
      <c r="O611" s="27"/>
      <c r="P611" s="137"/>
    </row>
    <row r="612" spans="1:16" x14ac:dyDescent="0.3">
      <c r="A612" s="27"/>
      <c r="B612" s="27"/>
      <c r="C612" s="27"/>
      <c r="D612" s="27"/>
      <c r="E612" s="27"/>
      <c r="F612" s="27"/>
      <c r="G612" s="27"/>
      <c r="H612" s="27"/>
      <c r="I612" s="28"/>
      <c r="J612" s="27"/>
      <c r="K612" s="29"/>
      <c r="L612" s="31"/>
      <c r="M612" s="28"/>
      <c r="N612" s="30"/>
      <c r="O612" s="27"/>
      <c r="P612" s="137"/>
    </row>
    <row r="613" spans="1:16" x14ac:dyDescent="0.3">
      <c r="A613" s="27"/>
      <c r="B613" s="27"/>
      <c r="C613" s="27"/>
      <c r="D613" s="27"/>
      <c r="E613" s="27"/>
      <c r="F613" s="27"/>
      <c r="G613" s="27"/>
      <c r="H613" s="27"/>
      <c r="I613" s="28"/>
      <c r="J613" s="27"/>
      <c r="K613" s="29"/>
      <c r="L613" s="31"/>
      <c r="M613" s="28"/>
      <c r="N613" s="30"/>
      <c r="O613" s="27"/>
      <c r="P613" s="137"/>
    </row>
    <row r="614" spans="1:16" x14ac:dyDescent="0.3">
      <c r="A614" s="27"/>
      <c r="B614" s="27"/>
      <c r="C614" s="27"/>
      <c r="D614" s="27"/>
      <c r="E614" s="27"/>
      <c r="F614" s="27"/>
      <c r="G614" s="27"/>
      <c r="H614" s="27"/>
      <c r="I614" s="28"/>
      <c r="J614" s="27"/>
      <c r="K614" s="29"/>
      <c r="L614" s="31"/>
      <c r="M614" s="28"/>
      <c r="N614" s="30"/>
      <c r="O614" s="27"/>
      <c r="P614" s="137"/>
    </row>
    <row r="615" spans="1:16" x14ac:dyDescent="0.3">
      <c r="A615" s="27"/>
      <c r="B615" s="27"/>
      <c r="C615" s="27"/>
      <c r="D615" s="27"/>
      <c r="E615" s="27"/>
      <c r="F615" s="27"/>
      <c r="G615" s="27"/>
      <c r="H615" s="27"/>
      <c r="I615" s="28"/>
      <c r="J615" s="27"/>
      <c r="K615" s="29"/>
      <c r="L615" s="31"/>
      <c r="M615" s="28"/>
      <c r="N615" s="30"/>
      <c r="O615" s="27"/>
      <c r="P615" s="137"/>
    </row>
    <row r="616" spans="1:16" x14ac:dyDescent="0.3">
      <c r="A616" s="27"/>
      <c r="B616" s="27"/>
      <c r="C616" s="27"/>
      <c r="D616" s="27"/>
      <c r="E616" s="27"/>
      <c r="F616" s="27"/>
      <c r="G616" s="27"/>
      <c r="H616" s="27"/>
      <c r="I616" s="28"/>
      <c r="J616" s="27"/>
      <c r="K616" s="29"/>
      <c r="L616" s="31"/>
      <c r="M616" s="28"/>
      <c r="N616" s="30"/>
      <c r="O616" s="27"/>
      <c r="P616" s="137"/>
    </row>
    <row r="617" spans="1:16" x14ac:dyDescent="0.3">
      <c r="A617" s="27"/>
      <c r="B617" s="27"/>
      <c r="C617" s="27"/>
      <c r="D617" s="27"/>
      <c r="E617" s="27"/>
      <c r="F617" s="27"/>
      <c r="G617" s="27"/>
      <c r="H617" s="27"/>
      <c r="I617" s="28"/>
      <c r="J617" s="27"/>
      <c r="K617" s="29"/>
      <c r="L617" s="31"/>
      <c r="M617" s="28"/>
      <c r="N617" s="30"/>
      <c r="O617" s="27"/>
      <c r="P617" s="137"/>
    </row>
    <row r="618" spans="1:16" x14ac:dyDescent="0.3">
      <c r="A618" s="27"/>
      <c r="B618" s="27"/>
      <c r="C618" s="27"/>
      <c r="D618" s="27"/>
      <c r="E618" s="27"/>
      <c r="F618" s="27"/>
      <c r="G618" s="27"/>
      <c r="H618" s="27"/>
      <c r="I618" s="28"/>
      <c r="J618" s="27"/>
      <c r="K618" s="29"/>
      <c r="L618" s="31"/>
      <c r="M618" s="28"/>
      <c r="N618" s="30"/>
      <c r="O618" s="27"/>
      <c r="P618" s="137"/>
    </row>
    <row r="619" spans="1:16" x14ac:dyDescent="0.3">
      <c r="A619" s="27"/>
      <c r="B619" s="27"/>
      <c r="C619" s="27"/>
      <c r="D619" s="27"/>
      <c r="E619" s="27"/>
      <c r="F619" s="27"/>
      <c r="G619" s="27"/>
      <c r="H619" s="27"/>
      <c r="I619" s="28"/>
      <c r="J619" s="27"/>
      <c r="K619" s="29"/>
      <c r="L619" s="31"/>
      <c r="M619" s="28"/>
      <c r="N619" s="30"/>
      <c r="O619" s="27"/>
      <c r="P619" s="137"/>
    </row>
    <row r="620" spans="1:16" x14ac:dyDescent="0.3">
      <c r="A620" s="27"/>
      <c r="B620" s="27"/>
      <c r="C620" s="27"/>
      <c r="D620" s="27"/>
      <c r="E620" s="27"/>
      <c r="F620" s="27"/>
      <c r="G620" s="27"/>
      <c r="H620" s="27"/>
      <c r="I620" s="28"/>
      <c r="J620" s="27"/>
      <c r="K620" s="29"/>
      <c r="L620" s="31"/>
      <c r="M620" s="28"/>
      <c r="N620" s="30"/>
      <c r="O620" s="27"/>
      <c r="P620" s="137"/>
    </row>
    <row r="621" spans="1:16" x14ac:dyDescent="0.3">
      <c r="A621" s="27"/>
      <c r="B621" s="27"/>
      <c r="C621" s="27"/>
      <c r="D621" s="27"/>
      <c r="E621" s="27"/>
      <c r="F621" s="27"/>
      <c r="G621" s="27"/>
      <c r="H621" s="27"/>
      <c r="I621" s="28"/>
      <c r="J621" s="27"/>
      <c r="K621" s="29"/>
      <c r="L621" s="31"/>
      <c r="M621" s="28"/>
      <c r="N621" s="30"/>
      <c r="O621" s="27"/>
      <c r="P621" s="137"/>
    </row>
    <row r="622" spans="1:16" x14ac:dyDescent="0.3">
      <c r="A622" s="27"/>
      <c r="B622" s="27"/>
      <c r="C622" s="27"/>
      <c r="D622" s="27"/>
      <c r="E622" s="27"/>
      <c r="F622" s="27"/>
      <c r="G622" s="27"/>
      <c r="H622" s="27"/>
      <c r="I622" s="28"/>
      <c r="J622" s="27"/>
      <c r="K622" s="29"/>
      <c r="L622" s="31"/>
      <c r="M622" s="28"/>
      <c r="N622" s="30"/>
      <c r="O622" s="27"/>
      <c r="P622" s="137"/>
    </row>
    <row r="623" spans="1:16" x14ac:dyDescent="0.3">
      <c r="A623" s="27"/>
      <c r="B623" s="27"/>
      <c r="C623" s="27"/>
      <c r="D623" s="27"/>
      <c r="E623" s="27"/>
      <c r="F623" s="27"/>
      <c r="G623" s="27"/>
      <c r="H623" s="27"/>
      <c r="I623" s="28"/>
      <c r="J623" s="27"/>
      <c r="K623" s="29"/>
      <c r="L623" s="31"/>
      <c r="M623" s="28"/>
      <c r="N623" s="30"/>
      <c r="O623" s="27"/>
      <c r="P623" s="137"/>
    </row>
    <row r="624" spans="1:16" x14ac:dyDescent="0.3">
      <c r="A624" s="27"/>
      <c r="B624" s="27"/>
      <c r="C624" s="27"/>
      <c r="D624" s="27"/>
      <c r="E624" s="27"/>
      <c r="F624" s="27"/>
      <c r="G624" s="27"/>
      <c r="H624" s="27"/>
      <c r="I624" s="28"/>
      <c r="J624" s="27"/>
      <c r="K624" s="29"/>
      <c r="L624" s="31"/>
      <c r="M624" s="28"/>
      <c r="N624" s="30"/>
      <c r="O624" s="27"/>
      <c r="P624" s="137"/>
    </row>
    <row r="625" spans="1:16" x14ac:dyDescent="0.3">
      <c r="A625" s="27"/>
      <c r="B625" s="27"/>
      <c r="C625" s="27"/>
      <c r="D625" s="27"/>
      <c r="E625" s="27"/>
      <c r="F625" s="27"/>
      <c r="G625" s="27"/>
      <c r="H625" s="27"/>
      <c r="I625" s="28"/>
      <c r="J625" s="27"/>
      <c r="K625" s="29"/>
      <c r="L625" s="31"/>
      <c r="M625" s="28"/>
      <c r="N625" s="30"/>
      <c r="O625" s="27"/>
      <c r="P625" s="137"/>
    </row>
    <row r="626" spans="1:16" x14ac:dyDescent="0.3">
      <c r="A626" s="27"/>
      <c r="B626" s="27"/>
      <c r="C626" s="27"/>
      <c r="D626" s="27"/>
      <c r="E626" s="27"/>
      <c r="F626" s="27"/>
      <c r="G626" s="27"/>
      <c r="H626" s="27"/>
      <c r="I626" s="28"/>
      <c r="J626" s="27"/>
      <c r="K626" s="29"/>
      <c r="L626" s="31"/>
      <c r="M626" s="28"/>
      <c r="N626" s="30"/>
      <c r="O626" s="27"/>
      <c r="P626" s="137"/>
    </row>
    <row r="627" spans="1:16" x14ac:dyDescent="0.3">
      <c r="A627" s="27"/>
      <c r="B627" s="27"/>
      <c r="C627" s="27"/>
      <c r="D627" s="27"/>
      <c r="E627" s="27"/>
      <c r="F627" s="27"/>
      <c r="G627" s="27"/>
      <c r="H627" s="27"/>
      <c r="I627" s="28"/>
      <c r="J627" s="27"/>
      <c r="K627" s="29"/>
      <c r="L627" s="31"/>
      <c r="M627" s="28"/>
      <c r="N627" s="30"/>
      <c r="O627" s="27"/>
      <c r="P627" s="137"/>
    </row>
    <row r="628" spans="1:16" x14ac:dyDescent="0.3">
      <c r="A628" s="27"/>
      <c r="B628" s="27"/>
      <c r="C628" s="27"/>
      <c r="D628" s="27"/>
      <c r="E628" s="27"/>
      <c r="F628" s="27"/>
      <c r="G628" s="27"/>
      <c r="H628" s="27"/>
      <c r="I628" s="28"/>
      <c r="J628" s="27"/>
      <c r="K628" s="29"/>
      <c r="L628" s="31"/>
      <c r="M628" s="28"/>
      <c r="N628" s="30"/>
      <c r="O628" s="27"/>
      <c r="P628" s="137"/>
    </row>
    <row r="629" spans="1:16" x14ac:dyDescent="0.3">
      <c r="A629" s="27"/>
      <c r="B629" s="27"/>
      <c r="C629" s="27"/>
      <c r="D629" s="27"/>
      <c r="E629" s="27"/>
      <c r="F629" s="27"/>
      <c r="G629" s="27"/>
      <c r="H629" s="27"/>
      <c r="I629" s="28"/>
      <c r="J629" s="27"/>
      <c r="K629" s="29"/>
      <c r="L629" s="31"/>
      <c r="M629" s="28"/>
      <c r="N629" s="30"/>
      <c r="O629" s="27"/>
      <c r="P629" s="137"/>
    </row>
    <row r="630" spans="1:16" x14ac:dyDescent="0.3">
      <c r="A630" s="27"/>
      <c r="B630" s="27"/>
      <c r="C630" s="27"/>
      <c r="D630" s="27"/>
      <c r="E630" s="27"/>
      <c r="F630" s="27"/>
      <c r="G630" s="27"/>
      <c r="H630" s="27"/>
      <c r="I630" s="28"/>
      <c r="J630" s="27"/>
      <c r="K630" s="29"/>
      <c r="L630" s="31"/>
      <c r="M630" s="28"/>
      <c r="N630" s="30"/>
      <c r="O630" s="27"/>
      <c r="P630" s="137"/>
    </row>
    <row r="631" spans="1:16" x14ac:dyDescent="0.3">
      <c r="A631" s="27"/>
      <c r="B631" s="27"/>
      <c r="C631" s="27"/>
      <c r="D631" s="27"/>
      <c r="E631" s="27"/>
      <c r="F631" s="27"/>
      <c r="G631" s="27"/>
      <c r="H631" s="27"/>
      <c r="I631" s="28"/>
      <c r="J631" s="27"/>
      <c r="K631" s="29"/>
      <c r="L631" s="31"/>
      <c r="M631" s="28"/>
      <c r="N631" s="30"/>
      <c r="O631" s="27"/>
      <c r="P631" s="137"/>
    </row>
    <row r="632" spans="1:16" x14ac:dyDescent="0.3">
      <c r="A632" s="27"/>
      <c r="B632" s="27"/>
      <c r="C632" s="27"/>
      <c r="D632" s="27"/>
      <c r="E632" s="27"/>
      <c r="F632" s="27"/>
      <c r="G632" s="27"/>
      <c r="H632" s="27"/>
      <c r="I632" s="28"/>
      <c r="J632" s="27"/>
      <c r="K632" s="29"/>
      <c r="L632" s="31"/>
      <c r="M632" s="28"/>
      <c r="N632" s="30"/>
      <c r="O632" s="27"/>
      <c r="P632" s="137"/>
    </row>
    <row r="633" spans="1:16" x14ac:dyDescent="0.3">
      <c r="A633" s="27"/>
      <c r="B633" s="27"/>
      <c r="C633" s="27"/>
      <c r="D633" s="27"/>
      <c r="E633" s="27"/>
      <c r="F633" s="27"/>
      <c r="G633" s="27"/>
      <c r="H633" s="27"/>
      <c r="I633" s="28"/>
      <c r="J633" s="27"/>
      <c r="K633" s="29"/>
      <c r="L633" s="31"/>
      <c r="M633" s="28"/>
      <c r="N633" s="30"/>
      <c r="O633" s="27"/>
      <c r="P633" s="137"/>
    </row>
    <row r="634" spans="1:16" x14ac:dyDescent="0.3">
      <c r="A634" s="27"/>
      <c r="B634" s="27"/>
      <c r="C634" s="27"/>
      <c r="D634" s="27"/>
      <c r="E634" s="27"/>
      <c r="F634" s="27"/>
      <c r="G634" s="27"/>
      <c r="H634" s="27"/>
      <c r="I634" s="28"/>
      <c r="J634" s="27"/>
      <c r="K634" s="29"/>
      <c r="L634" s="31"/>
      <c r="M634" s="28"/>
      <c r="N634" s="30"/>
      <c r="O634" s="27"/>
      <c r="P634" s="137"/>
    </row>
    <row r="635" spans="1:16" x14ac:dyDescent="0.3">
      <c r="A635" s="27"/>
      <c r="B635" s="27"/>
      <c r="C635" s="27"/>
      <c r="D635" s="27"/>
      <c r="E635" s="27"/>
      <c r="F635" s="27"/>
      <c r="G635" s="27"/>
      <c r="H635" s="27"/>
      <c r="I635" s="28"/>
      <c r="J635" s="27"/>
      <c r="K635" s="29"/>
      <c r="L635" s="31"/>
      <c r="M635" s="28"/>
      <c r="N635" s="30"/>
      <c r="O635" s="27"/>
      <c r="P635" s="137"/>
    </row>
    <row r="636" spans="1:16" x14ac:dyDescent="0.3">
      <c r="A636" s="27"/>
      <c r="B636" s="27"/>
      <c r="C636" s="27"/>
      <c r="D636" s="27"/>
      <c r="E636" s="27"/>
      <c r="F636" s="27"/>
      <c r="G636" s="27"/>
      <c r="H636" s="27"/>
      <c r="I636" s="28"/>
      <c r="J636" s="27"/>
      <c r="K636" s="29"/>
      <c r="L636" s="31"/>
      <c r="M636" s="28"/>
      <c r="N636" s="30"/>
      <c r="O636" s="27"/>
      <c r="P636" s="137"/>
    </row>
    <row r="637" spans="1:16" x14ac:dyDescent="0.3">
      <c r="A637" s="27"/>
      <c r="B637" s="27"/>
      <c r="C637" s="27"/>
      <c r="D637" s="27"/>
      <c r="E637" s="27"/>
      <c r="F637" s="27"/>
      <c r="G637" s="27"/>
      <c r="H637" s="27"/>
      <c r="I637" s="28"/>
      <c r="J637" s="27"/>
      <c r="K637" s="29"/>
      <c r="L637" s="31"/>
      <c r="M637" s="28"/>
      <c r="N637" s="30"/>
      <c r="O637" s="27"/>
      <c r="P637" s="137"/>
    </row>
    <row r="638" spans="1:16" x14ac:dyDescent="0.3">
      <c r="A638" s="27"/>
      <c r="B638" s="27"/>
      <c r="C638" s="27"/>
      <c r="D638" s="27"/>
      <c r="E638" s="27"/>
      <c r="F638" s="27"/>
      <c r="G638" s="27"/>
      <c r="H638" s="27"/>
      <c r="I638" s="28"/>
      <c r="J638" s="27"/>
      <c r="K638" s="29"/>
      <c r="L638" s="31"/>
      <c r="M638" s="28"/>
      <c r="N638" s="30"/>
      <c r="O638" s="27"/>
      <c r="P638" s="137"/>
    </row>
    <row r="639" spans="1:16" x14ac:dyDescent="0.3">
      <c r="A639" s="27"/>
      <c r="B639" s="27"/>
      <c r="C639" s="27"/>
      <c r="D639" s="27"/>
      <c r="E639" s="27"/>
      <c r="F639" s="27"/>
      <c r="G639" s="27"/>
      <c r="H639" s="27"/>
      <c r="I639" s="28"/>
      <c r="J639" s="27"/>
      <c r="K639" s="29"/>
      <c r="L639" s="31"/>
      <c r="M639" s="28"/>
      <c r="N639" s="30"/>
      <c r="O639" s="27"/>
      <c r="P639" s="137"/>
    </row>
    <row r="640" spans="1:16" x14ac:dyDescent="0.3">
      <c r="A640" s="27"/>
      <c r="B640" s="27"/>
      <c r="C640" s="27"/>
      <c r="D640" s="27"/>
      <c r="E640" s="27"/>
      <c r="F640" s="27"/>
      <c r="G640" s="27"/>
      <c r="H640" s="27"/>
      <c r="I640" s="28"/>
      <c r="J640" s="27"/>
      <c r="K640" s="29"/>
      <c r="L640" s="31"/>
      <c r="M640" s="28"/>
      <c r="N640" s="30"/>
      <c r="O640" s="27"/>
      <c r="P640" s="137"/>
    </row>
    <row r="641" spans="1:16" x14ac:dyDescent="0.3">
      <c r="A641" s="27"/>
      <c r="B641" s="27"/>
      <c r="C641" s="27"/>
      <c r="D641" s="27"/>
      <c r="E641" s="27"/>
      <c r="F641" s="27"/>
      <c r="G641" s="27"/>
      <c r="H641" s="27"/>
      <c r="I641" s="28"/>
      <c r="J641" s="27"/>
      <c r="K641" s="29"/>
      <c r="L641" s="31"/>
      <c r="M641" s="28"/>
      <c r="N641" s="30"/>
      <c r="O641" s="27"/>
      <c r="P641" s="137"/>
    </row>
    <row r="642" spans="1:16" x14ac:dyDescent="0.3">
      <c r="A642" s="27"/>
      <c r="B642" s="27"/>
      <c r="C642" s="27"/>
      <c r="D642" s="27"/>
      <c r="E642" s="27"/>
      <c r="F642" s="27"/>
      <c r="G642" s="27"/>
      <c r="H642" s="27"/>
      <c r="I642" s="28"/>
      <c r="J642" s="27"/>
      <c r="K642" s="29"/>
      <c r="L642" s="31"/>
      <c r="M642" s="28"/>
      <c r="N642" s="30"/>
      <c r="O642" s="27"/>
      <c r="P642" s="137"/>
    </row>
    <row r="643" spans="1:16" x14ac:dyDescent="0.3">
      <c r="A643" s="27"/>
      <c r="B643" s="27"/>
      <c r="C643" s="27"/>
      <c r="D643" s="27"/>
      <c r="E643" s="27"/>
      <c r="F643" s="27"/>
      <c r="G643" s="27"/>
      <c r="H643" s="27"/>
      <c r="I643" s="28"/>
      <c r="J643" s="27"/>
      <c r="K643" s="29"/>
      <c r="L643" s="31"/>
      <c r="M643" s="28"/>
      <c r="N643" s="30"/>
      <c r="O643" s="27"/>
      <c r="P643" s="137"/>
    </row>
    <row r="644" spans="1:16" x14ac:dyDescent="0.3">
      <c r="A644" s="27"/>
      <c r="B644" s="27"/>
      <c r="C644" s="27"/>
      <c r="D644" s="27"/>
      <c r="E644" s="27"/>
      <c r="F644" s="27"/>
      <c r="G644" s="27"/>
      <c r="H644" s="27"/>
      <c r="I644" s="28"/>
      <c r="J644" s="27"/>
      <c r="K644" s="29"/>
      <c r="L644" s="31"/>
      <c r="M644" s="28"/>
      <c r="N644" s="30"/>
      <c r="O644" s="27"/>
      <c r="P644" s="137"/>
    </row>
    <row r="645" spans="1:16" x14ac:dyDescent="0.3">
      <c r="A645" s="27"/>
      <c r="B645" s="27"/>
      <c r="C645" s="27"/>
      <c r="D645" s="27"/>
      <c r="E645" s="27"/>
      <c r="F645" s="27"/>
      <c r="G645" s="27"/>
      <c r="H645" s="27"/>
      <c r="I645" s="28"/>
      <c r="J645" s="27"/>
      <c r="K645" s="29"/>
      <c r="L645" s="31"/>
      <c r="M645" s="28"/>
      <c r="N645" s="30"/>
      <c r="O645" s="27"/>
      <c r="P645" s="137"/>
    </row>
    <row r="646" spans="1:16" x14ac:dyDescent="0.3">
      <c r="A646" s="27"/>
      <c r="B646" s="27"/>
      <c r="C646" s="27"/>
      <c r="D646" s="27"/>
      <c r="E646" s="27"/>
      <c r="F646" s="27"/>
      <c r="G646" s="27"/>
      <c r="H646" s="27"/>
      <c r="I646" s="28"/>
      <c r="J646" s="27"/>
      <c r="K646" s="29"/>
      <c r="L646" s="31"/>
      <c r="M646" s="28"/>
      <c r="N646" s="30"/>
      <c r="O646" s="27"/>
      <c r="P646" s="137"/>
    </row>
    <row r="647" spans="1:16" x14ac:dyDescent="0.3">
      <c r="A647" s="27"/>
      <c r="B647" s="27"/>
      <c r="C647" s="27"/>
      <c r="D647" s="27"/>
      <c r="E647" s="27"/>
      <c r="F647" s="27"/>
      <c r="G647" s="27"/>
      <c r="H647" s="27"/>
      <c r="I647" s="28"/>
      <c r="J647" s="27"/>
      <c r="K647" s="29"/>
      <c r="L647" s="31"/>
      <c r="M647" s="28"/>
      <c r="N647" s="30"/>
      <c r="O647" s="27"/>
      <c r="P647" s="137"/>
    </row>
    <row r="648" spans="1:16" x14ac:dyDescent="0.3">
      <c r="A648" s="27"/>
      <c r="B648" s="27"/>
      <c r="C648" s="27"/>
      <c r="D648" s="27"/>
      <c r="E648" s="27"/>
      <c r="F648" s="27"/>
      <c r="G648" s="27"/>
      <c r="H648" s="27"/>
      <c r="I648" s="28"/>
      <c r="J648" s="27"/>
      <c r="K648" s="29"/>
      <c r="L648" s="31"/>
      <c r="M648" s="28"/>
      <c r="N648" s="30"/>
      <c r="O648" s="27"/>
      <c r="P648" s="137"/>
    </row>
    <row r="649" spans="1:16" x14ac:dyDescent="0.3">
      <c r="A649" s="27"/>
      <c r="B649" s="27"/>
      <c r="C649" s="27"/>
      <c r="D649" s="27"/>
      <c r="E649" s="27"/>
      <c r="F649" s="27"/>
      <c r="G649" s="27"/>
      <c r="H649" s="27"/>
      <c r="I649" s="28"/>
      <c r="J649" s="27"/>
      <c r="K649" s="29"/>
      <c r="L649" s="31"/>
      <c r="M649" s="28"/>
      <c r="N649" s="30"/>
      <c r="O649" s="27"/>
      <c r="P649" s="137"/>
    </row>
    <row r="650" spans="1:16" x14ac:dyDescent="0.3">
      <c r="A650" s="27"/>
      <c r="B650" s="27"/>
      <c r="C650" s="27"/>
      <c r="D650" s="27"/>
      <c r="E650" s="27"/>
      <c r="F650" s="27"/>
      <c r="G650" s="27"/>
      <c r="H650" s="27"/>
      <c r="I650" s="28"/>
      <c r="J650" s="27"/>
      <c r="K650" s="29"/>
      <c r="L650" s="31"/>
      <c r="M650" s="28"/>
      <c r="N650" s="30"/>
      <c r="O650" s="27"/>
      <c r="P650" s="137"/>
    </row>
    <row r="651" spans="1:16" x14ac:dyDescent="0.3">
      <c r="A651" s="27"/>
      <c r="B651" s="27"/>
      <c r="C651" s="27"/>
      <c r="D651" s="27"/>
      <c r="E651" s="27"/>
      <c r="F651" s="27"/>
      <c r="G651" s="27"/>
      <c r="H651" s="27"/>
      <c r="I651" s="28"/>
      <c r="J651" s="27"/>
      <c r="K651" s="29"/>
      <c r="L651" s="31"/>
      <c r="M651" s="28"/>
      <c r="N651" s="30"/>
      <c r="O651" s="27"/>
      <c r="P651" s="137"/>
    </row>
    <row r="652" spans="1:16" x14ac:dyDescent="0.3">
      <c r="A652" s="27"/>
      <c r="B652" s="27"/>
      <c r="C652" s="27"/>
      <c r="D652" s="27"/>
      <c r="E652" s="27"/>
      <c r="F652" s="27"/>
      <c r="G652" s="27"/>
      <c r="H652" s="27"/>
      <c r="I652" s="28"/>
      <c r="J652" s="27"/>
      <c r="K652" s="29"/>
      <c r="L652" s="31"/>
      <c r="M652" s="28"/>
      <c r="N652" s="30"/>
      <c r="O652" s="27"/>
      <c r="P652" s="137"/>
    </row>
    <row r="653" spans="1:16" x14ac:dyDescent="0.3">
      <c r="A653" s="27"/>
      <c r="B653" s="27"/>
      <c r="C653" s="27"/>
      <c r="D653" s="27"/>
      <c r="E653" s="27"/>
      <c r="F653" s="27"/>
      <c r="G653" s="27"/>
      <c r="H653" s="27"/>
      <c r="I653" s="28"/>
      <c r="J653" s="27"/>
      <c r="K653" s="29"/>
      <c r="L653" s="31"/>
      <c r="M653" s="28"/>
      <c r="N653" s="30"/>
      <c r="O653" s="27"/>
      <c r="P653" s="137"/>
    </row>
    <row r="654" spans="1:16" x14ac:dyDescent="0.3">
      <c r="A654" s="27"/>
      <c r="B654" s="27"/>
      <c r="C654" s="27"/>
      <c r="D654" s="27"/>
      <c r="E654" s="27"/>
      <c r="F654" s="27"/>
      <c r="G654" s="27"/>
      <c r="H654" s="27"/>
      <c r="I654" s="28"/>
      <c r="J654" s="27"/>
      <c r="K654" s="29"/>
      <c r="L654" s="31"/>
      <c r="M654" s="28"/>
      <c r="N654" s="30"/>
      <c r="O654" s="27"/>
      <c r="P654" s="137"/>
    </row>
    <row r="655" spans="1:16" x14ac:dyDescent="0.3">
      <c r="A655" s="27"/>
      <c r="B655" s="27"/>
      <c r="C655" s="27"/>
      <c r="D655" s="27"/>
      <c r="E655" s="27"/>
      <c r="F655" s="27"/>
      <c r="G655" s="27"/>
      <c r="H655" s="27"/>
      <c r="I655" s="28"/>
      <c r="J655" s="27"/>
      <c r="K655" s="29"/>
      <c r="L655" s="31"/>
      <c r="M655" s="28"/>
      <c r="N655" s="30"/>
      <c r="O655" s="27"/>
      <c r="P655" s="137"/>
    </row>
    <row r="656" spans="1:16" x14ac:dyDescent="0.3">
      <c r="A656" s="27"/>
      <c r="B656" s="27"/>
      <c r="C656" s="27"/>
      <c r="D656" s="27"/>
      <c r="E656" s="27"/>
      <c r="F656" s="27"/>
      <c r="G656" s="27"/>
      <c r="H656" s="27"/>
      <c r="I656" s="28"/>
      <c r="J656" s="27"/>
      <c r="K656" s="29"/>
      <c r="L656" s="31"/>
      <c r="M656" s="28"/>
      <c r="N656" s="30"/>
      <c r="O656" s="27"/>
      <c r="P656" s="137"/>
    </row>
    <row r="657" spans="1:16" x14ac:dyDescent="0.3">
      <c r="A657" s="27"/>
      <c r="B657" s="27"/>
      <c r="C657" s="27"/>
      <c r="D657" s="27"/>
      <c r="E657" s="27"/>
      <c r="F657" s="27"/>
      <c r="G657" s="27"/>
      <c r="H657" s="27"/>
      <c r="I657" s="28"/>
      <c r="J657" s="27"/>
      <c r="K657" s="29"/>
      <c r="L657" s="31"/>
      <c r="M657" s="28"/>
      <c r="N657" s="30"/>
      <c r="O657" s="27"/>
      <c r="P657" s="137"/>
    </row>
    <row r="658" spans="1:16" x14ac:dyDescent="0.3">
      <c r="A658" s="27"/>
      <c r="B658" s="27"/>
      <c r="C658" s="27"/>
      <c r="D658" s="27"/>
      <c r="E658" s="27"/>
      <c r="F658" s="27"/>
      <c r="G658" s="27"/>
      <c r="H658" s="27"/>
      <c r="I658" s="28"/>
      <c r="J658" s="27"/>
      <c r="K658" s="29"/>
      <c r="L658" s="31"/>
      <c r="M658" s="28"/>
      <c r="N658" s="30"/>
      <c r="O658" s="27"/>
      <c r="P658" s="137"/>
    </row>
    <row r="659" spans="1:16" x14ac:dyDescent="0.3">
      <c r="A659" s="27"/>
      <c r="B659" s="27"/>
      <c r="C659" s="27"/>
      <c r="D659" s="27"/>
      <c r="E659" s="27"/>
      <c r="F659" s="27"/>
      <c r="G659" s="27"/>
      <c r="H659" s="27"/>
      <c r="I659" s="28"/>
      <c r="J659" s="27"/>
      <c r="K659" s="29"/>
      <c r="L659" s="31"/>
      <c r="M659" s="28"/>
      <c r="N659" s="30"/>
      <c r="O659" s="27"/>
      <c r="P659" s="137"/>
    </row>
    <row r="660" spans="1:16" x14ac:dyDescent="0.3">
      <c r="A660" s="27"/>
      <c r="B660" s="27"/>
      <c r="C660" s="27"/>
      <c r="D660" s="27"/>
      <c r="E660" s="27"/>
      <c r="F660" s="27"/>
      <c r="G660" s="27"/>
      <c r="H660" s="27"/>
      <c r="I660" s="28"/>
      <c r="J660" s="27"/>
      <c r="K660" s="29"/>
      <c r="L660" s="31"/>
      <c r="M660" s="28"/>
      <c r="N660" s="30"/>
      <c r="O660" s="27"/>
      <c r="P660" s="137"/>
    </row>
    <row r="661" spans="1:16" x14ac:dyDescent="0.3">
      <c r="A661" s="27"/>
      <c r="B661" s="27"/>
      <c r="C661" s="27"/>
      <c r="D661" s="27"/>
      <c r="E661" s="27"/>
      <c r="F661" s="27"/>
      <c r="G661" s="27"/>
      <c r="H661" s="27"/>
      <c r="I661" s="28"/>
      <c r="J661" s="27"/>
      <c r="K661" s="29"/>
      <c r="L661" s="31"/>
      <c r="M661" s="28"/>
      <c r="N661" s="30"/>
      <c r="O661" s="27"/>
      <c r="P661" s="137"/>
    </row>
    <row r="662" spans="1:16" x14ac:dyDescent="0.3">
      <c r="A662" s="27"/>
      <c r="B662" s="27"/>
      <c r="C662" s="27"/>
      <c r="D662" s="27"/>
      <c r="E662" s="27"/>
      <c r="F662" s="27"/>
      <c r="G662" s="27"/>
      <c r="H662" s="27"/>
      <c r="I662" s="28"/>
      <c r="J662" s="27"/>
      <c r="K662" s="29"/>
      <c r="L662" s="31"/>
      <c r="M662" s="28"/>
      <c r="N662" s="30"/>
      <c r="O662" s="27"/>
      <c r="P662" s="137"/>
    </row>
    <row r="663" spans="1:16" x14ac:dyDescent="0.3">
      <c r="A663" s="27"/>
      <c r="B663" s="27"/>
      <c r="C663" s="27"/>
      <c r="D663" s="27"/>
      <c r="E663" s="27"/>
      <c r="F663" s="27"/>
      <c r="G663" s="27"/>
      <c r="H663" s="27"/>
      <c r="I663" s="28"/>
      <c r="J663" s="27"/>
      <c r="K663" s="29"/>
      <c r="L663" s="31"/>
      <c r="M663" s="28"/>
      <c r="N663" s="30"/>
      <c r="O663" s="27"/>
      <c r="P663" s="137"/>
    </row>
    <row r="664" spans="1:16" x14ac:dyDescent="0.3">
      <c r="A664" s="27"/>
      <c r="B664" s="27"/>
      <c r="C664" s="27"/>
      <c r="D664" s="27"/>
      <c r="E664" s="27"/>
      <c r="F664" s="27"/>
      <c r="G664" s="27"/>
      <c r="H664" s="27"/>
      <c r="I664" s="28"/>
      <c r="J664" s="27"/>
      <c r="K664" s="29"/>
      <c r="L664" s="31"/>
      <c r="M664" s="28"/>
      <c r="N664" s="30"/>
      <c r="O664" s="27"/>
      <c r="P664" s="137"/>
    </row>
    <row r="665" spans="1:16" x14ac:dyDescent="0.3">
      <c r="A665" s="27"/>
      <c r="B665" s="27"/>
      <c r="C665" s="27"/>
      <c r="D665" s="27"/>
      <c r="E665" s="27"/>
      <c r="F665" s="27"/>
      <c r="G665" s="27"/>
      <c r="H665" s="27"/>
      <c r="I665" s="28"/>
      <c r="J665" s="27"/>
      <c r="K665" s="29"/>
      <c r="L665" s="31"/>
      <c r="M665" s="28"/>
      <c r="N665" s="30"/>
      <c r="O665" s="27"/>
      <c r="P665" s="137"/>
    </row>
    <row r="666" spans="1:16" x14ac:dyDescent="0.3">
      <c r="A666" s="27"/>
      <c r="B666" s="27"/>
      <c r="C666" s="27"/>
      <c r="D666" s="27"/>
      <c r="E666" s="27"/>
      <c r="F666" s="27"/>
      <c r="G666" s="27"/>
      <c r="H666" s="27"/>
      <c r="I666" s="28"/>
      <c r="J666" s="27"/>
      <c r="K666" s="29"/>
      <c r="L666" s="31"/>
      <c r="M666" s="28"/>
      <c r="N666" s="30"/>
      <c r="O666" s="27"/>
      <c r="P666" s="137"/>
    </row>
    <row r="667" spans="1:16" x14ac:dyDescent="0.3">
      <c r="A667" s="27"/>
      <c r="B667" s="27"/>
      <c r="C667" s="27"/>
      <c r="D667" s="27"/>
      <c r="E667" s="27"/>
      <c r="F667" s="27"/>
      <c r="G667" s="27"/>
      <c r="H667" s="27"/>
      <c r="I667" s="28"/>
      <c r="J667" s="27"/>
      <c r="K667" s="29"/>
      <c r="L667" s="31"/>
      <c r="M667" s="28"/>
      <c r="N667" s="30"/>
      <c r="O667" s="27"/>
      <c r="P667" s="137"/>
    </row>
    <row r="668" spans="1:16" x14ac:dyDescent="0.3">
      <c r="A668" s="27"/>
      <c r="B668" s="27"/>
      <c r="C668" s="27"/>
      <c r="D668" s="27"/>
      <c r="E668" s="27"/>
      <c r="F668" s="27"/>
      <c r="G668" s="27"/>
      <c r="H668" s="27"/>
      <c r="I668" s="28"/>
      <c r="J668" s="27"/>
      <c r="K668" s="29"/>
      <c r="L668" s="31"/>
      <c r="M668" s="28"/>
      <c r="N668" s="30"/>
      <c r="O668" s="27"/>
      <c r="P668" s="137"/>
    </row>
    <row r="669" spans="1:16" x14ac:dyDescent="0.3">
      <c r="A669" s="27"/>
      <c r="B669" s="27"/>
      <c r="C669" s="27"/>
      <c r="D669" s="27"/>
      <c r="E669" s="27"/>
      <c r="F669" s="27"/>
      <c r="G669" s="27"/>
      <c r="H669" s="27"/>
      <c r="I669" s="28"/>
      <c r="J669" s="27"/>
      <c r="K669" s="29"/>
      <c r="L669" s="31"/>
      <c r="M669" s="28"/>
      <c r="N669" s="30"/>
      <c r="O669" s="27"/>
      <c r="P669" s="137"/>
    </row>
    <row r="670" spans="1:16" x14ac:dyDescent="0.3">
      <c r="A670" s="27"/>
      <c r="B670" s="27"/>
      <c r="C670" s="27"/>
      <c r="D670" s="27"/>
      <c r="E670" s="27"/>
      <c r="F670" s="27"/>
      <c r="G670" s="27"/>
      <c r="H670" s="27"/>
      <c r="I670" s="28"/>
      <c r="J670" s="27"/>
      <c r="K670" s="29"/>
      <c r="L670" s="31"/>
      <c r="M670" s="28"/>
      <c r="N670" s="30"/>
      <c r="O670" s="27"/>
      <c r="P670" s="137"/>
    </row>
    <row r="671" spans="1:16" x14ac:dyDescent="0.3">
      <c r="A671" s="27"/>
      <c r="B671" s="27"/>
      <c r="C671" s="27"/>
      <c r="D671" s="27"/>
      <c r="E671" s="27"/>
      <c r="F671" s="27"/>
      <c r="G671" s="27"/>
      <c r="H671" s="27"/>
      <c r="I671" s="28"/>
      <c r="J671" s="27"/>
      <c r="K671" s="29"/>
      <c r="L671" s="31"/>
      <c r="M671" s="28"/>
      <c r="N671" s="30"/>
      <c r="O671" s="27"/>
      <c r="P671" s="137"/>
    </row>
    <row r="672" spans="1:16" x14ac:dyDescent="0.3">
      <c r="A672" s="27"/>
      <c r="B672" s="27"/>
      <c r="C672" s="27"/>
      <c r="D672" s="27"/>
      <c r="E672" s="27"/>
      <c r="F672" s="27"/>
      <c r="G672" s="27"/>
      <c r="H672" s="27"/>
      <c r="I672" s="28"/>
      <c r="J672" s="27"/>
      <c r="K672" s="29"/>
      <c r="L672" s="31"/>
      <c r="M672" s="28"/>
      <c r="N672" s="30"/>
      <c r="O672" s="27"/>
      <c r="P672" s="137"/>
    </row>
    <row r="673" spans="1:16" x14ac:dyDescent="0.3">
      <c r="A673" s="27"/>
      <c r="B673" s="27"/>
      <c r="C673" s="27"/>
      <c r="D673" s="27"/>
      <c r="E673" s="27"/>
      <c r="F673" s="27"/>
      <c r="G673" s="27"/>
      <c r="H673" s="27"/>
      <c r="I673" s="28"/>
      <c r="J673" s="27"/>
      <c r="K673" s="29"/>
      <c r="L673" s="31"/>
      <c r="M673" s="28"/>
      <c r="N673" s="30"/>
      <c r="O673" s="27"/>
      <c r="P673" s="137"/>
    </row>
    <row r="674" spans="1:16" x14ac:dyDescent="0.3">
      <c r="A674" s="27"/>
      <c r="B674" s="27"/>
      <c r="C674" s="27"/>
      <c r="D674" s="27"/>
      <c r="E674" s="27"/>
      <c r="F674" s="27"/>
      <c r="G674" s="27"/>
      <c r="H674" s="27"/>
      <c r="I674" s="28"/>
      <c r="J674" s="27"/>
      <c r="K674" s="29"/>
      <c r="L674" s="31"/>
      <c r="M674" s="28"/>
      <c r="N674" s="30"/>
      <c r="O674" s="27"/>
      <c r="P674" s="137"/>
    </row>
    <row r="675" spans="1:16" x14ac:dyDescent="0.3">
      <c r="A675" s="27"/>
      <c r="B675" s="27"/>
      <c r="C675" s="27"/>
      <c r="D675" s="27"/>
      <c r="E675" s="27"/>
      <c r="F675" s="27"/>
      <c r="G675" s="27"/>
      <c r="H675" s="27"/>
      <c r="I675" s="28"/>
      <c r="J675" s="27"/>
      <c r="K675" s="29"/>
      <c r="L675" s="31"/>
      <c r="M675" s="28"/>
      <c r="N675" s="30"/>
      <c r="O675" s="27"/>
      <c r="P675" s="137"/>
    </row>
    <row r="676" spans="1:16" x14ac:dyDescent="0.3">
      <c r="A676" s="27"/>
      <c r="B676" s="27"/>
      <c r="C676" s="27"/>
      <c r="D676" s="27"/>
      <c r="E676" s="27"/>
      <c r="F676" s="27"/>
      <c r="G676" s="27"/>
      <c r="H676" s="27"/>
      <c r="I676" s="28"/>
      <c r="J676" s="27"/>
      <c r="K676" s="29"/>
      <c r="L676" s="31"/>
      <c r="M676" s="28"/>
      <c r="N676" s="30"/>
      <c r="O676" s="27"/>
      <c r="P676" s="137"/>
    </row>
    <row r="677" spans="1:16" x14ac:dyDescent="0.3">
      <c r="A677" s="27"/>
      <c r="B677" s="27"/>
      <c r="C677" s="27"/>
      <c r="D677" s="27"/>
      <c r="E677" s="27"/>
      <c r="F677" s="27"/>
      <c r="G677" s="27"/>
      <c r="H677" s="27"/>
      <c r="I677" s="28"/>
      <c r="J677" s="27"/>
      <c r="K677" s="29"/>
      <c r="L677" s="31"/>
      <c r="M677" s="28"/>
      <c r="N677" s="30"/>
      <c r="O677" s="27"/>
      <c r="P677" s="137"/>
    </row>
    <row r="678" spans="1:16" x14ac:dyDescent="0.3">
      <c r="A678" s="27"/>
      <c r="B678" s="27"/>
      <c r="C678" s="27"/>
      <c r="D678" s="27"/>
      <c r="E678" s="27"/>
      <c r="F678" s="27"/>
      <c r="G678" s="27"/>
      <c r="H678" s="27"/>
      <c r="I678" s="28"/>
      <c r="J678" s="27"/>
      <c r="K678" s="29"/>
      <c r="L678" s="31"/>
      <c r="M678" s="28"/>
      <c r="N678" s="30"/>
      <c r="O678" s="27"/>
      <c r="P678" s="137"/>
    </row>
    <row r="679" spans="1:16" x14ac:dyDescent="0.3">
      <c r="A679" s="27"/>
      <c r="B679" s="27"/>
      <c r="C679" s="27"/>
      <c r="D679" s="27"/>
      <c r="E679" s="27"/>
      <c r="F679" s="27"/>
      <c r="G679" s="27"/>
      <c r="H679" s="27"/>
      <c r="I679" s="28"/>
      <c r="J679" s="27"/>
      <c r="K679" s="29"/>
      <c r="L679" s="31"/>
      <c r="M679" s="28"/>
      <c r="N679" s="30"/>
      <c r="O679" s="27"/>
      <c r="P679" s="137"/>
    </row>
    <row r="680" spans="1:16" x14ac:dyDescent="0.3">
      <c r="A680" s="27"/>
      <c r="B680" s="27"/>
      <c r="C680" s="27"/>
      <c r="D680" s="27"/>
      <c r="E680" s="27"/>
      <c r="F680" s="27"/>
      <c r="G680" s="27"/>
      <c r="H680" s="27"/>
      <c r="I680" s="28"/>
      <c r="J680" s="27"/>
      <c r="K680" s="29"/>
      <c r="L680" s="31"/>
      <c r="M680" s="28"/>
      <c r="N680" s="30"/>
      <c r="O680" s="27"/>
      <c r="P680" s="137"/>
    </row>
    <row r="681" spans="1:16" x14ac:dyDescent="0.3">
      <c r="A681" s="27"/>
      <c r="B681" s="27"/>
      <c r="C681" s="27"/>
      <c r="D681" s="27"/>
      <c r="E681" s="27"/>
      <c r="F681" s="27"/>
      <c r="G681" s="27"/>
      <c r="H681" s="27"/>
      <c r="I681" s="28"/>
      <c r="J681" s="27"/>
      <c r="K681" s="29"/>
      <c r="L681" s="31"/>
      <c r="M681" s="28"/>
      <c r="N681" s="30"/>
      <c r="O681" s="27"/>
      <c r="P681" s="137"/>
    </row>
    <row r="682" spans="1:16" x14ac:dyDescent="0.3">
      <c r="A682" s="27"/>
      <c r="B682" s="27"/>
      <c r="C682" s="27"/>
      <c r="D682" s="27"/>
      <c r="E682" s="27"/>
      <c r="F682" s="27"/>
      <c r="G682" s="27"/>
      <c r="H682" s="27"/>
      <c r="I682" s="28"/>
      <c r="J682" s="27"/>
      <c r="K682" s="29"/>
      <c r="L682" s="31"/>
      <c r="M682" s="28"/>
      <c r="N682" s="30"/>
      <c r="O682" s="27"/>
      <c r="P682" s="137"/>
    </row>
    <row r="683" spans="1:16" x14ac:dyDescent="0.3">
      <c r="A683" s="27"/>
      <c r="B683" s="27"/>
      <c r="C683" s="27"/>
      <c r="D683" s="27"/>
      <c r="E683" s="27"/>
      <c r="F683" s="27"/>
      <c r="G683" s="27"/>
      <c r="H683" s="27"/>
      <c r="I683" s="28"/>
      <c r="J683" s="27"/>
      <c r="K683" s="29"/>
      <c r="L683" s="31"/>
      <c r="M683" s="28"/>
      <c r="N683" s="30"/>
      <c r="O683" s="27"/>
      <c r="P683" s="137"/>
    </row>
    <row r="684" spans="1:16" x14ac:dyDescent="0.3">
      <c r="A684" s="27"/>
      <c r="B684" s="27"/>
      <c r="C684" s="27"/>
      <c r="D684" s="27"/>
      <c r="E684" s="27"/>
      <c r="F684" s="27"/>
      <c r="G684" s="27"/>
      <c r="H684" s="27"/>
      <c r="I684" s="28"/>
      <c r="J684" s="27"/>
      <c r="K684" s="29"/>
      <c r="L684" s="31"/>
      <c r="M684" s="28"/>
      <c r="N684" s="30"/>
      <c r="O684" s="27"/>
      <c r="P684" s="137"/>
    </row>
    <row r="685" spans="1:16" x14ac:dyDescent="0.3">
      <c r="A685" s="27"/>
      <c r="B685" s="27"/>
      <c r="C685" s="27"/>
      <c r="D685" s="27"/>
      <c r="E685" s="27"/>
      <c r="F685" s="27"/>
      <c r="G685" s="27"/>
      <c r="H685" s="27"/>
      <c r="I685" s="28"/>
      <c r="J685" s="27"/>
      <c r="K685" s="29"/>
      <c r="L685" s="31"/>
      <c r="M685" s="28"/>
      <c r="N685" s="30"/>
      <c r="O685" s="27"/>
      <c r="P685" s="137"/>
    </row>
    <row r="686" spans="1:16" x14ac:dyDescent="0.3">
      <c r="A686" s="27"/>
      <c r="B686" s="27"/>
      <c r="C686" s="27"/>
      <c r="D686" s="27"/>
      <c r="E686" s="27"/>
      <c r="F686" s="27"/>
      <c r="G686" s="27"/>
      <c r="H686" s="27"/>
      <c r="I686" s="28"/>
      <c r="J686" s="27"/>
      <c r="K686" s="29"/>
      <c r="L686" s="31"/>
      <c r="M686" s="28"/>
      <c r="N686" s="30"/>
      <c r="O686" s="27"/>
      <c r="P686" s="137"/>
    </row>
    <row r="687" spans="1:16" x14ac:dyDescent="0.3">
      <c r="A687" s="27"/>
      <c r="B687" s="27"/>
      <c r="C687" s="27"/>
      <c r="D687" s="27"/>
      <c r="E687" s="27"/>
      <c r="F687" s="27"/>
      <c r="G687" s="27"/>
      <c r="H687" s="27"/>
      <c r="I687" s="28"/>
      <c r="J687" s="27"/>
      <c r="K687" s="29"/>
      <c r="L687" s="31"/>
      <c r="M687" s="28"/>
      <c r="N687" s="30"/>
      <c r="O687" s="27"/>
      <c r="P687" s="137"/>
    </row>
    <row r="688" spans="1:16" x14ac:dyDescent="0.3">
      <c r="A688" s="27"/>
      <c r="B688" s="27"/>
      <c r="C688" s="27"/>
      <c r="D688" s="27"/>
      <c r="E688" s="27"/>
      <c r="F688" s="27"/>
      <c r="G688" s="27"/>
      <c r="H688" s="27"/>
      <c r="I688" s="28"/>
      <c r="J688" s="27"/>
      <c r="K688" s="29"/>
      <c r="L688" s="31"/>
      <c r="M688" s="28"/>
      <c r="N688" s="30"/>
      <c r="O688" s="27"/>
      <c r="P688" s="137"/>
    </row>
    <row r="689" spans="1:16" x14ac:dyDescent="0.3">
      <c r="A689" s="27"/>
      <c r="B689" s="27"/>
      <c r="C689" s="27"/>
      <c r="D689" s="27"/>
      <c r="E689" s="27"/>
      <c r="F689" s="27"/>
      <c r="G689" s="27"/>
      <c r="H689" s="27"/>
      <c r="I689" s="28"/>
      <c r="J689" s="27"/>
      <c r="K689" s="29"/>
      <c r="L689" s="31"/>
      <c r="M689" s="28"/>
      <c r="N689" s="30"/>
      <c r="O689" s="27"/>
      <c r="P689" s="137"/>
    </row>
    <row r="690" spans="1:16" x14ac:dyDescent="0.3">
      <c r="A690" s="27"/>
      <c r="B690" s="27"/>
      <c r="C690" s="27"/>
      <c r="D690" s="27"/>
      <c r="E690" s="27"/>
      <c r="F690" s="27"/>
      <c r="G690" s="27"/>
      <c r="H690" s="27"/>
      <c r="I690" s="28"/>
      <c r="J690" s="27"/>
      <c r="K690" s="29"/>
      <c r="L690" s="31"/>
      <c r="M690" s="28"/>
      <c r="N690" s="30"/>
      <c r="O690" s="27"/>
      <c r="P690" s="137"/>
    </row>
    <row r="691" spans="1:16" x14ac:dyDescent="0.3">
      <c r="A691" s="27"/>
      <c r="B691" s="27"/>
      <c r="C691" s="27"/>
      <c r="D691" s="27"/>
      <c r="E691" s="27"/>
      <c r="F691" s="27"/>
      <c r="G691" s="27"/>
      <c r="H691" s="27"/>
      <c r="I691" s="28"/>
      <c r="J691" s="27"/>
      <c r="K691" s="29"/>
      <c r="L691" s="31"/>
      <c r="M691" s="28"/>
      <c r="N691" s="30"/>
      <c r="O691" s="27"/>
      <c r="P691" s="137"/>
    </row>
    <row r="692" spans="1:16" x14ac:dyDescent="0.3">
      <c r="A692" s="27"/>
      <c r="B692" s="27"/>
      <c r="C692" s="27"/>
      <c r="D692" s="27"/>
      <c r="E692" s="27"/>
      <c r="F692" s="27"/>
      <c r="G692" s="27"/>
      <c r="H692" s="27"/>
      <c r="I692" s="28"/>
      <c r="J692" s="27"/>
      <c r="K692" s="29"/>
      <c r="L692" s="31"/>
      <c r="M692" s="28"/>
      <c r="N692" s="30"/>
      <c r="O692" s="27"/>
      <c r="P692" s="137"/>
    </row>
    <row r="693" spans="1:16" x14ac:dyDescent="0.3">
      <c r="A693" s="27"/>
      <c r="B693" s="27"/>
      <c r="C693" s="27"/>
      <c r="D693" s="27"/>
      <c r="E693" s="27"/>
      <c r="F693" s="27"/>
      <c r="G693" s="27"/>
      <c r="H693" s="27"/>
      <c r="I693" s="28"/>
      <c r="J693" s="27"/>
      <c r="K693" s="29"/>
      <c r="L693" s="31"/>
      <c r="M693" s="28"/>
      <c r="N693" s="30"/>
      <c r="O693" s="27"/>
      <c r="P693" s="137"/>
    </row>
    <row r="694" spans="1:16" x14ac:dyDescent="0.3">
      <c r="A694" s="27"/>
      <c r="B694" s="27"/>
      <c r="C694" s="27"/>
      <c r="D694" s="27"/>
      <c r="E694" s="27"/>
      <c r="F694" s="27"/>
      <c r="G694" s="27"/>
      <c r="H694" s="27"/>
      <c r="I694" s="28"/>
      <c r="J694" s="27"/>
      <c r="K694" s="29"/>
      <c r="L694" s="31"/>
      <c r="M694" s="28"/>
      <c r="N694" s="30"/>
      <c r="O694" s="27"/>
      <c r="P694" s="137"/>
    </row>
    <row r="695" spans="1:16" x14ac:dyDescent="0.3">
      <c r="A695" s="27"/>
      <c r="B695" s="27"/>
      <c r="C695" s="27"/>
      <c r="D695" s="27"/>
      <c r="E695" s="27"/>
      <c r="F695" s="27"/>
      <c r="G695" s="27"/>
      <c r="H695" s="27"/>
      <c r="I695" s="28"/>
      <c r="J695" s="27"/>
      <c r="K695" s="29"/>
      <c r="L695" s="31"/>
      <c r="M695" s="28"/>
      <c r="N695" s="30"/>
      <c r="O695" s="27"/>
      <c r="P695" s="137"/>
    </row>
    <row r="696" spans="1:16" x14ac:dyDescent="0.3">
      <c r="A696" s="27"/>
      <c r="B696" s="27"/>
      <c r="C696" s="27"/>
      <c r="D696" s="27"/>
      <c r="E696" s="27"/>
      <c r="F696" s="27"/>
      <c r="G696" s="27"/>
      <c r="H696" s="27"/>
      <c r="I696" s="28"/>
      <c r="J696" s="27"/>
      <c r="K696" s="29"/>
      <c r="L696" s="31"/>
      <c r="M696" s="28"/>
      <c r="N696" s="30"/>
      <c r="O696" s="27"/>
      <c r="P696" s="137"/>
    </row>
    <row r="697" spans="1:16" x14ac:dyDescent="0.3">
      <c r="A697" s="27"/>
      <c r="B697" s="27"/>
      <c r="C697" s="27"/>
      <c r="D697" s="27"/>
      <c r="E697" s="27"/>
      <c r="F697" s="27"/>
      <c r="G697" s="27"/>
      <c r="H697" s="27"/>
      <c r="I697" s="28"/>
      <c r="J697" s="27"/>
      <c r="K697" s="29"/>
      <c r="L697" s="31"/>
      <c r="M697" s="28"/>
      <c r="N697" s="30"/>
      <c r="O697" s="27"/>
      <c r="P697" s="137"/>
    </row>
    <row r="698" spans="1:16" x14ac:dyDescent="0.3">
      <c r="A698" s="27"/>
      <c r="B698" s="27"/>
      <c r="C698" s="27"/>
      <c r="D698" s="27"/>
      <c r="E698" s="27"/>
      <c r="F698" s="27"/>
      <c r="G698" s="27"/>
      <c r="H698" s="27"/>
      <c r="I698" s="28"/>
      <c r="J698" s="27"/>
      <c r="K698" s="29"/>
      <c r="L698" s="31"/>
      <c r="M698" s="28"/>
      <c r="N698" s="30"/>
      <c r="O698" s="27"/>
      <c r="P698" s="137"/>
    </row>
    <row r="699" spans="1:16" x14ac:dyDescent="0.3">
      <c r="A699" s="27"/>
      <c r="B699" s="27"/>
      <c r="C699" s="27"/>
      <c r="D699" s="27"/>
      <c r="E699" s="27"/>
      <c r="F699" s="27"/>
      <c r="G699" s="27"/>
      <c r="H699" s="27"/>
      <c r="I699" s="28"/>
      <c r="J699" s="27"/>
      <c r="K699" s="29"/>
      <c r="L699" s="31"/>
      <c r="M699" s="28"/>
      <c r="N699" s="30"/>
      <c r="O699" s="27"/>
      <c r="P699" s="137"/>
    </row>
    <row r="700" spans="1:16" x14ac:dyDescent="0.3">
      <c r="A700" s="27"/>
      <c r="B700" s="27"/>
      <c r="C700" s="27"/>
      <c r="D700" s="27"/>
      <c r="E700" s="27"/>
      <c r="F700" s="27"/>
      <c r="G700" s="27"/>
      <c r="H700" s="27"/>
      <c r="I700" s="28"/>
      <c r="J700" s="27"/>
      <c r="K700" s="29"/>
      <c r="L700" s="31"/>
      <c r="M700" s="28"/>
      <c r="N700" s="30"/>
      <c r="O700" s="27"/>
      <c r="P700" s="137"/>
    </row>
    <row r="701" spans="1:16" x14ac:dyDescent="0.3">
      <c r="A701" s="27"/>
      <c r="B701" s="27"/>
      <c r="C701" s="27"/>
      <c r="D701" s="27"/>
      <c r="E701" s="27"/>
      <c r="F701" s="27"/>
      <c r="G701" s="27"/>
      <c r="H701" s="27"/>
      <c r="I701" s="28"/>
      <c r="J701" s="27"/>
      <c r="K701" s="29"/>
      <c r="L701" s="31"/>
      <c r="M701" s="28"/>
      <c r="N701" s="30"/>
      <c r="O701" s="27"/>
      <c r="P701" s="137"/>
    </row>
    <row r="702" spans="1:16" x14ac:dyDescent="0.3">
      <c r="A702" s="27"/>
      <c r="B702" s="27"/>
      <c r="C702" s="27"/>
      <c r="D702" s="27"/>
      <c r="E702" s="27"/>
      <c r="F702" s="27"/>
      <c r="G702" s="27"/>
      <c r="H702" s="27"/>
      <c r="I702" s="28"/>
      <c r="J702" s="27"/>
      <c r="K702" s="29"/>
      <c r="L702" s="31"/>
      <c r="M702" s="28"/>
      <c r="N702" s="30"/>
      <c r="O702" s="27"/>
      <c r="P702" s="137"/>
    </row>
    <row r="703" spans="1:16" x14ac:dyDescent="0.3">
      <c r="A703" s="27"/>
      <c r="B703" s="27"/>
      <c r="C703" s="27"/>
      <c r="D703" s="27"/>
      <c r="E703" s="27"/>
      <c r="F703" s="27"/>
      <c r="G703" s="27"/>
      <c r="H703" s="27"/>
      <c r="I703" s="28"/>
      <c r="J703" s="27"/>
      <c r="K703" s="29"/>
      <c r="L703" s="31"/>
      <c r="M703" s="28"/>
      <c r="N703" s="30"/>
      <c r="O703" s="27"/>
      <c r="P703" s="137"/>
    </row>
    <row r="704" spans="1:16" x14ac:dyDescent="0.3">
      <c r="A704" s="27"/>
      <c r="B704" s="27"/>
      <c r="C704" s="27"/>
      <c r="D704" s="27"/>
      <c r="E704" s="27"/>
      <c r="F704" s="27"/>
      <c r="G704" s="27"/>
      <c r="H704" s="27"/>
      <c r="I704" s="28"/>
      <c r="J704" s="27"/>
      <c r="K704" s="29"/>
      <c r="L704" s="31"/>
      <c r="M704" s="28"/>
      <c r="N704" s="30"/>
      <c r="O704" s="27"/>
      <c r="P704" s="137"/>
    </row>
    <row r="705" spans="1:16" x14ac:dyDescent="0.3">
      <c r="A705" s="27"/>
      <c r="B705" s="27"/>
      <c r="C705" s="27"/>
      <c r="D705" s="27"/>
      <c r="E705" s="27"/>
      <c r="F705" s="27"/>
      <c r="G705" s="27"/>
      <c r="H705" s="27"/>
      <c r="I705" s="28"/>
      <c r="J705" s="27"/>
      <c r="K705" s="29"/>
      <c r="L705" s="31"/>
      <c r="M705" s="28"/>
      <c r="N705" s="30"/>
      <c r="O705" s="27"/>
      <c r="P705" s="137"/>
    </row>
    <row r="706" spans="1:16" x14ac:dyDescent="0.3">
      <c r="A706" s="27"/>
      <c r="B706" s="27"/>
      <c r="C706" s="27"/>
      <c r="D706" s="27"/>
      <c r="E706" s="27"/>
      <c r="F706" s="27"/>
      <c r="G706" s="27"/>
      <c r="H706" s="27"/>
      <c r="I706" s="28"/>
      <c r="J706" s="27"/>
      <c r="K706" s="29"/>
      <c r="L706" s="31"/>
      <c r="M706" s="28"/>
      <c r="N706" s="30"/>
      <c r="O706" s="27"/>
      <c r="P706" s="137"/>
    </row>
    <row r="707" spans="1:16" x14ac:dyDescent="0.3">
      <c r="A707" s="27"/>
      <c r="B707" s="27"/>
      <c r="C707" s="27"/>
      <c r="D707" s="27"/>
      <c r="E707" s="27"/>
      <c r="F707" s="27"/>
      <c r="G707" s="27"/>
      <c r="H707" s="27"/>
      <c r="I707" s="28"/>
      <c r="J707" s="27"/>
      <c r="K707" s="29"/>
      <c r="L707" s="31"/>
      <c r="M707" s="28"/>
      <c r="N707" s="30"/>
      <c r="O707" s="27"/>
      <c r="P707" s="137"/>
    </row>
    <row r="708" spans="1:16" x14ac:dyDescent="0.3">
      <c r="A708" s="27"/>
      <c r="B708" s="27"/>
      <c r="C708" s="27"/>
      <c r="D708" s="27"/>
      <c r="E708" s="27"/>
      <c r="F708" s="27"/>
      <c r="G708" s="27"/>
      <c r="H708" s="27"/>
      <c r="I708" s="28"/>
      <c r="J708" s="27"/>
      <c r="K708" s="29"/>
      <c r="L708" s="31"/>
      <c r="M708" s="28"/>
      <c r="N708" s="30"/>
      <c r="O708" s="27"/>
      <c r="P708" s="137"/>
    </row>
    <row r="709" spans="1:16" x14ac:dyDescent="0.3">
      <c r="A709" s="27"/>
      <c r="B709" s="27"/>
      <c r="C709" s="27"/>
      <c r="D709" s="27"/>
      <c r="E709" s="27"/>
      <c r="F709" s="27"/>
      <c r="G709" s="27"/>
      <c r="H709" s="27"/>
      <c r="I709" s="28"/>
      <c r="J709" s="27"/>
      <c r="K709" s="29"/>
      <c r="L709" s="31"/>
      <c r="M709" s="28"/>
      <c r="N709" s="30"/>
      <c r="O709" s="27"/>
      <c r="P709" s="137"/>
    </row>
    <row r="710" spans="1:16" x14ac:dyDescent="0.3">
      <c r="A710" s="27"/>
      <c r="B710" s="27"/>
      <c r="C710" s="27"/>
      <c r="D710" s="27"/>
      <c r="E710" s="27"/>
      <c r="F710" s="27"/>
      <c r="G710" s="27"/>
      <c r="H710" s="27"/>
      <c r="I710" s="28"/>
      <c r="J710" s="27"/>
      <c r="K710" s="29"/>
      <c r="L710" s="31"/>
      <c r="M710" s="28"/>
      <c r="N710" s="30"/>
      <c r="O710" s="27"/>
      <c r="P710" s="137"/>
    </row>
    <row r="711" spans="1:16" x14ac:dyDescent="0.3">
      <c r="A711" s="27"/>
      <c r="B711" s="27"/>
      <c r="C711" s="27"/>
      <c r="D711" s="27"/>
      <c r="E711" s="27"/>
      <c r="F711" s="27"/>
      <c r="G711" s="27"/>
      <c r="H711" s="27"/>
      <c r="I711" s="28"/>
      <c r="J711" s="27"/>
      <c r="K711" s="29"/>
      <c r="L711" s="31"/>
      <c r="M711" s="28"/>
      <c r="N711" s="30"/>
      <c r="O711" s="27"/>
      <c r="P711" s="137"/>
    </row>
    <row r="712" spans="1:16" x14ac:dyDescent="0.3">
      <c r="A712" s="27"/>
      <c r="B712" s="27"/>
      <c r="C712" s="27"/>
      <c r="D712" s="27"/>
      <c r="E712" s="27"/>
      <c r="F712" s="27"/>
      <c r="G712" s="27"/>
      <c r="H712" s="27"/>
      <c r="I712" s="28"/>
      <c r="J712" s="27"/>
      <c r="K712" s="29"/>
      <c r="L712" s="31"/>
      <c r="M712" s="28"/>
      <c r="N712" s="30"/>
      <c r="O712" s="27"/>
      <c r="P712" s="137"/>
    </row>
    <row r="713" spans="1:16" x14ac:dyDescent="0.3">
      <c r="A713" s="27"/>
      <c r="B713" s="27"/>
      <c r="C713" s="27"/>
      <c r="D713" s="27"/>
      <c r="E713" s="27"/>
      <c r="F713" s="27"/>
      <c r="G713" s="27"/>
      <c r="H713" s="27"/>
      <c r="I713" s="28"/>
      <c r="J713" s="27"/>
      <c r="K713" s="29"/>
      <c r="L713" s="31"/>
      <c r="M713" s="28"/>
      <c r="N713" s="30"/>
      <c r="O713" s="27"/>
      <c r="P713" s="137"/>
    </row>
    <row r="714" spans="1:16" x14ac:dyDescent="0.3">
      <c r="A714" s="27"/>
      <c r="B714" s="27"/>
      <c r="C714" s="27"/>
      <c r="D714" s="27"/>
      <c r="E714" s="27"/>
      <c r="F714" s="27"/>
      <c r="G714" s="27"/>
      <c r="H714" s="27"/>
      <c r="I714" s="28"/>
      <c r="J714" s="27"/>
      <c r="K714" s="29"/>
      <c r="L714" s="31"/>
      <c r="M714" s="28"/>
      <c r="N714" s="30"/>
      <c r="O714" s="27"/>
      <c r="P714" s="137"/>
    </row>
    <row r="715" spans="1:16" x14ac:dyDescent="0.3">
      <c r="A715" s="27"/>
      <c r="B715" s="27"/>
      <c r="C715" s="27"/>
      <c r="D715" s="27"/>
      <c r="E715" s="27"/>
      <c r="F715" s="27"/>
      <c r="G715" s="27"/>
      <c r="H715" s="27"/>
      <c r="I715" s="28"/>
      <c r="J715" s="27"/>
      <c r="K715" s="29"/>
      <c r="L715" s="31"/>
      <c r="M715" s="28"/>
      <c r="N715" s="30"/>
      <c r="O715" s="27"/>
      <c r="P715" s="137"/>
    </row>
    <row r="716" spans="1:16" x14ac:dyDescent="0.3">
      <c r="A716" s="27"/>
      <c r="B716" s="27"/>
      <c r="C716" s="27"/>
      <c r="D716" s="27"/>
      <c r="E716" s="27"/>
      <c r="F716" s="27"/>
      <c r="G716" s="27"/>
      <c r="H716" s="27"/>
      <c r="I716" s="28"/>
      <c r="J716" s="27"/>
      <c r="K716" s="29"/>
      <c r="L716" s="31"/>
      <c r="M716" s="28"/>
      <c r="N716" s="30"/>
      <c r="O716" s="27"/>
      <c r="P716" s="137"/>
    </row>
    <row r="717" spans="1:16" x14ac:dyDescent="0.3">
      <c r="A717" s="27"/>
      <c r="B717" s="27"/>
      <c r="C717" s="27"/>
      <c r="D717" s="27"/>
      <c r="E717" s="27"/>
      <c r="F717" s="27"/>
      <c r="G717" s="27"/>
      <c r="H717" s="27"/>
      <c r="I717" s="28"/>
      <c r="J717" s="27"/>
      <c r="K717" s="29"/>
      <c r="L717" s="31"/>
      <c r="M717" s="28"/>
      <c r="N717" s="30"/>
      <c r="O717" s="27"/>
      <c r="P717" s="137"/>
    </row>
    <row r="718" spans="1:16" x14ac:dyDescent="0.3">
      <c r="A718" s="27"/>
      <c r="B718" s="27"/>
      <c r="C718" s="27"/>
      <c r="D718" s="27"/>
      <c r="E718" s="27"/>
      <c r="F718" s="27"/>
      <c r="G718" s="27"/>
      <c r="H718" s="27"/>
      <c r="I718" s="28"/>
      <c r="J718" s="27"/>
      <c r="K718" s="29"/>
      <c r="L718" s="31"/>
      <c r="M718" s="28"/>
      <c r="N718" s="30"/>
      <c r="O718" s="27"/>
      <c r="P718" s="137"/>
    </row>
    <row r="719" spans="1:16" x14ac:dyDescent="0.3">
      <c r="A719" s="27"/>
      <c r="B719" s="27"/>
      <c r="C719" s="27"/>
      <c r="D719" s="27"/>
      <c r="E719" s="27"/>
      <c r="F719" s="27"/>
      <c r="G719" s="27"/>
      <c r="H719" s="27"/>
      <c r="I719" s="28"/>
      <c r="J719" s="27"/>
      <c r="K719" s="29"/>
      <c r="L719" s="31"/>
      <c r="M719" s="28"/>
      <c r="N719" s="30"/>
      <c r="O719" s="27"/>
      <c r="P719" s="137"/>
    </row>
    <row r="720" spans="1:16" x14ac:dyDescent="0.3">
      <c r="A720" s="27"/>
      <c r="B720" s="27"/>
      <c r="C720" s="27"/>
      <c r="D720" s="27"/>
      <c r="E720" s="27"/>
      <c r="F720" s="27"/>
      <c r="G720" s="27"/>
      <c r="H720" s="27"/>
      <c r="I720" s="28"/>
      <c r="J720" s="27"/>
      <c r="K720" s="29"/>
      <c r="L720" s="31"/>
      <c r="M720" s="28"/>
      <c r="N720" s="30"/>
      <c r="O720" s="27"/>
      <c r="P720" s="137"/>
    </row>
    <row r="721" spans="1:16" x14ac:dyDescent="0.3">
      <c r="A721" s="27"/>
      <c r="B721" s="27"/>
      <c r="C721" s="27"/>
      <c r="D721" s="27"/>
      <c r="E721" s="27"/>
      <c r="F721" s="27"/>
      <c r="G721" s="27"/>
      <c r="H721" s="27"/>
      <c r="I721" s="28"/>
      <c r="J721" s="27"/>
      <c r="K721" s="29"/>
      <c r="L721" s="31"/>
      <c r="M721" s="28"/>
      <c r="N721" s="30"/>
      <c r="O721" s="27"/>
      <c r="P721" s="137"/>
    </row>
    <row r="722" spans="1:16" x14ac:dyDescent="0.3">
      <c r="A722" s="27"/>
      <c r="B722" s="27"/>
      <c r="C722" s="27"/>
      <c r="D722" s="27"/>
      <c r="E722" s="27"/>
      <c r="F722" s="27"/>
      <c r="G722" s="27"/>
      <c r="H722" s="27"/>
      <c r="I722" s="28"/>
      <c r="J722" s="27"/>
      <c r="K722" s="29"/>
      <c r="L722" s="31"/>
      <c r="M722" s="28"/>
      <c r="N722" s="30"/>
      <c r="O722" s="27"/>
      <c r="P722" s="137"/>
    </row>
    <row r="723" spans="1:16" x14ac:dyDescent="0.3">
      <c r="A723" s="27"/>
      <c r="B723" s="27"/>
      <c r="C723" s="27"/>
      <c r="D723" s="27"/>
      <c r="E723" s="27"/>
      <c r="F723" s="27"/>
      <c r="G723" s="27"/>
      <c r="H723" s="27"/>
      <c r="I723" s="28"/>
      <c r="J723" s="27"/>
      <c r="K723" s="29"/>
      <c r="L723" s="31"/>
      <c r="M723" s="28"/>
      <c r="N723" s="30"/>
      <c r="O723" s="27"/>
      <c r="P723" s="137"/>
    </row>
    <row r="724" spans="1:16" x14ac:dyDescent="0.3">
      <c r="A724" s="27"/>
      <c r="B724" s="27"/>
      <c r="C724" s="27"/>
      <c r="D724" s="27"/>
      <c r="E724" s="27"/>
      <c r="F724" s="27"/>
      <c r="G724" s="27"/>
      <c r="H724" s="27"/>
      <c r="I724" s="28"/>
      <c r="J724" s="27"/>
      <c r="K724" s="29"/>
      <c r="L724" s="31"/>
      <c r="M724" s="28"/>
      <c r="N724" s="30"/>
      <c r="O724" s="27"/>
      <c r="P724" s="137"/>
    </row>
    <row r="725" spans="1:16" x14ac:dyDescent="0.3">
      <c r="A725" s="27"/>
      <c r="B725" s="27"/>
      <c r="C725" s="27"/>
      <c r="D725" s="27"/>
      <c r="E725" s="27"/>
      <c r="F725" s="27"/>
      <c r="G725" s="27"/>
      <c r="H725" s="27"/>
      <c r="I725" s="28"/>
      <c r="J725" s="27"/>
      <c r="K725" s="29"/>
      <c r="L725" s="31"/>
      <c r="M725" s="28"/>
      <c r="N725" s="30"/>
      <c r="O725" s="27"/>
      <c r="P725" s="137"/>
    </row>
    <row r="726" spans="1:16" x14ac:dyDescent="0.3">
      <c r="A726" s="27"/>
      <c r="B726" s="27"/>
      <c r="C726" s="27"/>
      <c r="D726" s="27"/>
      <c r="E726" s="27"/>
      <c r="F726" s="27"/>
      <c r="G726" s="27"/>
      <c r="H726" s="27"/>
      <c r="I726" s="28"/>
      <c r="J726" s="27"/>
      <c r="K726" s="29"/>
      <c r="L726" s="31"/>
      <c r="M726" s="28"/>
      <c r="N726" s="30"/>
      <c r="O726" s="27"/>
      <c r="P726" s="137"/>
    </row>
    <row r="727" spans="1:16" x14ac:dyDescent="0.3">
      <c r="A727" s="27"/>
      <c r="B727" s="27"/>
      <c r="C727" s="27"/>
      <c r="D727" s="27"/>
      <c r="E727" s="27"/>
      <c r="F727" s="27"/>
      <c r="G727" s="27"/>
      <c r="H727" s="27"/>
      <c r="I727" s="28"/>
      <c r="J727" s="27"/>
      <c r="K727" s="29"/>
      <c r="L727" s="31"/>
      <c r="M727" s="28"/>
      <c r="N727" s="30"/>
      <c r="O727" s="27"/>
      <c r="P727" s="137"/>
    </row>
    <row r="728" spans="1:16" x14ac:dyDescent="0.3">
      <c r="A728" s="27"/>
      <c r="B728" s="27"/>
      <c r="C728" s="27"/>
      <c r="D728" s="27"/>
      <c r="E728" s="27"/>
      <c r="F728" s="27"/>
      <c r="G728" s="27"/>
      <c r="H728" s="27"/>
      <c r="I728" s="28"/>
      <c r="J728" s="27"/>
      <c r="K728" s="29"/>
      <c r="L728" s="31"/>
      <c r="M728" s="28"/>
      <c r="N728" s="30"/>
      <c r="O728" s="27"/>
      <c r="P728" s="137"/>
    </row>
    <row r="729" spans="1:16" x14ac:dyDescent="0.3">
      <c r="A729" s="27"/>
      <c r="B729" s="27"/>
      <c r="C729" s="27"/>
      <c r="D729" s="27"/>
      <c r="E729" s="27"/>
      <c r="F729" s="27"/>
      <c r="G729" s="27"/>
      <c r="H729" s="27"/>
      <c r="I729" s="28"/>
      <c r="J729" s="27"/>
      <c r="K729" s="29"/>
      <c r="L729" s="31"/>
      <c r="M729" s="28"/>
      <c r="N729" s="30"/>
      <c r="O729" s="27"/>
      <c r="P729" s="137"/>
    </row>
    <row r="730" spans="1:16" x14ac:dyDescent="0.3">
      <c r="A730" s="27"/>
      <c r="B730" s="27"/>
      <c r="C730" s="27"/>
      <c r="D730" s="27"/>
      <c r="E730" s="27"/>
      <c r="F730" s="27"/>
      <c r="G730" s="27"/>
      <c r="H730" s="27"/>
      <c r="I730" s="28"/>
      <c r="J730" s="27"/>
      <c r="K730" s="29"/>
      <c r="L730" s="31"/>
      <c r="M730" s="28"/>
      <c r="N730" s="30"/>
      <c r="O730" s="27"/>
      <c r="P730" s="137"/>
    </row>
    <row r="731" spans="1:16" x14ac:dyDescent="0.3">
      <c r="A731" s="27"/>
      <c r="B731" s="27"/>
      <c r="C731" s="27"/>
      <c r="D731" s="27"/>
      <c r="E731" s="27"/>
      <c r="F731" s="27"/>
      <c r="G731" s="27"/>
      <c r="H731" s="27"/>
      <c r="I731" s="28"/>
      <c r="J731" s="27"/>
      <c r="K731" s="29"/>
      <c r="L731" s="31"/>
      <c r="M731" s="28"/>
      <c r="N731" s="30"/>
      <c r="O731" s="27"/>
      <c r="P731" s="137"/>
    </row>
    <row r="732" spans="1:16" x14ac:dyDescent="0.3">
      <c r="A732" s="27"/>
      <c r="B732" s="27"/>
      <c r="C732" s="27"/>
      <c r="D732" s="27"/>
      <c r="E732" s="27"/>
      <c r="F732" s="27"/>
      <c r="G732" s="27"/>
      <c r="H732" s="27"/>
      <c r="I732" s="28"/>
      <c r="J732" s="27"/>
      <c r="K732" s="29"/>
      <c r="L732" s="31"/>
      <c r="M732" s="28"/>
      <c r="N732" s="30"/>
      <c r="O732" s="27"/>
      <c r="P732" s="137"/>
    </row>
    <row r="733" spans="1:16" x14ac:dyDescent="0.3">
      <c r="A733" s="27"/>
      <c r="B733" s="27"/>
      <c r="C733" s="27"/>
      <c r="D733" s="27"/>
      <c r="E733" s="27"/>
      <c r="F733" s="27"/>
      <c r="G733" s="27"/>
      <c r="H733" s="27"/>
      <c r="I733" s="28"/>
      <c r="J733" s="27"/>
      <c r="K733" s="29"/>
      <c r="L733" s="31"/>
      <c r="M733" s="28"/>
      <c r="N733" s="30"/>
      <c r="O733" s="27"/>
      <c r="P733" s="137"/>
    </row>
    <row r="734" spans="1:16" x14ac:dyDescent="0.3">
      <c r="A734" s="27"/>
      <c r="B734" s="27"/>
      <c r="C734" s="27"/>
      <c r="D734" s="27"/>
      <c r="E734" s="27"/>
      <c r="F734" s="27"/>
      <c r="G734" s="27"/>
      <c r="H734" s="27"/>
      <c r="I734" s="28"/>
      <c r="J734" s="27"/>
      <c r="K734" s="29"/>
      <c r="L734" s="31"/>
      <c r="M734" s="28"/>
      <c r="N734" s="30"/>
      <c r="O734" s="27"/>
      <c r="P734" s="137"/>
    </row>
    <row r="735" spans="1:16" x14ac:dyDescent="0.3">
      <c r="A735" s="27"/>
      <c r="B735" s="27"/>
      <c r="C735" s="27"/>
      <c r="D735" s="27"/>
      <c r="E735" s="27"/>
      <c r="F735" s="27"/>
      <c r="G735" s="27"/>
      <c r="H735" s="27"/>
      <c r="I735" s="28"/>
      <c r="J735" s="27"/>
      <c r="K735" s="29"/>
      <c r="L735" s="31"/>
      <c r="M735" s="28"/>
      <c r="N735" s="30"/>
      <c r="O735" s="27"/>
      <c r="P735" s="137"/>
    </row>
    <row r="736" spans="1:16" x14ac:dyDescent="0.3">
      <c r="A736" s="27"/>
      <c r="B736" s="27"/>
      <c r="C736" s="27"/>
      <c r="D736" s="27"/>
      <c r="E736" s="27"/>
      <c r="F736" s="27"/>
      <c r="G736" s="27"/>
      <c r="H736" s="27"/>
      <c r="I736" s="28"/>
      <c r="J736" s="27"/>
      <c r="K736" s="29"/>
      <c r="L736" s="31"/>
      <c r="M736" s="28"/>
      <c r="N736" s="30"/>
      <c r="O736" s="27"/>
      <c r="P736" s="137"/>
    </row>
    <row r="737" spans="1:16" x14ac:dyDescent="0.3">
      <c r="A737" s="27"/>
      <c r="B737" s="27"/>
      <c r="C737" s="27"/>
      <c r="D737" s="27"/>
      <c r="E737" s="27"/>
      <c r="F737" s="27"/>
      <c r="G737" s="27"/>
      <c r="H737" s="27"/>
      <c r="I737" s="28"/>
      <c r="J737" s="27"/>
      <c r="K737" s="29"/>
      <c r="L737" s="31"/>
      <c r="M737" s="28"/>
      <c r="N737" s="30"/>
      <c r="O737" s="27"/>
      <c r="P737" s="137"/>
    </row>
    <row r="738" spans="1:16" x14ac:dyDescent="0.3">
      <c r="A738" s="27"/>
      <c r="B738" s="27"/>
      <c r="C738" s="27"/>
      <c r="D738" s="27"/>
      <c r="E738" s="27"/>
      <c r="F738" s="27"/>
      <c r="G738" s="27"/>
      <c r="H738" s="27"/>
      <c r="I738" s="28"/>
      <c r="J738" s="27"/>
      <c r="K738" s="29"/>
      <c r="L738" s="31"/>
      <c r="M738" s="28"/>
      <c r="N738" s="30"/>
      <c r="O738" s="27"/>
      <c r="P738" s="137"/>
    </row>
    <row r="739" spans="1:16" x14ac:dyDescent="0.3">
      <c r="A739" s="27"/>
      <c r="B739" s="27"/>
      <c r="C739" s="27"/>
      <c r="D739" s="27"/>
      <c r="E739" s="27"/>
      <c r="F739" s="27"/>
      <c r="G739" s="27"/>
      <c r="H739" s="27"/>
      <c r="I739" s="28"/>
      <c r="J739" s="27"/>
      <c r="K739" s="29"/>
      <c r="L739" s="31"/>
      <c r="M739" s="28"/>
      <c r="N739" s="30"/>
      <c r="O739" s="27"/>
      <c r="P739" s="137"/>
    </row>
    <row r="740" spans="1:16" x14ac:dyDescent="0.3">
      <c r="A740" s="27"/>
      <c r="B740" s="27"/>
      <c r="C740" s="27"/>
      <c r="D740" s="27"/>
      <c r="E740" s="27"/>
      <c r="F740" s="27"/>
      <c r="G740" s="27"/>
      <c r="H740" s="27"/>
      <c r="I740" s="28"/>
      <c r="J740" s="27"/>
      <c r="K740" s="29"/>
      <c r="L740" s="31"/>
      <c r="M740" s="28"/>
      <c r="N740" s="30"/>
      <c r="O740" s="27"/>
      <c r="P740" s="137"/>
    </row>
    <row r="741" spans="1:16" x14ac:dyDescent="0.3">
      <c r="A741" s="27"/>
      <c r="B741" s="27"/>
      <c r="C741" s="27"/>
      <c r="D741" s="27"/>
      <c r="E741" s="27"/>
      <c r="F741" s="27"/>
      <c r="G741" s="27"/>
      <c r="H741" s="27"/>
      <c r="I741" s="28"/>
      <c r="J741" s="27"/>
      <c r="K741" s="29"/>
      <c r="L741" s="31"/>
      <c r="M741" s="28"/>
      <c r="N741" s="30"/>
      <c r="O741" s="27"/>
      <c r="P741" s="137"/>
    </row>
    <row r="742" spans="1:16" x14ac:dyDescent="0.3">
      <c r="A742" s="27"/>
      <c r="B742" s="27"/>
      <c r="C742" s="27"/>
      <c r="D742" s="27"/>
      <c r="E742" s="27"/>
      <c r="F742" s="27"/>
      <c r="G742" s="27"/>
      <c r="H742" s="27"/>
      <c r="I742" s="28"/>
      <c r="J742" s="27"/>
      <c r="K742" s="29"/>
      <c r="L742" s="31"/>
      <c r="M742" s="28"/>
      <c r="N742" s="30"/>
      <c r="O742" s="27"/>
      <c r="P742" s="137"/>
    </row>
    <row r="743" spans="1:16" x14ac:dyDescent="0.3">
      <c r="A743" s="27"/>
      <c r="B743" s="27"/>
      <c r="C743" s="27"/>
      <c r="D743" s="27"/>
      <c r="E743" s="27"/>
      <c r="F743" s="27"/>
      <c r="G743" s="27"/>
      <c r="H743" s="27"/>
      <c r="I743" s="28"/>
      <c r="J743" s="27"/>
      <c r="K743" s="29"/>
      <c r="L743" s="31"/>
      <c r="M743" s="28"/>
      <c r="N743" s="30"/>
      <c r="O743" s="27"/>
      <c r="P743" s="137"/>
    </row>
    <row r="744" spans="1:16" x14ac:dyDescent="0.3">
      <c r="A744" s="27"/>
      <c r="B744" s="27"/>
      <c r="C744" s="27"/>
      <c r="D744" s="27"/>
      <c r="E744" s="27"/>
      <c r="F744" s="27"/>
      <c r="G744" s="27"/>
      <c r="H744" s="27"/>
      <c r="I744" s="28"/>
      <c r="J744" s="27"/>
      <c r="K744" s="29"/>
      <c r="L744" s="31"/>
      <c r="M744" s="28"/>
      <c r="N744" s="30"/>
      <c r="O744" s="27"/>
      <c r="P744" s="137"/>
    </row>
    <row r="745" spans="1:16" x14ac:dyDescent="0.3">
      <c r="A745" s="27"/>
      <c r="B745" s="27"/>
      <c r="C745" s="27"/>
      <c r="D745" s="27"/>
      <c r="E745" s="27"/>
      <c r="F745" s="27"/>
      <c r="G745" s="27"/>
      <c r="H745" s="27"/>
      <c r="I745" s="28"/>
      <c r="J745" s="27"/>
      <c r="K745" s="29"/>
      <c r="L745" s="31"/>
      <c r="M745" s="28"/>
      <c r="N745" s="30"/>
      <c r="O745" s="27"/>
      <c r="P745" s="137"/>
    </row>
    <row r="746" spans="1:16" x14ac:dyDescent="0.3">
      <c r="A746" s="27"/>
      <c r="B746" s="27"/>
      <c r="C746" s="27"/>
      <c r="D746" s="27"/>
      <c r="E746" s="27"/>
      <c r="F746" s="27"/>
      <c r="G746" s="27"/>
      <c r="H746" s="27"/>
      <c r="I746" s="28"/>
      <c r="J746" s="27"/>
      <c r="K746" s="29"/>
      <c r="L746" s="31"/>
      <c r="M746" s="28"/>
      <c r="N746" s="30"/>
      <c r="O746" s="27"/>
      <c r="P746" s="137"/>
    </row>
    <row r="747" spans="1:16" x14ac:dyDescent="0.3">
      <c r="A747" s="27"/>
      <c r="B747" s="27"/>
      <c r="C747" s="27"/>
      <c r="D747" s="27"/>
      <c r="E747" s="27"/>
      <c r="F747" s="27"/>
      <c r="G747" s="27"/>
      <c r="H747" s="27"/>
      <c r="I747" s="28"/>
      <c r="J747" s="27"/>
      <c r="K747" s="29"/>
      <c r="L747" s="31"/>
      <c r="M747" s="28"/>
      <c r="N747" s="30"/>
      <c r="O747" s="27"/>
      <c r="P747" s="137"/>
    </row>
    <row r="748" spans="1:16" x14ac:dyDescent="0.3">
      <c r="A748" s="27"/>
      <c r="B748" s="27"/>
      <c r="C748" s="27"/>
      <c r="D748" s="27"/>
      <c r="E748" s="27"/>
      <c r="F748" s="27"/>
      <c r="G748" s="27"/>
      <c r="H748" s="27"/>
      <c r="I748" s="28"/>
      <c r="J748" s="27"/>
      <c r="K748" s="29"/>
      <c r="L748" s="31"/>
      <c r="M748" s="28"/>
      <c r="N748" s="30"/>
      <c r="O748" s="27"/>
      <c r="P748" s="137"/>
    </row>
    <row r="749" spans="1:16" x14ac:dyDescent="0.3">
      <c r="A749" s="27"/>
      <c r="B749" s="27"/>
      <c r="C749" s="27"/>
      <c r="D749" s="27"/>
      <c r="E749" s="27"/>
      <c r="F749" s="27"/>
      <c r="G749" s="27"/>
      <c r="H749" s="27"/>
      <c r="I749" s="28"/>
      <c r="J749" s="27"/>
      <c r="K749" s="29"/>
      <c r="L749" s="31"/>
      <c r="M749" s="28"/>
      <c r="N749" s="30"/>
      <c r="O749" s="27"/>
      <c r="P749" s="137"/>
    </row>
    <row r="750" spans="1:16" x14ac:dyDescent="0.3">
      <c r="A750" s="27"/>
      <c r="B750" s="27"/>
      <c r="C750" s="27"/>
      <c r="D750" s="27"/>
      <c r="E750" s="27"/>
      <c r="F750" s="27"/>
      <c r="G750" s="27"/>
      <c r="H750" s="27"/>
      <c r="I750" s="28"/>
      <c r="J750" s="27"/>
      <c r="K750" s="29"/>
      <c r="L750" s="31"/>
      <c r="M750" s="28"/>
      <c r="N750" s="30"/>
      <c r="O750" s="27"/>
      <c r="P750" s="137"/>
    </row>
    <row r="751" spans="1:16" x14ac:dyDescent="0.3">
      <c r="A751" s="27"/>
      <c r="B751" s="27"/>
      <c r="C751" s="27"/>
      <c r="D751" s="27"/>
      <c r="E751" s="27"/>
      <c r="F751" s="27"/>
      <c r="G751" s="27"/>
      <c r="H751" s="27"/>
      <c r="I751" s="28"/>
      <c r="J751" s="27"/>
      <c r="K751" s="29"/>
      <c r="L751" s="31"/>
      <c r="M751" s="28"/>
      <c r="N751" s="30"/>
      <c r="O751" s="27"/>
      <c r="P751" s="137"/>
    </row>
    <row r="752" spans="1:16" x14ac:dyDescent="0.3">
      <c r="A752" s="27"/>
      <c r="B752" s="27"/>
      <c r="C752" s="27"/>
      <c r="D752" s="27"/>
      <c r="E752" s="27"/>
      <c r="F752" s="27"/>
      <c r="G752" s="27"/>
      <c r="H752" s="27"/>
      <c r="I752" s="28"/>
      <c r="J752" s="27"/>
      <c r="K752" s="29"/>
      <c r="L752" s="31"/>
      <c r="M752" s="28"/>
      <c r="N752" s="30"/>
      <c r="O752" s="27"/>
      <c r="P752" s="137"/>
    </row>
    <row r="753" spans="1:16" x14ac:dyDescent="0.3">
      <c r="A753" s="27"/>
      <c r="B753" s="27"/>
      <c r="C753" s="27"/>
      <c r="D753" s="27"/>
      <c r="E753" s="27"/>
      <c r="F753" s="27"/>
      <c r="G753" s="27"/>
      <c r="H753" s="27"/>
      <c r="I753" s="28"/>
      <c r="J753" s="27"/>
      <c r="K753" s="29"/>
      <c r="L753" s="31"/>
      <c r="M753" s="28"/>
      <c r="N753" s="30"/>
      <c r="O753" s="27"/>
      <c r="P753" s="137"/>
    </row>
    <row r="754" spans="1:16" x14ac:dyDescent="0.3">
      <c r="A754" s="27"/>
      <c r="B754" s="27"/>
      <c r="C754" s="27"/>
      <c r="D754" s="27"/>
      <c r="E754" s="27"/>
      <c r="F754" s="27"/>
      <c r="G754" s="27"/>
      <c r="H754" s="27"/>
      <c r="I754" s="28"/>
      <c r="J754" s="27"/>
      <c r="K754" s="29"/>
      <c r="L754" s="31"/>
      <c r="M754" s="28"/>
      <c r="N754" s="30"/>
      <c r="O754" s="27"/>
      <c r="P754" s="137"/>
    </row>
    <row r="755" spans="1:16" x14ac:dyDescent="0.3">
      <c r="A755" s="27"/>
      <c r="B755" s="27"/>
      <c r="C755" s="27"/>
      <c r="D755" s="27"/>
      <c r="E755" s="27"/>
      <c r="F755" s="27"/>
      <c r="G755" s="27"/>
      <c r="H755" s="27"/>
      <c r="I755" s="28"/>
      <c r="J755" s="27"/>
      <c r="K755" s="29"/>
      <c r="L755" s="31"/>
      <c r="M755" s="28"/>
      <c r="N755" s="30"/>
      <c r="O755" s="27"/>
      <c r="P755" s="137"/>
    </row>
    <row r="756" spans="1:16" x14ac:dyDescent="0.3">
      <c r="A756" s="27"/>
      <c r="B756" s="27"/>
      <c r="C756" s="27"/>
      <c r="D756" s="27"/>
      <c r="E756" s="27"/>
      <c r="F756" s="27"/>
      <c r="G756" s="27"/>
      <c r="H756" s="27"/>
      <c r="I756" s="28"/>
      <c r="J756" s="27"/>
      <c r="K756" s="29"/>
      <c r="L756" s="31"/>
      <c r="M756" s="28"/>
      <c r="N756" s="30"/>
      <c r="O756" s="27"/>
      <c r="P756" s="137"/>
    </row>
    <row r="757" spans="1:16" x14ac:dyDescent="0.3">
      <c r="A757" s="27"/>
      <c r="B757" s="27"/>
      <c r="C757" s="27"/>
      <c r="D757" s="27"/>
      <c r="E757" s="27"/>
      <c r="F757" s="27"/>
      <c r="G757" s="27"/>
      <c r="H757" s="27"/>
      <c r="I757" s="28"/>
      <c r="J757" s="27"/>
      <c r="K757" s="29"/>
      <c r="L757" s="31"/>
      <c r="M757" s="28"/>
      <c r="N757" s="30"/>
      <c r="O757" s="27"/>
      <c r="P757" s="137"/>
    </row>
    <row r="758" spans="1:16" x14ac:dyDescent="0.3">
      <c r="A758" s="27"/>
      <c r="B758" s="27"/>
      <c r="C758" s="27"/>
      <c r="D758" s="27"/>
      <c r="E758" s="27"/>
      <c r="F758" s="27"/>
      <c r="G758" s="27"/>
      <c r="H758" s="27"/>
      <c r="I758" s="28"/>
      <c r="J758" s="27"/>
      <c r="K758" s="29"/>
      <c r="L758" s="31"/>
      <c r="M758" s="28"/>
      <c r="N758" s="30"/>
      <c r="O758" s="27"/>
      <c r="P758" s="137"/>
    </row>
    <row r="759" spans="1:16" x14ac:dyDescent="0.3">
      <c r="A759" s="27"/>
      <c r="B759" s="27"/>
      <c r="C759" s="27"/>
      <c r="D759" s="27"/>
      <c r="E759" s="27"/>
      <c r="F759" s="27"/>
      <c r="G759" s="27"/>
      <c r="H759" s="27"/>
      <c r="I759" s="28"/>
      <c r="J759" s="27"/>
      <c r="K759" s="29"/>
      <c r="L759" s="31"/>
      <c r="M759" s="28"/>
      <c r="N759" s="30"/>
      <c r="O759" s="27"/>
      <c r="P759" s="137"/>
    </row>
    <row r="760" spans="1:16" x14ac:dyDescent="0.3">
      <c r="A760" s="27"/>
      <c r="B760" s="27"/>
      <c r="C760" s="27"/>
      <c r="D760" s="27"/>
      <c r="E760" s="27"/>
      <c r="F760" s="27"/>
      <c r="G760" s="27"/>
      <c r="H760" s="27"/>
      <c r="I760" s="28"/>
      <c r="J760" s="27"/>
      <c r="K760" s="29"/>
      <c r="L760" s="31"/>
      <c r="M760" s="28"/>
      <c r="N760" s="30"/>
      <c r="O760" s="27"/>
      <c r="P760" s="137"/>
    </row>
    <row r="761" spans="1:16" x14ac:dyDescent="0.3">
      <c r="A761" s="27"/>
      <c r="B761" s="27"/>
      <c r="C761" s="27"/>
      <c r="D761" s="27"/>
      <c r="E761" s="27"/>
      <c r="F761" s="27"/>
      <c r="G761" s="27"/>
      <c r="H761" s="27"/>
      <c r="I761" s="28"/>
      <c r="J761" s="27"/>
      <c r="K761" s="29"/>
      <c r="L761" s="31"/>
      <c r="M761" s="28"/>
      <c r="N761" s="30"/>
      <c r="O761" s="27"/>
      <c r="P761" s="137"/>
    </row>
    <row r="762" spans="1:16" x14ac:dyDescent="0.3">
      <c r="A762" s="27"/>
      <c r="B762" s="27"/>
      <c r="C762" s="27"/>
      <c r="D762" s="27"/>
      <c r="E762" s="27"/>
      <c r="F762" s="27"/>
      <c r="G762" s="27"/>
      <c r="H762" s="27"/>
      <c r="I762" s="28"/>
      <c r="J762" s="27"/>
      <c r="K762" s="29"/>
      <c r="L762" s="31"/>
      <c r="M762" s="28"/>
      <c r="N762" s="30"/>
      <c r="O762" s="27"/>
      <c r="P762" s="137"/>
    </row>
    <row r="763" spans="1:16" x14ac:dyDescent="0.3">
      <c r="A763" s="27"/>
      <c r="B763" s="27"/>
      <c r="C763" s="27"/>
      <c r="D763" s="27"/>
      <c r="E763" s="27"/>
      <c r="F763" s="27"/>
      <c r="G763" s="27"/>
      <c r="H763" s="27"/>
      <c r="I763" s="28"/>
      <c r="J763" s="27"/>
      <c r="K763" s="29"/>
      <c r="L763" s="31"/>
      <c r="M763" s="28"/>
      <c r="N763" s="30"/>
      <c r="O763" s="27"/>
      <c r="P763" s="137"/>
    </row>
    <row r="764" spans="1:16" x14ac:dyDescent="0.3">
      <c r="A764" s="27"/>
      <c r="B764" s="27"/>
      <c r="C764" s="27"/>
      <c r="D764" s="27"/>
      <c r="E764" s="27"/>
      <c r="F764" s="27"/>
      <c r="G764" s="27"/>
      <c r="H764" s="27"/>
      <c r="I764" s="28"/>
      <c r="J764" s="27"/>
      <c r="K764" s="29"/>
      <c r="L764" s="31"/>
      <c r="M764" s="28"/>
      <c r="N764" s="30"/>
      <c r="O764" s="27"/>
      <c r="P764" s="137"/>
    </row>
    <row r="765" spans="1:16" x14ac:dyDescent="0.3">
      <c r="A765" s="27"/>
      <c r="B765" s="27"/>
      <c r="C765" s="27"/>
      <c r="D765" s="27"/>
      <c r="E765" s="27"/>
      <c r="F765" s="27"/>
      <c r="G765" s="27"/>
      <c r="H765" s="27"/>
      <c r="I765" s="28"/>
      <c r="J765" s="27"/>
      <c r="K765" s="29"/>
      <c r="L765" s="31"/>
      <c r="M765" s="28"/>
      <c r="N765" s="30"/>
      <c r="O765" s="27"/>
      <c r="P765" s="137"/>
    </row>
    <row r="766" spans="1:16" x14ac:dyDescent="0.3">
      <c r="A766" s="27"/>
      <c r="B766" s="27"/>
      <c r="C766" s="27"/>
      <c r="D766" s="27"/>
      <c r="E766" s="27"/>
      <c r="F766" s="27"/>
      <c r="G766" s="27"/>
      <c r="H766" s="27"/>
      <c r="I766" s="28"/>
      <c r="J766" s="27"/>
      <c r="K766" s="29"/>
      <c r="L766" s="31"/>
      <c r="M766" s="28"/>
      <c r="N766" s="30"/>
      <c r="O766" s="27"/>
      <c r="P766" s="137"/>
    </row>
    <row r="767" spans="1:16" x14ac:dyDescent="0.3">
      <c r="A767" s="27"/>
      <c r="B767" s="27"/>
      <c r="C767" s="27"/>
      <c r="D767" s="27"/>
      <c r="E767" s="27"/>
      <c r="F767" s="27"/>
      <c r="G767" s="27"/>
      <c r="H767" s="27"/>
      <c r="I767" s="28"/>
      <c r="J767" s="27"/>
      <c r="K767" s="29"/>
      <c r="L767" s="31"/>
      <c r="M767" s="28"/>
      <c r="N767" s="30"/>
      <c r="O767" s="27"/>
      <c r="P767" s="137"/>
    </row>
    <row r="768" spans="1:16" x14ac:dyDescent="0.3">
      <c r="A768" s="27"/>
      <c r="B768" s="27"/>
      <c r="C768" s="27"/>
      <c r="D768" s="27"/>
      <c r="E768" s="27"/>
      <c r="F768" s="27"/>
      <c r="G768" s="27"/>
      <c r="H768" s="27"/>
      <c r="I768" s="28"/>
      <c r="J768" s="27"/>
      <c r="K768" s="29"/>
      <c r="L768" s="31"/>
      <c r="M768" s="28"/>
      <c r="N768" s="30"/>
      <c r="O768" s="27"/>
      <c r="P768" s="137"/>
    </row>
    <row r="769" spans="1:16" x14ac:dyDescent="0.3">
      <c r="A769" s="27"/>
      <c r="B769" s="27"/>
      <c r="C769" s="27"/>
      <c r="D769" s="27"/>
      <c r="E769" s="27"/>
      <c r="F769" s="27"/>
      <c r="G769" s="27"/>
      <c r="H769" s="27"/>
      <c r="I769" s="28"/>
      <c r="J769" s="27"/>
      <c r="K769" s="29"/>
      <c r="L769" s="31"/>
      <c r="M769" s="28"/>
      <c r="N769" s="30"/>
      <c r="O769" s="27"/>
      <c r="P769" s="137"/>
    </row>
    <row r="770" spans="1:16" x14ac:dyDescent="0.3">
      <c r="A770" s="27"/>
      <c r="B770" s="27"/>
      <c r="C770" s="27"/>
      <c r="D770" s="27"/>
      <c r="E770" s="27"/>
      <c r="F770" s="27"/>
      <c r="G770" s="27"/>
      <c r="H770" s="27"/>
      <c r="I770" s="28"/>
      <c r="J770" s="27"/>
      <c r="K770" s="29"/>
      <c r="L770" s="31"/>
      <c r="M770" s="28"/>
      <c r="N770" s="30"/>
      <c r="O770" s="27"/>
      <c r="P770" s="137"/>
    </row>
    <row r="771" spans="1:16" x14ac:dyDescent="0.3">
      <c r="A771" s="27"/>
      <c r="B771" s="27"/>
      <c r="C771" s="27"/>
      <c r="D771" s="27"/>
      <c r="E771" s="27"/>
      <c r="F771" s="27"/>
      <c r="G771" s="27"/>
      <c r="H771" s="27"/>
      <c r="I771" s="28"/>
      <c r="J771" s="27"/>
      <c r="K771" s="29"/>
      <c r="L771" s="31"/>
      <c r="M771" s="28"/>
      <c r="N771" s="30"/>
      <c r="O771" s="27"/>
      <c r="P771" s="137"/>
    </row>
    <row r="772" spans="1:16" x14ac:dyDescent="0.3">
      <c r="A772" s="27"/>
      <c r="B772" s="27"/>
      <c r="C772" s="27"/>
      <c r="D772" s="27"/>
      <c r="E772" s="27"/>
      <c r="F772" s="27"/>
      <c r="G772" s="27"/>
      <c r="H772" s="27"/>
      <c r="I772" s="28"/>
      <c r="J772" s="27"/>
      <c r="K772" s="29"/>
      <c r="L772" s="31"/>
      <c r="M772" s="28"/>
      <c r="N772" s="30"/>
      <c r="O772" s="27"/>
      <c r="P772" s="137"/>
    </row>
    <row r="773" spans="1:16" x14ac:dyDescent="0.3">
      <c r="A773" s="27"/>
      <c r="B773" s="27"/>
      <c r="C773" s="27"/>
      <c r="D773" s="27"/>
      <c r="E773" s="27"/>
      <c r="F773" s="27"/>
      <c r="G773" s="27"/>
      <c r="H773" s="27"/>
      <c r="I773" s="28"/>
      <c r="J773" s="27"/>
      <c r="K773" s="29"/>
      <c r="L773" s="31"/>
      <c r="M773" s="28"/>
      <c r="N773" s="30"/>
      <c r="O773" s="27"/>
      <c r="P773" s="137"/>
    </row>
    <row r="774" spans="1:16" x14ac:dyDescent="0.3">
      <c r="A774" s="27"/>
      <c r="B774" s="27"/>
      <c r="C774" s="27"/>
      <c r="D774" s="27"/>
      <c r="E774" s="27"/>
      <c r="F774" s="27"/>
      <c r="G774" s="27"/>
      <c r="H774" s="27"/>
      <c r="I774" s="28"/>
      <c r="J774" s="27"/>
      <c r="K774" s="29"/>
      <c r="L774" s="31"/>
      <c r="M774" s="28"/>
      <c r="N774" s="30"/>
      <c r="O774" s="27"/>
      <c r="P774" s="137"/>
    </row>
    <row r="775" spans="1:16" x14ac:dyDescent="0.3">
      <c r="A775" s="27"/>
      <c r="B775" s="27"/>
      <c r="C775" s="27"/>
      <c r="D775" s="27"/>
      <c r="E775" s="27"/>
      <c r="F775" s="27"/>
      <c r="G775" s="27"/>
      <c r="H775" s="27"/>
      <c r="I775" s="28"/>
      <c r="J775" s="27"/>
      <c r="K775" s="29"/>
      <c r="L775" s="31"/>
      <c r="M775" s="28"/>
      <c r="N775" s="30"/>
      <c r="O775" s="27"/>
      <c r="P775" s="137"/>
    </row>
    <row r="776" spans="1:16" x14ac:dyDescent="0.3">
      <c r="A776" s="27"/>
      <c r="B776" s="27"/>
      <c r="C776" s="27"/>
      <c r="D776" s="27"/>
      <c r="E776" s="27"/>
      <c r="F776" s="27"/>
      <c r="G776" s="27"/>
      <c r="H776" s="27"/>
      <c r="I776" s="28"/>
      <c r="J776" s="27"/>
      <c r="K776" s="29"/>
      <c r="L776" s="31"/>
      <c r="M776" s="28"/>
      <c r="N776" s="30"/>
      <c r="O776" s="27"/>
      <c r="P776" s="137"/>
    </row>
    <row r="777" spans="1:16" x14ac:dyDescent="0.3">
      <c r="A777" s="27"/>
      <c r="B777" s="27"/>
      <c r="C777" s="27"/>
      <c r="D777" s="27"/>
      <c r="E777" s="27"/>
      <c r="F777" s="27"/>
      <c r="G777" s="27"/>
      <c r="H777" s="27"/>
      <c r="I777" s="28"/>
      <c r="J777" s="27"/>
      <c r="K777" s="29"/>
      <c r="L777" s="31"/>
      <c r="M777" s="28"/>
      <c r="N777" s="30"/>
      <c r="O777" s="27"/>
      <c r="P777" s="137"/>
    </row>
    <row r="778" spans="1:16" x14ac:dyDescent="0.3">
      <c r="A778" s="27"/>
      <c r="B778" s="27"/>
      <c r="C778" s="27"/>
      <c r="D778" s="27"/>
      <c r="E778" s="27"/>
      <c r="F778" s="27"/>
      <c r="G778" s="27"/>
      <c r="H778" s="27"/>
      <c r="I778" s="28"/>
      <c r="J778" s="27"/>
      <c r="K778" s="29"/>
      <c r="L778" s="31"/>
      <c r="M778" s="28"/>
      <c r="N778" s="30"/>
      <c r="O778" s="27"/>
      <c r="P778" s="137"/>
    </row>
    <row r="779" spans="1:16" x14ac:dyDescent="0.3">
      <c r="A779" s="27"/>
      <c r="B779" s="27"/>
      <c r="C779" s="27"/>
      <c r="D779" s="27"/>
      <c r="E779" s="27"/>
      <c r="F779" s="27"/>
      <c r="G779" s="27"/>
      <c r="H779" s="27"/>
      <c r="I779" s="28"/>
      <c r="J779" s="27"/>
      <c r="K779" s="29"/>
      <c r="L779" s="31"/>
      <c r="M779" s="28"/>
      <c r="N779" s="30"/>
      <c r="O779" s="27"/>
      <c r="P779" s="137"/>
    </row>
    <row r="780" spans="1:16" x14ac:dyDescent="0.3">
      <c r="A780" s="27"/>
      <c r="B780" s="27"/>
      <c r="C780" s="27"/>
      <c r="D780" s="27"/>
      <c r="E780" s="27"/>
      <c r="F780" s="27"/>
      <c r="G780" s="27"/>
      <c r="H780" s="27"/>
      <c r="I780" s="28"/>
      <c r="J780" s="27"/>
      <c r="K780" s="29"/>
      <c r="L780" s="31"/>
      <c r="M780" s="28"/>
      <c r="N780" s="30"/>
      <c r="O780" s="27"/>
      <c r="P780" s="137"/>
    </row>
    <row r="781" spans="1:16" x14ac:dyDescent="0.3">
      <c r="A781" s="27"/>
      <c r="B781" s="27"/>
      <c r="C781" s="27"/>
      <c r="D781" s="27"/>
      <c r="E781" s="27"/>
      <c r="F781" s="27"/>
      <c r="G781" s="27"/>
      <c r="H781" s="27"/>
      <c r="I781" s="28"/>
      <c r="J781" s="27"/>
      <c r="K781" s="29"/>
      <c r="L781" s="31"/>
      <c r="M781" s="28"/>
      <c r="N781" s="30"/>
      <c r="O781" s="27"/>
      <c r="P781" s="137"/>
    </row>
    <row r="782" spans="1:16" x14ac:dyDescent="0.3">
      <c r="A782" s="27"/>
      <c r="B782" s="27"/>
      <c r="C782" s="27"/>
      <c r="D782" s="27"/>
      <c r="E782" s="27"/>
      <c r="F782" s="27"/>
      <c r="G782" s="27"/>
      <c r="H782" s="27"/>
      <c r="I782" s="28"/>
      <c r="J782" s="27"/>
      <c r="K782" s="29"/>
      <c r="L782" s="31"/>
      <c r="M782" s="28"/>
      <c r="N782" s="30"/>
      <c r="O782" s="27"/>
      <c r="P782" s="137"/>
    </row>
    <row r="783" spans="1:16" x14ac:dyDescent="0.3">
      <c r="A783" s="27"/>
      <c r="B783" s="27"/>
      <c r="C783" s="27"/>
      <c r="D783" s="27"/>
      <c r="E783" s="27"/>
      <c r="F783" s="27"/>
      <c r="G783" s="27"/>
      <c r="H783" s="27"/>
      <c r="I783" s="28"/>
      <c r="J783" s="27"/>
      <c r="K783" s="29"/>
      <c r="L783" s="31"/>
      <c r="M783" s="28"/>
      <c r="N783" s="30"/>
      <c r="O783" s="27"/>
      <c r="P783" s="137"/>
    </row>
    <row r="784" spans="1:16" x14ac:dyDescent="0.3">
      <c r="A784" s="27"/>
      <c r="B784" s="27"/>
      <c r="C784" s="27"/>
      <c r="D784" s="27"/>
      <c r="E784" s="27"/>
      <c r="F784" s="27"/>
      <c r="G784" s="27"/>
      <c r="H784" s="27"/>
      <c r="I784" s="28"/>
      <c r="J784" s="27"/>
      <c r="K784" s="29"/>
      <c r="L784" s="31"/>
      <c r="M784" s="28"/>
      <c r="N784" s="30"/>
      <c r="O784" s="27"/>
      <c r="P784" s="137"/>
    </row>
    <row r="785" spans="1:16" x14ac:dyDescent="0.3">
      <c r="A785" s="27"/>
      <c r="B785" s="27"/>
      <c r="C785" s="27"/>
      <c r="D785" s="27"/>
      <c r="E785" s="27"/>
      <c r="F785" s="27"/>
      <c r="G785" s="27"/>
      <c r="H785" s="27"/>
      <c r="I785" s="28"/>
      <c r="J785" s="27"/>
      <c r="K785" s="29"/>
      <c r="L785" s="31"/>
      <c r="M785" s="28"/>
      <c r="N785" s="30"/>
      <c r="O785" s="27"/>
      <c r="P785" s="137"/>
    </row>
    <row r="786" spans="1:16" x14ac:dyDescent="0.3">
      <c r="A786" s="27"/>
      <c r="B786" s="27"/>
      <c r="C786" s="27"/>
      <c r="D786" s="27"/>
      <c r="E786" s="27"/>
      <c r="F786" s="27"/>
      <c r="G786" s="27"/>
      <c r="H786" s="27"/>
      <c r="I786" s="28"/>
      <c r="J786" s="27"/>
      <c r="K786" s="29"/>
      <c r="L786" s="31"/>
      <c r="M786" s="28"/>
      <c r="N786" s="30"/>
      <c r="O786" s="27"/>
      <c r="P786" s="137"/>
    </row>
    <row r="787" spans="1:16" x14ac:dyDescent="0.3">
      <c r="A787" s="27"/>
      <c r="B787" s="27"/>
      <c r="C787" s="27"/>
      <c r="D787" s="27"/>
      <c r="E787" s="27"/>
      <c r="F787" s="27"/>
      <c r="G787" s="27"/>
      <c r="H787" s="27"/>
      <c r="I787" s="28"/>
      <c r="J787" s="27"/>
      <c r="K787" s="29"/>
      <c r="L787" s="31"/>
      <c r="M787" s="28"/>
      <c r="N787" s="30"/>
      <c r="O787" s="27"/>
      <c r="P787" s="137"/>
    </row>
    <row r="788" spans="1:16" x14ac:dyDescent="0.3">
      <c r="A788" s="27"/>
      <c r="B788" s="27"/>
      <c r="C788" s="27"/>
      <c r="D788" s="27"/>
      <c r="E788" s="27"/>
      <c r="F788" s="27"/>
      <c r="G788" s="27"/>
      <c r="H788" s="27"/>
      <c r="I788" s="28"/>
      <c r="J788" s="27"/>
      <c r="K788" s="29"/>
      <c r="L788" s="31"/>
      <c r="M788" s="28"/>
      <c r="N788" s="30"/>
      <c r="O788" s="27"/>
      <c r="P788" s="137"/>
    </row>
    <row r="789" spans="1:16" x14ac:dyDescent="0.3">
      <c r="A789" s="27"/>
      <c r="B789" s="27"/>
      <c r="C789" s="27"/>
      <c r="D789" s="27"/>
      <c r="E789" s="27"/>
      <c r="F789" s="27"/>
      <c r="G789" s="27"/>
      <c r="H789" s="27"/>
      <c r="I789" s="28"/>
      <c r="J789" s="27"/>
      <c r="K789" s="29"/>
      <c r="L789" s="31"/>
      <c r="M789" s="28"/>
      <c r="N789" s="30"/>
      <c r="O789" s="27"/>
      <c r="P789" s="137"/>
    </row>
    <row r="790" spans="1:16" x14ac:dyDescent="0.3">
      <c r="A790" s="27"/>
      <c r="B790" s="27"/>
      <c r="C790" s="27"/>
      <c r="D790" s="27"/>
      <c r="E790" s="27"/>
      <c r="F790" s="27"/>
      <c r="G790" s="27"/>
      <c r="H790" s="27"/>
      <c r="I790" s="28"/>
      <c r="J790" s="27"/>
      <c r="K790" s="29"/>
      <c r="L790" s="31"/>
      <c r="M790" s="28"/>
      <c r="N790" s="30"/>
      <c r="O790" s="27"/>
      <c r="P790" s="137"/>
    </row>
    <row r="791" spans="1:16" x14ac:dyDescent="0.3">
      <c r="A791" s="27"/>
      <c r="B791" s="27"/>
      <c r="C791" s="27"/>
      <c r="D791" s="27"/>
      <c r="E791" s="27"/>
      <c r="F791" s="27"/>
      <c r="G791" s="27"/>
      <c r="H791" s="27"/>
      <c r="I791" s="28"/>
      <c r="J791" s="27"/>
      <c r="K791" s="29"/>
      <c r="L791" s="31"/>
      <c r="M791" s="28"/>
      <c r="N791" s="30"/>
      <c r="O791" s="27"/>
      <c r="P791" s="137"/>
    </row>
    <row r="792" spans="1:16" x14ac:dyDescent="0.3">
      <c r="A792" s="27"/>
      <c r="B792" s="27"/>
      <c r="C792" s="27"/>
      <c r="D792" s="27"/>
      <c r="E792" s="27"/>
      <c r="F792" s="27"/>
      <c r="G792" s="27"/>
      <c r="H792" s="27"/>
      <c r="I792" s="28"/>
      <c r="J792" s="27"/>
      <c r="K792" s="29"/>
      <c r="L792" s="31"/>
      <c r="M792" s="28"/>
      <c r="N792" s="30"/>
      <c r="O792" s="27"/>
      <c r="P792" s="137"/>
    </row>
    <row r="793" spans="1:16" x14ac:dyDescent="0.3">
      <c r="A793" s="27"/>
      <c r="B793" s="27"/>
      <c r="C793" s="27"/>
      <c r="D793" s="27"/>
      <c r="E793" s="27"/>
      <c r="F793" s="27"/>
      <c r="G793" s="27"/>
      <c r="H793" s="27"/>
      <c r="I793" s="28"/>
      <c r="J793" s="27"/>
      <c r="K793" s="29"/>
      <c r="L793" s="31"/>
      <c r="M793" s="28"/>
      <c r="N793" s="30"/>
      <c r="O793" s="27"/>
      <c r="P793" s="137"/>
    </row>
    <row r="794" spans="1:16" x14ac:dyDescent="0.3">
      <c r="A794" s="27"/>
      <c r="B794" s="27"/>
      <c r="C794" s="27"/>
      <c r="D794" s="27"/>
      <c r="E794" s="27"/>
      <c r="F794" s="27"/>
      <c r="G794" s="27"/>
      <c r="H794" s="27"/>
      <c r="I794" s="28"/>
      <c r="J794" s="27"/>
      <c r="K794" s="29"/>
      <c r="L794" s="31"/>
      <c r="M794" s="28"/>
      <c r="N794" s="30"/>
      <c r="O794" s="27"/>
      <c r="P794" s="137"/>
    </row>
    <row r="795" spans="1:16" x14ac:dyDescent="0.3">
      <c r="A795" s="27"/>
      <c r="B795" s="27"/>
      <c r="C795" s="27"/>
      <c r="D795" s="27"/>
      <c r="E795" s="27"/>
      <c r="F795" s="27"/>
      <c r="G795" s="27"/>
      <c r="H795" s="27"/>
      <c r="I795" s="28"/>
      <c r="J795" s="27"/>
      <c r="K795" s="29"/>
      <c r="L795" s="31"/>
      <c r="M795" s="28"/>
      <c r="N795" s="30"/>
      <c r="O795" s="27"/>
      <c r="P795" s="137"/>
    </row>
    <row r="796" spans="1:16" x14ac:dyDescent="0.3">
      <c r="A796" s="27"/>
      <c r="B796" s="27"/>
      <c r="C796" s="27"/>
      <c r="D796" s="27"/>
      <c r="E796" s="27"/>
      <c r="F796" s="27"/>
      <c r="G796" s="27"/>
      <c r="H796" s="27"/>
      <c r="I796" s="28"/>
      <c r="J796" s="27"/>
      <c r="K796" s="29"/>
      <c r="L796" s="31"/>
      <c r="M796" s="28"/>
      <c r="N796" s="30"/>
      <c r="O796" s="27"/>
      <c r="P796" s="137"/>
    </row>
    <row r="797" spans="1:16" x14ac:dyDescent="0.3">
      <c r="A797" s="27"/>
      <c r="B797" s="27"/>
      <c r="C797" s="27"/>
      <c r="D797" s="27"/>
      <c r="E797" s="27"/>
      <c r="F797" s="27"/>
      <c r="G797" s="27"/>
      <c r="H797" s="27"/>
      <c r="I797" s="28"/>
      <c r="J797" s="27"/>
      <c r="K797" s="29"/>
      <c r="L797" s="31"/>
      <c r="M797" s="28"/>
      <c r="N797" s="30"/>
      <c r="O797" s="27"/>
      <c r="P797" s="137"/>
    </row>
    <row r="798" spans="1:16" x14ac:dyDescent="0.3">
      <c r="A798" s="27"/>
      <c r="B798" s="27"/>
      <c r="C798" s="27"/>
      <c r="D798" s="27"/>
      <c r="E798" s="27"/>
      <c r="F798" s="27"/>
      <c r="G798" s="27"/>
      <c r="H798" s="27"/>
      <c r="I798" s="28"/>
      <c r="J798" s="27"/>
      <c r="K798" s="29"/>
      <c r="L798" s="31"/>
      <c r="M798" s="28"/>
      <c r="N798" s="30"/>
      <c r="O798" s="27"/>
      <c r="P798" s="137"/>
    </row>
    <row r="799" spans="1:16" x14ac:dyDescent="0.3">
      <c r="A799" s="27"/>
      <c r="B799" s="27"/>
      <c r="C799" s="27"/>
      <c r="D799" s="27"/>
      <c r="E799" s="27"/>
      <c r="F799" s="27"/>
      <c r="G799" s="27"/>
      <c r="H799" s="27"/>
      <c r="I799" s="28"/>
      <c r="J799" s="27"/>
      <c r="K799" s="29"/>
      <c r="L799" s="31"/>
      <c r="M799" s="28"/>
      <c r="N799" s="30"/>
      <c r="O799" s="27"/>
      <c r="P799" s="137"/>
    </row>
    <row r="800" spans="1:16" x14ac:dyDescent="0.3">
      <c r="A800" s="27"/>
      <c r="B800" s="27"/>
      <c r="C800" s="27"/>
      <c r="D800" s="27"/>
      <c r="E800" s="27"/>
      <c r="F800" s="27"/>
      <c r="G800" s="27"/>
      <c r="H800" s="27"/>
      <c r="I800" s="28"/>
      <c r="J800" s="27"/>
      <c r="K800" s="29"/>
      <c r="L800" s="31"/>
      <c r="M800" s="28"/>
      <c r="N800" s="30"/>
      <c r="O800" s="27"/>
      <c r="P800" s="137"/>
    </row>
    <row r="801" spans="1:16" x14ac:dyDescent="0.3">
      <c r="A801" s="27"/>
      <c r="B801" s="27"/>
      <c r="C801" s="27"/>
      <c r="D801" s="27"/>
      <c r="E801" s="27"/>
      <c r="F801" s="27"/>
      <c r="G801" s="27"/>
      <c r="H801" s="27"/>
      <c r="I801" s="28"/>
      <c r="J801" s="27"/>
      <c r="K801" s="29"/>
      <c r="L801" s="31"/>
      <c r="M801" s="28"/>
      <c r="N801" s="30"/>
      <c r="O801" s="27"/>
      <c r="P801" s="137"/>
    </row>
    <row r="802" spans="1:16" x14ac:dyDescent="0.3">
      <c r="A802" s="27"/>
      <c r="B802" s="27"/>
      <c r="C802" s="27"/>
      <c r="D802" s="27"/>
      <c r="E802" s="27"/>
      <c r="F802" s="27"/>
      <c r="G802" s="27"/>
      <c r="H802" s="27"/>
      <c r="I802" s="28"/>
      <c r="J802" s="27"/>
      <c r="K802" s="29"/>
      <c r="L802" s="31"/>
      <c r="M802" s="28"/>
      <c r="N802" s="30"/>
      <c r="O802" s="27"/>
      <c r="P802" s="137"/>
    </row>
    <row r="803" spans="1:16" x14ac:dyDescent="0.3">
      <c r="A803" s="27"/>
      <c r="B803" s="27"/>
      <c r="C803" s="27"/>
      <c r="D803" s="27"/>
      <c r="E803" s="27"/>
      <c r="F803" s="27"/>
      <c r="G803" s="27"/>
      <c r="H803" s="27"/>
      <c r="I803" s="28"/>
      <c r="J803" s="27"/>
      <c r="K803" s="29"/>
      <c r="L803" s="31"/>
      <c r="M803" s="28"/>
      <c r="N803" s="30"/>
      <c r="O803" s="27"/>
      <c r="P803" s="137"/>
    </row>
    <row r="804" spans="1:16" x14ac:dyDescent="0.3">
      <c r="A804" s="27"/>
      <c r="B804" s="27"/>
      <c r="C804" s="27"/>
      <c r="D804" s="27"/>
      <c r="E804" s="27"/>
      <c r="F804" s="27"/>
      <c r="G804" s="27"/>
      <c r="H804" s="27"/>
      <c r="I804" s="28"/>
      <c r="J804" s="27"/>
      <c r="K804" s="29"/>
      <c r="L804" s="31"/>
      <c r="M804" s="28"/>
      <c r="N804" s="30"/>
      <c r="O804" s="27"/>
      <c r="P804" s="137"/>
    </row>
    <row r="805" spans="1:16" x14ac:dyDescent="0.3">
      <c r="A805" s="27"/>
      <c r="B805" s="27"/>
      <c r="C805" s="27"/>
      <c r="D805" s="27"/>
      <c r="E805" s="27"/>
      <c r="F805" s="27"/>
      <c r="G805" s="27"/>
      <c r="H805" s="27"/>
      <c r="I805" s="28"/>
      <c r="J805" s="27"/>
      <c r="K805" s="29"/>
      <c r="L805" s="31"/>
      <c r="M805" s="28"/>
      <c r="N805" s="30"/>
      <c r="O805" s="27"/>
      <c r="P805" s="137"/>
    </row>
    <row r="806" spans="1:16" x14ac:dyDescent="0.3">
      <c r="A806" s="27"/>
      <c r="B806" s="27"/>
      <c r="C806" s="27"/>
      <c r="D806" s="27"/>
      <c r="E806" s="27"/>
      <c r="F806" s="27"/>
      <c r="G806" s="27"/>
      <c r="H806" s="27"/>
      <c r="I806" s="28"/>
      <c r="J806" s="27"/>
      <c r="K806" s="29"/>
      <c r="L806" s="31"/>
      <c r="M806" s="28"/>
      <c r="N806" s="30"/>
      <c r="O806" s="27"/>
      <c r="P806" s="137"/>
    </row>
    <row r="807" spans="1:16" x14ac:dyDescent="0.3">
      <c r="A807" s="27"/>
      <c r="B807" s="27"/>
      <c r="C807" s="27"/>
      <c r="D807" s="27"/>
      <c r="E807" s="27"/>
      <c r="F807" s="27"/>
      <c r="G807" s="27"/>
      <c r="H807" s="27"/>
      <c r="I807" s="28"/>
      <c r="J807" s="27"/>
      <c r="K807" s="29"/>
      <c r="L807" s="31"/>
      <c r="M807" s="28"/>
      <c r="N807" s="30"/>
      <c r="O807" s="27"/>
      <c r="P807" s="137"/>
    </row>
    <row r="808" spans="1:16" x14ac:dyDescent="0.3">
      <c r="A808" s="27"/>
      <c r="B808" s="27"/>
      <c r="C808" s="27"/>
      <c r="D808" s="27"/>
      <c r="E808" s="27"/>
      <c r="F808" s="27"/>
      <c r="G808" s="27"/>
      <c r="H808" s="27"/>
      <c r="I808" s="28"/>
      <c r="J808" s="27"/>
      <c r="K808" s="29"/>
      <c r="L808" s="31"/>
      <c r="M808" s="28"/>
      <c r="N808" s="30"/>
      <c r="O808" s="27"/>
      <c r="P808" s="137"/>
    </row>
    <row r="809" spans="1:16" x14ac:dyDescent="0.3">
      <c r="A809" s="27"/>
      <c r="B809" s="27"/>
      <c r="C809" s="27"/>
      <c r="D809" s="27"/>
      <c r="E809" s="27"/>
      <c r="F809" s="27"/>
      <c r="G809" s="27"/>
      <c r="H809" s="27"/>
      <c r="I809" s="28"/>
      <c r="J809" s="27"/>
      <c r="K809" s="29"/>
      <c r="L809" s="31"/>
      <c r="M809" s="28"/>
      <c r="N809" s="30"/>
      <c r="O809" s="27"/>
      <c r="P809" s="137"/>
    </row>
    <row r="810" spans="1:16" x14ac:dyDescent="0.3">
      <c r="A810" s="27"/>
      <c r="B810" s="27"/>
      <c r="C810" s="27"/>
      <c r="D810" s="27"/>
      <c r="E810" s="27"/>
      <c r="F810" s="27"/>
      <c r="G810" s="27"/>
      <c r="H810" s="27"/>
      <c r="I810" s="28"/>
      <c r="J810" s="27"/>
      <c r="K810" s="29"/>
      <c r="L810" s="31"/>
      <c r="M810" s="28"/>
      <c r="N810" s="30"/>
      <c r="O810" s="27"/>
      <c r="P810" s="137"/>
    </row>
    <row r="811" spans="1:16" x14ac:dyDescent="0.3">
      <c r="A811" s="27"/>
      <c r="B811" s="27"/>
      <c r="C811" s="27"/>
      <c r="D811" s="27"/>
      <c r="E811" s="27"/>
      <c r="F811" s="27"/>
      <c r="G811" s="27"/>
      <c r="H811" s="27"/>
      <c r="I811" s="28"/>
      <c r="J811" s="27"/>
      <c r="K811" s="29"/>
      <c r="L811" s="31"/>
      <c r="M811" s="28"/>
      <c r="N811" s="30"/>
      <c r="O811" s="27"/>
      <c r="P811" s="137"/>
    </row>
    <row r="812" spans="1:16" x14ac:dyDescent="0.3">
      <c r="A812" s="27"/>
      <c r="B812" s="27"/>
      <c r="C812" s="27"/>
      <c r="D812" s="27"/>
      <c r="E812" s="27"/>
      <c r="F812" s="27"/>
      <c r="G812" s="27"/>
      <c r="H812" s="27"/>
      <c r="I812" s="28"/>
      <c r="J812" s="27"/>
      <c r="K812" s="29"/>
      <c r="L812" s="31"/>
      <c r="M812" s="28"/>
      <c r="N812" s="30"/>
      <c r="O812" s="27"/>
      <c r="P812" s="137"/>
    </row>
    <row r="813" spans="1:16" x14ac:dyDescent="0.3">
      <c r="A813" s="27"/>
      <c r="B813" s="27"/>
      <c r="C813" s="27"/>
      <c r="D813" s="27"/>
      <c r="E813" s="27"/>
      <c r="F813" s="27"/>
      <c r="G813" s="27"/>
      <c r="H813" s="27"/>
      <c r="I813" s="28"/>
      <c r="J813" s="27"/>
      <c r="K813" s="29"/>
      <c r="L813" s="31"/>
      <c r="M813" s="28"/>
      <c r="N813" s="30"/>
      <c r="O813" s="27"/>
      <c r="P813" s="137"/>
    </row>
    <row r="814" spans="1:16" x14ac:dyDescent="0.3">
      <c r="A814" s="27"/>
      <c r="B814" s="27"/>
      <c r="C814" s="27"/>
      <c r="D814" s="27"/>
      <c r="E814" s="27"/>
      <c r="F814" s="27"/>
      <c r="G814" s="27"/>
      <c r="H814" s="27"/>
      <c r="I814" s="28"/>
      <c r="J814" s="27"/>
      <c r="K814" s="29"/>
      <c r="L814" s="31"/>
      <c r="M814" s="28"/>
      <c r="N814" s="30"/>
      <c r="O814" s="27"/>
      <c r="P814" s="137"/>
    </row>
    <row r="815" spans="1:16" x14ac:dyDescent="0.3">
      <c r="A815" s="27"/>
      <c r="B815" s="27"/>
      <c r="C815" s="27"/>
      <c r="D815" s="27"/>
      <c r="E815" s="27"/>
      <c r="F815" s="27"/>
      <c r="G815" s="27"/>
      <c r="H815" s="27"/>
      <c r="I815" s="28"/>
      <c r="J815" s="27"/>
      <c r="K815" s="29"/>
      <c r="L815" s="31"/>
      <c r="M815" s="28"/>
      <c r="N815" s="30"/>
      <c r="O815" s="27"/>
      <c r="P815" s="137"/>
    </row>
    <row r="816" spans="1:16" x14ac:dyDescent="0.3">
      <c r="A816" s="27"/>
      <c r="B816" s="27"/>
      <c r="C816" s="27"/>
      <c r="D816" s="27"/>
      <c r="E816" s="27"/>
      <c r="F816" s="27"/>
      <c r="G816" s="27"/>
      <c r="H816" s="27"/>
      <c r="I816" s="28"/>
      <c r="J816" s="27"/>
      <c r="K816" s="29"/>
      <c r="L816" s="31"/>
      <c r="M816" s="28"/>
      <c r="N816" s="30"/>
      <c r="O816" s="27"/>
      <c r="P816" s="137"/>
    </row>
    <row r="817" spans="1:16" x14ac:dyDescent="0.3">
      <c r="A817" s="27"/>
      <c r="B817" s="27"/>
      <c r="C817" s="27"/>
      <c r="D817" s="27"/>
      <c r="E817" s="27"/>
      <c r="F817" s="27"/>
      <c r="G817" s="27"/>
      <c r="H817" s="27"/>
      <c r="I817" s="28"/>
      <c r="J817" s="27"/>
      <c r="K817" s="29"/>
      <c r="L817" s="31"/>
      <c r="M817" s="28"/>
      <c r="N817" s="30"/>
      <c r="O817" s="27"/>
      <c r="P817" s="137"/>
    </row>
    <row r="818" spans="1:16" x14ac:dyDescent="0.3">
      <c r="A818" s="27"/>
      <c r="B818" s="27"/>
      <c r="C818" s="27"/>
      <c r="D818" s="27"/>
      <c r="E818" s="27"/>
      <c r="F818" s="27"/>
      <c r="G818" s="27"/>
      <c r="H818" s="27"/>
      <c r="I818" s="28"/>
      <c r="J818" s="27"/>
      <c r="K818" s="29"/>
      <c r="L818" s="31"/>
      <c r="M818" s="28"/>
      <c r="N818" s="30"/>
      <c r="O818" s="27"/>
      <c r="P818" s="137"/>
    </row>
    <row r="819" spans="1:16" x14ac:dyDescent="0.3">
      <c r="A819" s="27"/>
      <c r="B819" s="27"/>
      <c r="C819" s="27"/>
      <c r="D819" s="27"/>
      <c r="E819" s="27"/>
      <c r="F819" s="27"/>
      <c r="G819" s="27"/>
      <c r="H819" s="27"/>
      <c r="I819" s="28"/>
      <c r="J819" s="27"/>
      <c r="K819" s="29"/>
      <c r="L819" s="31"/>
      <c r="M819" s="28"/>
      <c r="N819" s="30"/>
      <c r="O819" s="27"/>
      <c r="P819" s="137"/>
    </row>
    <row r="820" spans="1:16" x14ac:dyDescent="0.3">
      <c r="A820" s="27"/>
      <c r="B820" s="27"/>
      <c r="C820" s="27"/>
      <c r="D820" s="27"/>
      <c r="E820" s="27"/>
      <c r="F820" s="27"/>
      <c r="G820" s="27"/>
      <c r="H820" s="27"/>
      <c r="I820" s="28"/>
      <c r="J820" s="27"/>
      <c r="K820" s="29"/>
      <c r="L820" s="31"/>
      <c r="M820" s="28"/>
      <c r="N820" s="30"/>
      <c r="O820" s="27"/>
      <c r="P820" s="137"/>
    </row>
    <row r="821" spans="1:16" x14ac:dyDescent="0.3">
      <c r="A821" s="27"/>
      <c r="B821" s="27"/>
      <c r="C821" s="27"/>
      <c r="D821" s="27"/>
      <c r="E821" s="27"/>
      <c r="F821" s="27"/>
      <c r="G821" s="27"/>
      <c r="H821" s="27"/>
      <c r="I821" s="28"/>
      <c r="J821" s="27"/>
      <c r="K821" s="29"/>
      <c r="L821" s="31"/>
      <c r="M821" s="28"/>
      <c r="N821" s="30"/>
      <c r="O821" s="27"/>
      <c r="P821" s="137"/>
    </row>
    <row r="822" spans="1:16" x14ac:dyDescent="0.3">
      <c r="A822" s="27"/>
      <c r="B822" s="27"/>
      <c r="C822" s="27"/>
      <c r="D822" s="27"/>
      <c r="E822" s="27"/>
      <c r="F822" s="27"/>
      <c r="G822" s="27"/>
      <c r="H822" s="27"/>
      <c r="I822" s="28"/>
      <c r="J822" s="27"/>
      <c r="K822" s="29"/>
      <c r="L822" s="31"/>
      <c r="M822" s="28"/>
      <c r="N822" s="30"/>
      <c r="O822" s="27"/>
      <c r="P822" s="137"/>
    </row>
    <row r="823" spans="1:16" x14ac:dyDescent="0.3">
      <c r="A823" s="27"/>
      <c r="B823" s="27"/>
      <c r="C823" s="27"/>
      <c r="D823" s="27"/>
      <c r="E823" s="27"/>
      <c r="F823" s="27"/>
      <c r="G823" s="27"/>
      <c r="H823" s="27"/>
      <c r="I823" s="28"/>
      <c r="J823" s="27"/>
      <c r="K823" s="29"/>
      <c r="L823" s="31"/>
      <c r="M823" s="28"/>
      <c r="N823" s="30"/>
      <c r="O823" s="27"/>
      <c r="P823" s="137"/>
    </row>
    <row r="824" spans="1:16" x14ac:dyDescent="0.3">
      <c r="A824" s="27"/>
      <c r="B824" s="27"/>
      <c r="C824" s="27"/>
      <c r="D824" s="27"/>
      <c r="E824" s="27"/>
      <c r="F824" s="27"/>
      <c r="G824" s="27"/>
      <c r="H824" s="27"/>
      <c r="I824" s="28"/>
      <c r="J824" s="27"/>
      <c r="K824" s="29"/>
      <c r="L824" s="31"/>
      <c r="M824" s="28"/>
      <c r="N824" s="30"/>
      <c r="O824" s="27"/>
      <c r="P824" s="137"/>
    </row>
    <row r="825" spans="1:16" x14ac:dyDescent="0.3">
      <c r="A825" s="27"/>
      <c r="B825" s="27"/>
      <c r="C825" s="27"/>
      <c r="D825" s="27"/>
      <c r="E825" s="27"/>
      <c r="F825" s="27"/>
      <c r="G825" s="27"/>
      <c r="H825" s="27"/>
      <c r="I825" s="28"/>
      <c r="J825" s="27"/>
      <c r="K825" s="29"/>
      <c r="L825" s="31"/>
      <c r="M825" s="28"/>
      <c r="N825" s="30"/>
      <c r="O825" s="27"/>
      <c r="P825" s="137"/>
    </row>
    <row r="826" spans="1:16" x14ac:dyDescent="0.3">
      <c r="A826" s="27"/>
      <c r="B826" s="27"/>
      <c r="C826" s="27"/>
      <c r="D826" s="27"/>
      <c r="E826" s="27"/>
      <c r="F826" s="27"/>
      <c r="G826" s="27"/>
      <c r="H826" s="27"/>
      <c r="I826" s="28"/>
      <c r="J826" s="27"/>
      <c r="K826" s="29"/>
      <c r="L826" s="31"/>
      <c r="M826" s="28"/>
      <c r="N826" s="30"/>
      <c r="O826" s="27"/>
      <c r="P826" s="137"/>
    </row>
    <row r="827" spans="1:16" x14ac:dyDescent="0.3">
      <c r="A827" s="27"/>
      <c r="B827" s="27"/>
      <c r="C827" s="27"/>
      <c r="D827" s="27"/>
      <c r="E827" s="27"/>
      <c r="F827" s="27"/>
      <c r="G827" s="27"/>
      <c r="H827" s="27"/>
      <c r="I827" s="28"/>
      <c r="J827" s="27"/>
      <c r="K827" s="29"/>
      <c r="L827" s="31"/>
      <c r="M827" s="28"/>
      <c r="N827" s="30"/>
      <c r="O827" s="27"/>
      <c r="P827" s="137"/>
    </row>
    <row r="828" spans="1:16" x14ac:dyDescent="0.3">
      <c r="A828" s="27"/>
      <c r="B828" s="27"/>
      <c r="C828" s="27"/>
      <c r="D828" s="27"/>
      <c r="E828" s="27"/>
      <c r="F828" s="27"/>
      <c r="G828" s="27"/>
      <c r="H828" s="27"/>
      <c r="I828" s="28"/>
      <c r="J828" s="27"/>
      <c r="K828" s="29"/>
      <c r="L828" s="31"/>
      <c r="M828" s="28"/>
      <c r="N828" s="30"/>
      <c r="O828" s="27"/>
      <c r="P828" s="137"/>
    </row>
    <row r="829" spans="1:16" x14ac:dyDescent="0.3">
      <c r="A829" s="27"/>
      <c r="B829" s="27"/>
      <c r="C829" s="27"/>
      <c r="D829" s="27"/>
      <c r="E829" s="27"/>
      <c r="F829" s="27"/>
      <c r="G829" s="27"/>
      <c r="H829" s="27"/>
      <c r="I829" s="28"/>
      <c r="J829" s="27"/>
      <c r="K829" s="29"/>
      <c r="L829" s="31"/>
      <c r="M829" s="28"/>
      <c r="N829" s="30"/>
      <c r="O829" s="27"/>
      <c r="P829" s="137"/>
    </row>
    <row r="830" spans="1:16" x14ac:dyDescent="0.3">
      <c r="A830" s="27"/>
      <c r="B830" s="27"/>
      <c r="C830" s="27"/>
      <c r="D830" s="27"/>
      <c r="E830" s="27"/>
      <c r="F830" s="27"/>
      <c r="G830" s="27"/>
      <c r="H830" s="27"/>
      <c r="I830" s="28"/>
      <c r="J830" s="27"/>
      <c r="K830" s="29"/>
      <c r="L830" s="31"/>
      <c r="M830" s="28"/>
      <c r="N830" s="30"/>
      <c r="O830" s="27"/>
      <c r="P830" s="137"/>
    </row>
    <row r="831" spans="1:16" x14ac:dyDescent="0.3">
      <c r="A831" s="27"/>
      <c r="B831" s="27"/>
      <c r="C831" s="27"/>
      <c r="D831" s="27"/>
      <c r="E831" s="27"/>
      <c r="F831" s="27"/>
      <c r="G831" s="27"/>
      <c r="H831" s="27"/>
      <c r="I831" s="28"/>
      <c r="J831" s="27"/>
      <c r="K831" s="29"/>
      <c r="L831" s="31"/>
      <c r="M831" s="28"/>
      <c r="N831" s="30"/>
      <c r="O831" s="27"/>
      <c r="P831" s="137"/>
    </row>
    <row r="832" spans="1:16" x14ac:dyDescent="0.3">
      <c r="A832" s="27"/>
      <c r="B832" s="27"/>
      <c r="C832" s="27"/>
      <c r="D832" s="27"/>
      <c r="E832" s="27"/>
      <c r="F832" s="27"/>
      <c r="G832" s="27"/>
      <c r="H832" s="27"/>
      <c r="I832" s="28"/>
      <c r="J832" s="27"/>
      <c r="K832" s="29"/>
      <c r="L832" s="31"/>
      <c r="M832" s="28"/>
      <c r="N832" s="30"/>
      <c r="O832" s="27"/>
      <c r="P832" s="137"/>
    </row>
    <row r="833" spans="1:16" x14ac:dyDescent="0.3">
      <c r="A833" s="27"/>
      <c r="B833" s="27"/>
      <c r="C833" s="27"/>
      <c r="D833" s="27"/>
      <c r="E833" s="27"/>
      <c r="F833" s="27"/>
      <c r="G833" s="27"/>
      <c r="H833" s="27"/>
      <c r="I833" s="28"/>
      <c r="J833" s="27"/>
      <c r="K833" s="29"/>
      <c r="L833" s="31"/>
      <c r="M833" s="28"/>
      <c r="N833" s="30"/>
      <c r="O833" s="27"/>
      <c r="P833" s="137"/>
    </row>
    <row r="834" spans="1:16" x14ac:dyDescent="0.3">
      <c r="A834" s="27"/>
      <c r="B834" s="27"/>
      <c r="C834" s="27"/>
      <c r="D834" s="27"/>
      <c r="E834" s="27"/>
      <c r="F834" s="27"/>
      <c r="G834" s="27"/>
      <c r="H834" s="27"/>
      <c r="I834" s="28"/>
      <c r="J834" s="27"/>
      <c r="K834" s="29"/>
      <c r="L834" s="31"/>
      <c r="M834" s="28"/>
      <c r="N834" s="30"/>
      <c r="O834" s="27"/>
      <c r="P834" s="137"/>
    </row>
    <row r="835" spans="1:16" x14ac:dyDescent="0.3">
      <c r="A835" s="27"/>
      <c r="B835" s="27"/>
      <c r="C835" s="27"/>
      <c r="D835" s="27"/>
      <c r="E835" s="27"/>
      <c r="F835" s="27"/>
      <c r="G835" s="27"/>
      <c r="H835" s="27"/>
      <c r="I835" s="28"/>
      <c r="J835" s="27"/>
      <c r="K835" s="29"/>
      <c r="L835" s="31"/>
      <c r="M835" s="28"/>
      <c r="N835" s="30"/>
      <c r="O835" s="27"/>
      <c r="P835" s="137"/>
    </row>
    <row r="836" spans="1:16" x14ac:dyDescent="0.3">
      <c r="A836" s="27"/>
      <c r="B836" s="27"/>
      <c r="C836" s="27"/>
      <c r="D836" s="27"/>
      <c r="E836" s="27"/>
      <c r="F836" s="27"/>
      <c r="G836" s="27"/>
      <c r="H836" s="27"/>
      <c r="I836" s="28"/>
      <c r="J836" s="27"/>
      <c r="K836" s="29"/>
      <c r="L836" s="31"/>
      <c r="M836" s="28"/>
      <c r="N836" s="30"/>
      <c r="O836" s="27"/>
      <c r="P836" s="137"/>
    </row>
    <row r="837" spans="1:16" x14ac:dyDescent="0.3">
      <c r="A837" s="27"/>
      <c r="B837" s="27"/>
      <c r="C837" s="27"/>
      <c r="D837" s="27"/>
      <c r="E837" s="27"/>
      <c r="F837" s="27"/>
      <c r="G837" s="27"/>
      <c r="H837" s="27"/>
      <c r="I837" s="28"/>
      <c r="J837" s="27"/>
      <c r="K837" s="29"/>
      <c r="L837" s="31"/>
      <c r="M837" s="28"/>
      <c r="N837" s="30"/>
      <c r="O837" s="27"/>
      <c r="P837" s="137"/>
    </row>
    <row r="838" spans="1:16" x14ac:dyDescent="0.3">
      <c r="A838" s="27"/>
      <c r="B838" s="27"/>
      <c r="C838" s="27"/>
      <c r="D838" s="27"/>
      <c r="E838" s="27"/>
      <c r="F838" s="27"/>
      <c r="G838" s="27"/>
      <c r="H838" s="27"/>
      <c r="I838" s="28"/>
      <c r="J838" s="27"/>
      <c r="K838" s="29"/>
      <c r="L838" s="31"/>
      <c r="M838" s="28"/>
      <c r="N838" s="30"/>
      <c r="O838" s="27"/>
      <c r="P838" s="137"/>
    </row>
    <row r="839" spans="1:16" x14ac:dyDescent="0.3">
      <c r="A839" s="27"/>
      <c r="B839" s="27"/>
      <c r="C839" s="27"/>
      <c r="D839" s="27"/>
      <c r="E839" s="27"/>
      <c r="F839" s="27"/>
      <c r="G839" s="27"/>
      <c r="H839" s="27"/>
      <c r="I839" s="28"/>
      <c r="J839" s="27"/>
      <c r="K839" s="29"/>
      <c r="L839" s="31"/>
      <c r="M839" s="28"/>
      <c r="N839" s="30"/>
      <c r="O839" s="27"/>
      <c r="P839" s="137"/>
    </row>
    <row r="840" spans="1:16" x14ac:dyDescent="0.3">
      <c r="A840" s="27"/>
      <c r="B840" s="27"/>
      <c r="C840" s="27"/>
      <c r="D840" s="27"/>
      <c r="E840" s="27"/>
      <c r="F840" s="27"/>
      <c r="G840" s="27"/>
      <c r="H840" s="27"/>
      <c r="I840" s="28"/>
      <c r="J840" s="27"/>
      <c r="K840" s="29"/>
      <c r="L840" s="31"/>
      <c r="M840" s="28"/>
      <c r="N840" s="30"/>
      <c r="O840" s="27"/>
      <c r="P840" s="137"/>
    </row>
    <row r="841" spans="1:16" x14ac:dyDescent="0.3">
      <c r="A841" s="27"/>
      <c r="B841" s="27"/>
      <c r="C841" s="27"/>
      <c r="D841" s="27"/>
      <c r="E841" s="27"/>
      <c r="F841" s="27"/>
      <c r="G841" s="27"/>
      <c r="H841" s="27"/>
      <c r="I841" s="28"/>
      <c r="J841" s="27"/>
      <c r="K841" s="29"/>
      <c r="L841" s="31"/>
      <c r="M841" s="28"/>
      <c r="N841" s="30"/>
      <c r="O841" s="27"/>
      <c r="P841" s="137"/>
    </row>
    <row r="842" spans="1:16" x14ac:dyDescent="0.3">
      <c r="A842" s="27"/>
      <c r="B842" s="27"/>
      <c r="C842" s="27"/>
      <c r="D842" s="27"/>
      <c r="E842" s="27"/>
      <c r="F842" s="27"/>
      <c r="G842" s="27"/>
      <c r="H842" s="27"/>
      <c r="I842" s="28"/>
      <c r="J842" s="27"/>
      <c r="K842" s="29"/>
      <c r="L842" s="31"/>
      <c r="M842" s="28"/>
      <c r="N842" s="30"/>
      <c r="O842" s="27"/>
      <c r="P842" s="137"/>
    </row>
    <row r="843" spans="1:16" x14ac:dyDescent="0.3">
      <c r="A843" s="27"/>
      <c r="B843" s="27"/>
      <c r="C843" s="27"/>
      <c r="D843" s="27"/>
      <c r="E843" s="27"/>
      <c r="F843" s="27"/>
      <c r="G843" s="27"/>
      <c r="H843" s="27"/>
      <c r="I843" s="28"/>
      <c r="J843" s="27"/>
      <c r="K843" s="29"/>
      <c r="L843" s="31"/>
      <c r="M843" s="28"/>
      <c r="N843" s="30"/>
      <c r="O843" s="27"/>
      <c r="P843" s="137"/>
    </row>
    <row r="844" spans="1:16" x14ac:dyDescent="0.3">
      <c r="A844" s="27"/>
      <c r="B844" s="27"/>
      <c r="C844" s="27"/>
      <c r="D844" s="27"/>
      <c r="E844" s="27"/>
      <c r="F844" s="27"/>
      <c r="G844" s="27"/>
      <c r="H844" s="27"/>
      <c r="I844" s="28"/>
      <c r="J844" s="27"/>
      <c r="K844" s="29"/>
      <c r="L844" s="31"/>
      <c r="M844" s="28"/>
      <c r="N844" s="30"/>
      <c r="O844" s="27"/>
      <c r="P844" s="137"/>
    </row>
    <row r="845" spans="1:16" x14ac:dyDescent="0.3">
      <c r="A845" s="27"/>
      <c r="B845" s="27"/>
      <c r="C845" s="27"/>
      <c r="D845" s="27"/>
      <c r="E845" s="27"/>
      <c r="F845" s="27"/>
      <c r="G845" s="27"/>
      <c r="H845" s="27"/>
      <c r="I845" s="28"/>
      <c r="J845" s="27"/>
      <c r="K845" s="29"/>
      <c r="L845" s="31"/>
      <c r="M845" s="28"/>
      <c r="N845" s="30"/>
      <c r="O845" s="27"/>
      <c r="P845" s="137"/>
    </row>
    <row r="846" spans="1:16" x14ac:dyDescent="0.3">
      <c r="A846" s="27"/>
      <c r="B846" s="27"/>
      <c r="C846" s="27"/>
      <c r="D846" s="27"/>
      <c r="E846" s="27"/>
      <c r="F846" s="27"/>
      <c r="G846" s="27"/>
      <c r="H846" s="27"/>
      <c r="I846" s="28"/>
      <c r="J846" s="27"/>
      <c r="K846" s="29"/>
      <c r="L846" s="31"/>
      <c r="M846" s="28"/>
      <c r="N846" s="30"/>
      <c r="O846" s="27"/>
      <c r="P846" s="137"/>
    </row>
    <row r="847" spans="1:16" x14ac:dyDescent="0.3">
      <c r="A847" s="27"/>
      <c r="B847" s="27"/>
      <c r="C847" s="27"/>
      <c r="D847" s="27"/>
      <c r="E847" s="27"/>
      <c r="F847" s="27"/>
      <c r="G847" s="27"/>
      <c r="H847" s="27"/>
      <c r="I847" s="28"/>
      <c r="J847" s="27"/>
      <c r="K847" s="29"/>
      <c r="L847" s="31"/>
      <c r="M847" s="28"/>
      <c r="N847" s="30"/>
      <c r="O847" s="27"/>
      <c r="P847" s="137"/>
    </row>
    <row r="848" spans="1:16" x14ac:dyDescent="0.3">
      <c r="A848" s="27"/>
      <c r="B848" s="27"/>
      <c r="C848" s="27"/>
      <c r="D848" s="27"/>
      <c r="E848" s="27"/>
      <c r="F848" s="27"/>
      <c r="G848" s="27"/>
      <c r="H848" s="27"/>
      <c r="I848" s="28"/>
      <c r="J848" s="27"/>
      <c r="K848" s="29"/>
      <c r="L848" s="31"/>
      <c r="M848" s="28"/>
      <c r="N848" s="30"/>
      <c r="O848" s="27"/>
      <c r="P848" s="137"/>
    </row>
    <row r="849" spans="1:16" x14ac:dyDescent="0.3">
      <c r="A849" s="27"/>
      <c r="B849" s="27"/>
      <c r="C849" s="27"/>
      <c r="D849" s="27"/>
      <c r="E849" s="27"/>
      <c r="F849" s="27"/>
      <c r="G849" s="27"/>
      <c r="H849" s="27"/>
      <c r="I849" s="28"/>
      <c r="J849" s="27"/>
      <c r="K849" s="29"/>
      <c r="L849" s="31"/>
      <c r="M849" s="28"/>
      <c r="N849" s="30"/>
      <c r="O849" s="27"/>
      <c r="P849" s="137"/>
    </row>
    <row r="850" spans="1:16" x14ac:dyDescent="0.3">
      <c r="A850" s="27"/>
      <c r="B850" s="27"/>
      <c r="C850" s="27"/>
      <c r="D850" s="27"/>
      <c r="E850" s="27"/>
      <c r="F850" s="27"/>
      <c r="G850" s="27"/>
      <c r="H850" s="27"/>
      <c r="I850" s="28"/>
      <c r="J850" s="27"/>
      <c r="K850" s="29"/>
      <c r="L850" s="31"/>
      <c r="M850" s="28"/>
      <c r="N850" s="30"/>
      <c r="O850" s="27"/>
      <c r="P850" s="137"/>
    </row>
    <row r="851" spans="1:16" x14ac:dyDescent="0.3">
      <c r="A851" s="27"/>
      <c r="B851" s="27"/>
      <c r="C851" s="27"/>
      <c r="D851" s="27"/>
      <c r="E851" s="27"/>
      <c r="F851" s="27"/>
      <c r="G851" s="27"/>
      <c r="H851" s="27"/>
      <c r="I851" s="28"/>
      <c r="J851" s="27"/>
      <c r="K851" s="29"/>
      <c r="L851" s="31"/>
      <c r="M851" s="28"/>
      <c r="N851" s="30"/>
      <c r="O851" s="27"/>
      <c r="P851" s="137"/>
    </row>
    <row r="852" spans="1:16" x14ac:dyDescent="0.3">
      <c r="A852" s="27"/>
      <c r="B852" s="27"/>
      <c r="C852" s="27"/>
      <c r="D852" s="27"/>
      <c r="E852" s="27"/>
      <c r="F852" s="27"/>
      <c r="G852" s="27"/>
      <c r="H852" s="27"/>
      <c r="I852" s="28"/>
      <c r="J852" s="27"/>
      <c r="K852" s="29"/>
      <c r="L852" s="31"/>
      <c r="M852" s="28"/>
      <c r="N852" s="30"/>
      <c r="O852" s="27"/>
      <c r="P852" s="137"/>
    </row>
    <row r="853" spans="1:16" x14ac:dyDescent="0.3">
      <c r="A853" s="27"/>
      <c r="B853" s="27"/>
      <c r="C853" s="27"/>
      <c r="D853" s="27"/>
      <c r="E853" s="27"/>
      <c r="F853" s="27"/>
      <c r="G853" s="27"/>
      <c r="H853" s="27"/>
      <c r="I853" s="28"/>
      <c r="J853" s="27"/>
      <c r="K853" s="29"/>
      <c r="L853" s="31"/>
      <c r="M853" s="28"/>
      <c r="N853" s="30"/>
      <c r="O853" s="27"/>
      <c r="P853" s="137"/>
    </row>
    <row r="854" spans="1:16" x14ac:dyDescent="0.3">
      <c r="A854" s="27"/>
      <c r="B854" s="27"/>
      <c r="C854" s="27"/>
      <c r="D854" s="27"/>
      <c r="E854" s="27"/>
      <c r="F854" s="27"/>
      <c r="G854" s="27"/>
      <c r="H854" s="27"/>
      <c r="I854" s="28"/>
      <c r="J854" s="27"/>
      <c r="K854" s="29"/>
      <c r="L854" s="31"/>
      <c r="M854" s="28"/>
      <c r="N854" s="30"/>
      <c r="O854" s="27"/>
      <c r="P854" s="137"/>
    </row>
    <row r="855" spans="1:16" x14ac:dyDescent="0.3">
      <c r="A855" s="27"/>
      <c r="B855" s="27"/>
      <c r="C855" s="27"/>
      <c r="D855" s="27"/>
      <c r="E855" s="27"/>
      <c r="F855" s="27"/>
      <c r="G855" s="27"/>
      <c r="H855" s="27"/>
      <c r="I855" s="28"/>
      <c r="J855" s="27"/>
      <c r="K855" s="29"/>
      <c r="L855" s="31"/>
      <c r="M855" s="28"/>
      <c r="N855" s="30"/>
      <c r="O855" s="27"/>
      <c r="P855" s="137"/>
    </row>
    <row r="856" spans="1:16" x14ac:dyDescent="0.3">
      <c r="A856" s="27"/>
      <c r="B856" s="27"/>
      <c r="C856" s="27"/>
      <c r="D856" s="27"/>
      <c r="E856" s="27"/>
      <c r="F856" s="27"/>
      <c r="G856" s="27"/>
      <c r="H856" s="27"/>
      <c r="I856" s="28"/>
      <c r="J856" s="27"/>
      <c r="K856" s="29"/>
      <c r="L856" s="31"/>
      <c r="M856" s="28"/>
      <c r="N856" s="30"/>
      <c r="O856" s="27"/>
      <c r="P856" s="137"/>
    </row>
    <row r="857" spans="1:16" x14ac:dyDescent="0.3">
      <c r="A857" s="27"/>
      <c r="B857" s="27"/>
      <c r="C857" s="27"/>
      <c r="D857" s="27"/>
      <c r="E857" s="27"/>
      <c r="F857" s="27"/>
      <c r="G857" s="27"/>
      <c r="H857" s="27"/>
      <c r="I857" s="28"/>
      <c r="J857" s="27"/>
      <c r="K857" s="29"/>
      <c r="L857" s="31"/>
      <c r="M857" s="28"/>
      <c r="N857" s="30"/>
      <c r="O857" s="27"/>
      <c r="P857" s="137"/>
    </row>
    <row r="858" spans="1:16" x14ac:dyDescent="0.3">
      <c r="A858" s="27"/>
      <c r="B858" s="27"/>
      <c r="C858" s="27"/>
      <c r="D858" s="27"/>
      <c r="E858" s="27"/>
      <c r="F858" s="27"/>
      <c r="G858" s="27"/>
      <c r="H858" s="27"/>
      <c r="I858" s="28"/>
      <c r="J858" s="27"/>
      <c r="K858" s="29"/>
      <c r="L858" s="31"/>
      <c r="M858" s="28"/>
      <c r="N858" s="30"/>
      <c r="O858" s="27"/>
      <c r="P858" s="137"/>
    </row>
    <row r="859" spans="1:16" x14ac:dyDescent="0.3">
      <c r="A859" s="27"/>
      <c r="B859" s="27"/>
      <c r="C859" s="27"/>
      <c r="D859" s="27"/>
      <c r="E859" s="27"/>
      <c r="F859" s="27"/>
      <c r="G859" s="27"/>
      <c r="H859" s="27"/>
      <c r="I859" s="28"/>
      <c r="J859" s="27"/>
      <c r="K859" s="29"/>
      <c r="L859" s="31"/>
      <c r="M859" s="28"/>
      <c r="N859" s="30"/>
      <c r="O859" s="27"/>
      <c r="P859" s="137"/>
    </row>
    <row r="860" spans="1:16" x14ac:dyDescent="0.3">
      <c r="A860" s="27"/>
      <c r="B860" s="27"/>
      <c r="C860" s="27"/>
      <c r="D860" s="27"/>
      <c r="E860" s="27"/>
      <c r="F860" s="27"/>
      <c r="G860" s="27"/>
      <c r="H860" s="27"/>
      <c r="I860" s="28"/>
      <c r="J860" s="27"/>
      <c r="K860" s="29"/>
      <c r="L860" s="31"/>
      <c r="M860" s="28"/>
      <c r="N860" s="30"/>
      <c r="O860" s="27"/>
      <c r="P860" s="137"/>
    </row>
    <row r="861" spans="1:16" x14ac:dyDescent="0.3">
      <c r="A861" s="27"/>
      <c r="B861" s="27"/>
      <c r="C861" s="27"/>
      <c r="D861" s="27"/>
      <c r="E861" s="27"/>
      <c r="F861" s="27"/>
      <c r="G861" s="27"/>
      <c r="H861" s="27"/>
      <c r="I861" s="28"/>
      <c r="J861" s="27"/>
      <c r="K861" s="29"/>
      <c r="L861" s="31"/>
      <c r="M861" s="28"/>
      <c r="N861" s="30"/>
      <c r="O861" s="27"/>
      <c r="P861" s="137"/>
    </row>
    <row r="862" spans="1:16" x14ac:dyDescent="0.3">
      <c r="A862" s="27"/>
      <c r="B862" s="27"/>
      <c r="C862" s="27"/>
      <c r="D862" s="27"/>
      <c r="E862" s="27"/>
      <c r="F862" s="27"/>
      <c r="G862" s="27"/>
      <c r="H862" s="27"/>
      <c r="I862" s="28"/>
      <c r="J862" s="27"/>
      <c r="K862" s="29"/>
      <c r="L862" s="31"/>
      <c r="M862" s="28"/>
      <c r="N862" s="30"/>
      <c r="O862" s="27"/>
      <c r="P862" s="137"/>
    </row>
    <row r="863" spans="1:16" x14ac:dyDescent="0.3">
      <c r="A863" s="27"/>
      <c r="B863" s="27"/>
      <c r="C863" s="27"/>
      <c r="D863" s="27"/>
      <c r="E863" s="27"/>
      <c r="F863" s="27"/>
      <c r="G863" s="27"/>
      <c r="H863" s="27"/>
      <c r="I863" s="28"/>
      <c r="J863" s="27"/>
      <c r="K863" s="29"/>
      <c r="L863" s="31"/>
      <c r="M863" s="28"/>
      <c r="N863" s="30"/>
      <c r="O863" s="27"/>
      <c r="P863" s="137"/>
    </row>
    <row r="864" spans="1:16" x14ac:dyDescent="0.3">
      <c r="A864" s="27"/>
      <c r="B864" s="27"/>
      <c r="C864" s="27"/>
      <c r="D864" s="27"/>
      <c r="E864" s="27"/>
      <c r="F864" s="27"/>
      <c r="G864" s="27"/>
      <c r="H864" s="27"/>
      <c r="I864" s="28"/>
      <c r="J864" s="27"/>
      <c r="K864" s="29"/>
      <c r="L864" s="31"/>
      <c r="M864" s="28"/>
      <c r="N864" s="30"/>
      <c r="O864" s="27"/>
      <c r="P864" s="137"/>
    </row>
    <row r="865" spans="1:16" x14ac:dyDescent="0.3">
      <c r="A865" s="27"/>
      <c r="B865" s="27"/>
      <c r="C865" s="27"/>
      <c r="D865" s="27"/>
      <c r="E865" s="27"/>
      <c r="F865" s="27"/>
      <c r="G865" s="27"/>
      <c r="H865" s="27"/>
      <c r="I865" s="28"/>
      <c r="J865" s="27"/>
      <c r="K865" s="29"/>
      <c r="L865" s="31"/>
      <c r="M865" s="28"/>
      <c r="N865" s="30"/>
      <c r="O865" s="27"/>
      <c r="P865" s="137"/>
    </row>
    <row r="866" spans="1:16" x14ac:dyDescent="0.3">
      <c r="A866" s="27"/>
      <c r="B866" s="27"/>
      <c r="C866" s="27"/>
      <c r="D866" s="27"/>
      <c r="E866" s="27"/>
      <c r="F866" s="27"/>
      <c r="G866" s="27"/>
      <c r="H866" s="27"/>
      <c r="I866" s="28"/>
      <c r="J866" s="27"/>
      <c r="K866" s="29"/>
      <c r="L866" s="31"/>
      <c r="M866" s="28"/>
      <c r="N866" s="30"/>
      <c r="O866" s="27"/>
      <c r="P866" s="137"/>
    </row>
    <row r="867" spans="1:16" x14ac:dyDescent="0.3">
      <c r="A867" s="27"/>
      <c r="B867" s="27"/>
      <c r="C867" s="27"/>
      <c r="D867" s="27"/>
      <c r="E867" s="27"/>
      <c r="F867" s="27"/>
      <c r="G867" s="27"/>
      <c r="H867" s="27"/>
      <c r="I867" s="28"/>
      <c r="J867" s="27"/>
      <c r="K867" s="29"/>
      <c r="L867" s="31"/>
      <c r="M867" s="28"/>
      <c r="N867" s="30"/>
      <c r="O867" s="27"/>
      <c r="P867" s="137"/>
    </row>
    <row r="868" spans="1:16" x14ac:dyDescent="0.3">
      <c r="A868" s="27"/>
      <c r="B868" s="27"/>
      <c r="C868" s="27"/>
      <c r="D868" s="27"/>
      <c r="E868" s="27"/>
      <c r="F868" s="27"/>
      <c r="G868" s="27"/>
      <c r="H868" s="27"/>
      <c r="I868" s="28"/>
      <c r="J868" s="27"/>
      <c r="K868" s="29"/>
      <c r="L868" s="31"/>
      <c r="M868" s="28"/>
      <c r="N868" s="30"/>
      <c r="O868" s="27"/>
      <c r="P868" s="137"/>
    </row>
    <row r="869" spans="1:16" x14ac:dyDescent="0.3">
      <c r="A869" s="27"/>
      <c r="B869" s="27"/>
      <c r="C869" s="27"/>
      <c r="D869" s="27"/>
      <c r="E869" s="27"/>
      <c r="F869" s="27"/>
      <c r="G869" s="27"/>
      <c r="H869" s="27"/>
      <c r="I869" s="28"/>
      <c r="J869" s="27"/>
      <c r="K869" s="29"/>
      <c r="L869" s="31"/>
      <c r="M869" s="28"/>
      <c r="N869" s="30"/>
      <c r="O869" s="27"/>
      <c r="P869" s="137"/>
    </row>
    <row r="870" spans="1:16" x14ac:dyDescent="0.3">
      <c r="A870" s="27"/>
      <c r="B870" s="27"/>
      <c r="C870" s="27"/>
      <c r="D870" s="27"/>
      <c r="E870" s="27"/>
      <c r="F870" s="27"/>
      <c r="G870" s="27"/>
      <c r="H870" s="27"/>
      <c r="I870" s="28"/>
      <c r="J870" s="27"/>
      <c r="K870" s="29"/>
      <c r="L870" s="31"/>
      <c r="M870" s="28"/>
      <c r="N870" s="30"/>
      <c r="O870" s="27"/>
      <c r="P870" s="137"/>
    </row>
    <row r="871" spans="1:16" x14ac:dyDescent="0.3">
      <c r="A871" s="27"/>
      <c r="B871" s="27"/>
      <c r="C871" s="27"/>
      <c r="D871" s="27"/>
      <c r="E871" s="27"/>
      <c r="F871" s="27"/>
      <c r="G871" s="27"/>
      <c r="H871" s="27"/>
      <c r="I871" s="28"/>
      <c r="J871" s="27"/>
      <c r="K871" s="29"/>
      <c r="L871" s="31"/>
      <c r="M871" s="28"/>
      <c r="N871" s="30"/>
      <c r="O871" s="27"/>
      <c r="P871" s="137"/>
    </row>
    <row r="872" spans="1:16" x14ac:dyDescent="0.3">
      <c r="A872" s="27"/>
      <c r="B872" s="27"/>
      <c r="C872" s="27"/>
      <c r="D872" s="27"/>
      <c r="E872" s="27"/>
      <c r="F872" s="27"/>
      <c r="G872" s="27"/>
      <c r="H872" s="27"/>
      <c r="I872" s="28"/>
      <c r="J872" s="27"/>
      <c r="K872" s="29"/>
      <c r="L872" s="31"/>
      <c r="M872" s="28"/>
      <c r="N872" s="30"/>
      <c r="O872" s="27"/>
      <c r="P872" s="137"/>
    </row>
    <row r="873" spans="1:16" x14ac:dyDescent="0.3">
      <c r="A873" s="27"/>
      <c r="B873" s="27"/>
      <c r="C873" s="27"/>
      <c r="D873" s="27"/>
      <c r="E873" s="27"/>
      <c r="F873" s="27"/>
      <c r="G873" s="27"/>
      <c r="H873" s="27"/>
      <c r="I873" s="28"/>
      <c r="J873" s="27"/>
      <c r="K873" s="29"/>
      <c r="L873" s="31"/>
      <c r="M873" s="28"/>
      <c r="N873" s="30"/>
      <c r="O873" s="27"/>
      <c r="P873" s="137"/>
    </row>
    <row r="874" spans="1:16" x14ac:dyDescent="0.3">
      <c r="A874" s="27"/>
      <c r="B874" s="27"/>
      <c r="C874" s="27"/>
      <c r="D874" s="27"/>
      <c r="E874" s="27"/>
      <c r="F874" s="27"/>
      <c r="G874" s="27"/>
      <c r="H874" s="27"/>
      <c r="I874" s="28"/>
      <c r="J874" s="27"/>
      <c r="K874" s="29"/>
      <c r="L874" s="31"/>
      <c r="M874" s="28"/>
      <c r="N874" s="30"/>
      <c r="O874" s="27"/>
      <c r="P874" s="137"/>
    </row>
    <row r="875" spans="1:16" x14ac:dyDescent="0.3">
      <c r="A875" s="27"/>
      <c r="B875" s="27"/>
      <c r="C875" s="27"/>
      <c r="D875" s="27"/>
      <c r="E875" s="27"/>
      <c r="F875" s="27"/>
      <c r="G875" s="27"/>
      <c r="H875" s="27"/>
      <c r="I875" s="28"/>
      <c r="J875" s="27"/>
      <c r="K875" s="29"/>
      <c r="L875" s="31"/>
      <c r="M875" s="28"/>
      <c r="N875" s="30"/>
      <c r="O875" s="27"/>
      <c r="P875" s="137"/>
    </row>
    <row r="876" spans="1:16" x14ac:dyDescent="0.3">
      <c r="A876" s="27"/>
      <c r="B876" s="27"/>
      <c r="C876" s="27"/>
      <c r="D876" s="27"/>
      <c r="E876" s="27"/>
      <c r="F876" s="27"/>
      <c r="G876" s="27"/>
      <c r="H876" s="27"/>
      <c r="I876" s="28"/>
      <c r="J876" s="27"/>
      <c r="K876" s="29"/>
      <c r="L876" s="31"/>
      <c r="M876" s="28"/>
      <c r="N876" s="30"/>
      <c r="O876" s="27"/>
      <c r="P876" s="137"/>
    </row>
    <row r="877" spans="1:16" x14ac:dyDescent="0.3">
      <c r="A877" s="27"/>
      <c r="B877" s="27"/>
      <c r="C877" s="27"/>
      <c r="D877" s="27"/>
      <c r="E877" s="27"/>
      <c r="F877" s="27"/>
      <c r="G877" s="27"/>
      <c r="H877" s="27"/>
      <c r="I877" s="28"/>
      <c r="J877" s="27"/>
      <c r="K877" s="29"/>
      <c r="L877" s="31"/>
      <c r="M877" s="28"/>
      <c r="N877" s="30"/>
      <c r="O877" s="27"/>
      <c r="P877" s="137"/>
    </row>
    <row r="878" spans="1:16" x14ac:dyDescent="0.3">
      <c r="A878" s="27"/>
      <c r="B878" s="27"/>
      <c r="C878" s="27"/>
      <c r="D878" s="27"/>
      <c r="E878" s="27"/>
      <c r="F878" s="27"/>
      <c r="G878" s="27"/>
      <c r="H878" s="27"/>
      <c r="I878" s="28"/>
      <c r="J878" s="27"/>
      <c r="K878" s="29"/>
      <c r="L878" s="31"/>
      <c r="M878" s="28"/>
      <c r="N878" s="30"/>
      <c r="O878" s="27"/>
      <c r="P878" s="137"/>
    </row>
    <row r="879" spans="1:16" x14ac:dyDescent="0.3">
      <c r="A879" s="27"/>
      <c r="B879" s="27"/>
      <c r="C879" s="27"/>
      <c r="D879" s="27"/>
      <c r="E879" s="27"/>
      <c r="F879" s="27"/>
      <c r="G879" s="27"/>
      <c r="H879" s="27"/>
      <c r="I879" s="28"/>
      <c r="J879" s="27"/>
      <c r="K879" s="29"/>
      <c r="L879" s="31"/>
      <c r="M879" s="28"/>
      <c r="N879" s="30"/>
      <c r="O879" s="27"/>
      <c r="P879" s="137"/>
    </row>
    <row r="880" spans="1:16" x14ac:dyDescent="0.3">
      <c r="A880" s="27"/>
      <c r="B880" s="27"/>
      <c r="C880" s="27"/>
      <c r="D880" s="27"/>
      <c r="E880" s="27"/>
      <c r="F880" s="27"/>
      <c r="G880" s="27"/>
      <c r="H880" s="27"/>
      <c r="I880" s="28"/>
      <c r="J880" s="27"/>
      <c r="K880" s="29"/>
      <c r="L880" s="31"/>
      <c r="M880" s="28"/>
      <c r="N880" s="30"/>
      <c r="O880" s="27"/>
      <c r="P880" s="137"/>
    </row>
    <row r="881" spans="1:16" x14ac:dyDescent="0.3">
      <c r="A881" s="27"/>
      <c r="B881" s="27"/>
      <c r="C881" s="27"/>
      <c r="D881" s="27"/>
      <c r="E881" s="27"/>
      <c r="F881" s="27"/>
      <c r="G881" s="27"/>
      <c r="H881" s="27"/>
      <c r="I881" s="28"/>
      <c r="J881" s="27"/>
      <c r="K881" s="29"/>
      <c r="L881" s="31"/>
      <c r="M881" s="28"/>
      <c r="N881" s="30"/>
      <c r="O881" s="27"/>
      <c r="P881" s="137"/>
    </row>
    <row r="882" spans="1:16" x14ac:dyDescent="0.3">
      <c r="A882" s="27"/>
      <c r="B882" s="27"/>
      <c r="C882" s="27"/>
      <c r="D882" s="27"/>
      <c r="E882" s="27"/>
      <c r="F882" s="27"/>
      <c r="G882" s="27"/>
      <c r="H882" s="27"/>
      <c r="I882" s="28"/>
      <c r="J882" s="27"/>
      <c r="K882" s="29"/>
      <c r="L882" s="31"/>
      <c r="M882" s="28"/>
      <c r="N882" s="30"/>
      <c r="O882" s="27"/>
      <c r="P882" s="137"/>
    </row>
    <row r="883" spans="1:16" x14ac:dyDescent="0.3">
      <c r="A883" s="27"/>
      <c r="B883" s="27"/>
      <c r="C883" s="27"/>
      <c r="D883" s="27"/>
      <c r="E883" s="27"/>
      <c r="F883" s="27"/>
      <c r="G883" s="27"/>
      <c r="H883" s="27"/>
      <c r="I883" s="28"/>
      <c r="J883" s="27"/>
      <c r="K883" s="29"/>
      <c r="L883" s="31"/>
      <c r="M883" s="28"/>
      <c r="N883" s="30"/>
      <c r="O883" s="27"/>
      <c r="P883" s="137"/>
    </row>
    <row r="884" spans="1:16" x14ac:dyDescent="0.3">
      <c r="A884" s="27"/>
      <c r="B884" s="27"/>
      <c r="C884" s="27"/>
      <c r="D884" s="27"/>
      <c r="E884" s="27"/>
      <c r="F884" s="27"/>
      <c r="G884" s="27"/>
      <c r="H884" s="27"/>
      <c r="I884" s="28"/>
      <c r="J884" s="27"/>
      <c r="K884" s="29"/>
      <c r="L884" s="31"/>
      <c r="M884" s="28"/>
      <c r="N884" s="30"/>
      <c r="O884" s="27"/>
      <c r="P884" s="137"/>
    </row>
    <row r="885" spans="1:16" x14ac:dyDescent="0.3">
      <c r="A885" s="27"/>
      <c r="B885" s="27"/>
      <c r="C885" s="27"/>
      <c r="D885" s="27"/>
      <c r="E885" s="27"/>
      <c r="F885" s="27"/>
      <c r="G885" s="27"/>
      <c r="H885" s="27"/>
      <c r="I885" s="28"/>
      <c r="J885" s="27"/>
      <c r="K885" s="29"/>
      <c r="L885" s="31"/>
      <c r="M885" s="28"/>
      <c r="N885" s="30"/>
      <c r="O885" s="27"/>
      <c r="P885" s="137"/>
    </row>
    <row r="886" spans="1:16" x14ac:dyDescent="0.3">
      <c r="A886" s="27"/>
      <c r="B886" s="27"/>
      <c r="C886" s="27"/>
      <c r="D886" s="27"/>
      <c r="E886" s="27"/>
      <c r="F886" s="27"/>
      <c r="G886" s="27"/>
      <c r="H886" s="27"/>
      <c r="I886" s="28"/>
      <c r="J886" s="27"/>
      <c r="K886" s="29"/>
      <c r="L886" s="31"/>
      <c r="M886" s="28"/>
      <c r="N886" s="30"/>
      <c r="O886" s="27"/>
      <c r="P886" s="137"/>
    </row>
    <row r="887" spans="1:16" x14ac:dyDescent="0.3">
      <c r="A887" s="27"/>
      <c r="B887" s="27"/>
      <c r="C887" s="27"/>
      <c r="D887" s="27"/>
      <c r="E887" s="27"/>
      <c r="F887" s="27"/>
      <c r="G887" s="27"/>
      <c r="H887" s="27"/>
      <c r="I887" s="28"/>
      <c r="J887" s="27"/>
      <c r="K887" s="29"/>
      <c r="L887" s="31"/>
      <c r="M887" s="28"/>
      <c r="N887" s="30"/>
      <c r="O887" s="27"/>
      <c r="P887" s="137"/>
    </row>
    <row r="888" spans="1:16" x14ac:dyDescent="0.3">
      <c r="A888" s="27"/>
      <c r="B888" s="27"/>
      <c r="C888" s="27"/>
      <c r="D888" s="27"/>
      <c r="E888" s="27"/>
      <c r="F888" s="27"/>
      <c r="G888" s="27"/>
      <c r="H888" s="27"/>
      <c r="I888" s="28"/>
      <c r="J888" s="27"/>
      <c r="K888" s="29"/>
      <c r="L888" s="31"/>
      <c r="M888" s="28"/>
      <c r="N888" s="30"/>
      <c r="O888" s="27"/>
      <c r="P888" s="137"/>
    </row>
    <row r="889" spans="1:16" x14ac:dyDescent="0.3">
      <c r="A889" s="27"/>
      <c r="B889" s="27"/>
      <c r="C889" s="27"/>
      <c r="D889" s="27"/>
      <c r="E889" s="27"/>
      <c r="F889" s="27"/>
      <c r="G889" s="27"/>
      <c r="H889" s="27"/>
      <c r="I889" s="28"/>
      <c r="J889" s="27"/>
      <c r="K889" s="29"/>
      <c r="L889" s="31"/>
      <c r="M889" s="28"/>
      <c r="N889" s="30"/>
      <c r="O889" s="27"/>
      <c r="P889" s="137"/>
    </row>
    <row r="890" spans="1:16" x14ac:dyDescent="0.3">
      <c r="A890" s="27"/>
      <c r="B890" s="27"/>
      <c r="C890" s="27"/>
      <c r="D890" s="27"/>
      <c r="E890" s="27"/>
      <c r="F890" s="27"/>
      <c r="G890" s="27"/>
      <c r="H890" s="27"/>
      <c r="I890" s="28"/>
      <c r="J890" s="27"/>
      <c r="K890" s="29"/>
      <c r="L890" s="31"/>
      <c r="M890" s="28"/>
      <c r="N890" s="30"/>
      <c r="O890" s="27"/>
      <c r="P890" s="137"/>
    </row>
    <row r="891" spans="1:16" x14ac:dyDescent="0.3">
      <c r="A891" s="27"/>
      <c r="B891" s="27"/>
      <c r="C891" s="27"/>
      <c r="D891" s="27"/>
      <c r="E891" s="27"/>
      <c r="F891" s="27"/>
      <c r="G891" s="27"/>
      <c r="H891" s="27"/>
      <c r="I891" s="28"/>
      <c r="J891" s="27"/>
      <c r="K891" s="29"/>
      <c r="L891" s="31"/>
      <c r="M891" s="28"/>
      <c r="N891" s="30"/>
      <c r="O891" s="27"/>
      <c r="P891" s="137"/>
    </row>
    <row r="892" spans="1:16" x14ac:dyDescent="0.3">
      <c r="A892" s="27"/>
      <c r="B892" s="27"/>
      <c r="C892" s="27"/>
      <c r="D892" s="27"/>
      <c r="E892" s="27"/>
      <c r="F892" s="27"/>
      <c r="G892" s="27"/>
      <c r="H892" s="27"/>
      <c r="I892" s="28"/>
      <c r="J892" s="27"/>
      <c r="K892" s="29"/>
      <c r="L892" s="31"/>
      <c r="M892" s="28"/>
      <c r="N892" s="30"/>
      <c r="O892" s="27"/>
      <c r="P892" s="137"/>
    </row>
    <row r="893" spans="1:16" x14ac:dyDescent="0.3">
      <c r="A893" s="27"/>
      <c r="B893" s="27"/>
      <c r="C893" s="27"/>
      <c r="D893" s="27"/>
      <c r="E893" s="27"/>
      <c r="F893" s="27"/>
      <c r="G893" s="27"/>
      <c r="H893" s="27"/>
      <c r="I893" s="28"/>
      <c r="J893" s="27"/>
      <c r="K893" s="29"/>
      <c r="L893" s="31"/>
      <c r="M893" s="28"/>
      <c r="N893" s="30"/>
      <c r="O893" s="27"/>
      <c r="P893" s="137"/>
    </row>
    <row r="894" spans="1:16" x14ac:dyDescent="0.3">
      <c r="A894" s="27"/>
      <c r="B894" s="27"/>
      <c r="C894" s="27"/>
      <c r="D894" s="27"/>
      <c r="E894" s="27"/>
      <c r="F894" s="27"/>
      <c r="G894" s="27"/>
      <c r="H894" s="27"/>
      <c r="I894" s="28"/>
      <c r="J894" s="27"/>
      <c r="K894" s="29"/>
      <c r="L894" s="31"/>
      <c r="M894" s="28"/>
      <c r="N894" s="30"/>
      <c r="O894" s="27"/>
      <c r="P894" s="137"/>
    </row>
    <row r="895" spans="1:16" x14ac:dyDescent="0.3">
      <c r="A895" s="27"/>
      <c r="B895" s="27"/>
      <c r="C895" s="27"/>
      <c r="D895" s="27"/>
      <c r="E895" s="27"/>
      <c r="F895" s="27"/>
      <c r="G895" s="27"/>
      <c r="H895" s="27"/>
      <c r="I895" s="28"/>
      <c r="J895" s="27"/>
      <c r="K895" s="29"/>
      <c r="L895" s="31"/>
      <c r="M895" s="28"/>
      <c r="N895" s="30"/>
      <c r="O895" s="27"/>
      <c r="P895" s="137"/>
    </row>
    <row r="896" spans="1:16" x14ac:dyDescent="0.3">
      <c r="A896" s="27"/>
      <c r="B896" s="27"/>
      <c r="C896" s="27"/>
      <c r="D896" s="27"/>
      <c r="E896" s="27"/>
      <c r="F896" s="27"/>
      <c r="G896" s="27"/>
      <c r="H896" s="27"/>
      <c r="I896" s="28"/>
      <c r="J896" s="27"/>
      <c r="K896" s="29"/>
      <c r="L896" s="31"/>
      <c r="M896" s="28"/>
      <c r="N896" s="30"/>
      <c r="O896" s="27"/>
      <c r="P896" s="137"/>
    </row>
    <row r="897" spans="1:16" x14ac:dyDescent="0.3">
      <c r="A897" s="27"/>
      <c r="B897" s="27"/>
      <c r="C897" s="27"/>
      <c r="D897" s="27"/>
      <c r="E897" s="27"/>
      <c r="F897" s="27"/>
      <c r="G897" s="27"/>
      <c r="H897" s="27"/>
      <c r="I897" s="28"/>
      <c r="J897" s="27"/>
      <c r="K897" s="29"/>
      <c r="L897" s="31"/>
      <c r="M897" s="28"/>
      <c r="N897" s="30"/>
      <c r="O897" s="27"/>
      <c r="P897" s="137"/>
    </row>
    <row r="898" spans="1:16" x14ac:dyDescent="0.3">
      <c r="A898" s="27"/>
      <c r="B898" s="27"/>
      <c r="C898" s="27"/>
      <c r="D898" s="27"/>
      <c r="E898" s="27"/>
      <c r="F898" s="27"/>
      <c r="G898" s="27"/>
      <c r="H898" s="27"/>
      <c r="I898" s="28"/>
      <c r="J898" s="27"/>
      <c r="K898" s="29"/>
      <c r="L898" s="31"/>
      <c r="M898" s="28"/>
      <c r="N898" s="30"/>
      <c r="O898" s="27"/>
      <c r="P898" s="137"/>
    </row>
    <row r="899" spans="1:16" x14ac:dyDescent="0.3">
      <c r="A899" s="27"/>
      <c r="B899" s="27"/>
      <c r="C899" s="27"/>
      <c r="D899" s="27"/>
      <c r="E899" s="27"/>
      <c r="F899" s="27"/>
      <c r="G899" s="27"/>
      <c r="H899" s="27"/>
      <c r="I899" s="28"/>
      <c r="J899" s="27"/>
      <c r="K899" s="29"/>
      <c r="L899" s="31"/>
      <c r="M899" s="28"/>
      <c r="N899" s="30"/>
      <c r="O899" s="27"/>
      <c r="P899" s="137"/>
    </row>
    <row r="900" spans="1:16" x14ac:dyDescent="0.3">
      <c r="A900" s="27"/>
      <c r="B900" s="27"/>
      <c r="C900" s="27"/>
      <c r="D900" s="27"/>
      <c r="E900" s="27"/>
      <c r="F900" s="27"/>
      <c r="G900" s="27"/>
      <c r="H900" s="27"/>
      <c r="I900" s="28"/>
      <c r="J900" s="27"/>
      <c r="K900" s="29"/>
      <c r="L900" s="31"/>
      <c r="M900" s="28"/>
      <c r="N900" s="30"/>
      <c r="O900" s="27"/>
      <c r="P900" s="137"/>
    </row>
    <row r="901" spans="1:16" x14ac:dyDescent="0.3">
      <c r="A901" s="27"/>
      <c r="B901" s="27"/>
      <c r="C901" s="27"/>
      <c r="D901" s="27"/>
      <c r="E901" s="27"/>
      <c r="F901" s="27"/>
      <c r="G901" s="27"/>
      <c r="H901" s="27"/>
      <c r="I901" s="28"/>
      <c r="J901" s="27"/>
      <c r="K901" s="29"/>
      <c r="L901" s="31"/>
      <c r="M901" s="28"/>
      <c r="N901" s="30"/>
      <c r="O901" s="27"/>
      <c r="P901" s="137"/>
    </row>
    <row r="902" spans="1:16" x14ac:dyDescent="0.3">
      <c r="A902" s="27"/>
      <c r="B902" s="27"/>
      <c r="C902" s="27"/>
      <c r="D902" s="27"/>
      <c r="E902" s="27"/>
      <c r="F902" s="27"/>
      <c r="G902" s="27"/>
      <c r="H902" s="27"/>
      <c r="I902" s="28"/>
      <c r="J902" s="27"/>
      <c r="K902" s="29"/>
      <c r="L902" s="31"/>
      <c r="M902" s="28"/>
      <c r="N902" s="30"/>
      <c r="O902" s="27"/>
      <c r="P902" s="137"/>
    </row>
    <row r="903" spans="1:16" x14ac:dyDescent="0.3">
      <c r="A903" s="27"/>
      <c r="B903" s="27"/>
      <c r="C903" s="27"/>
      <c r="D903" s="27"/>
      <c r="E903" s="27"/>
      <c r="F903" s="27"/>
      <c r="G903" s="27"/>
      <c r="H903" s="27"/>
      <c r="I903" s="28"/>
      <c r="J903" s="27"/>
      <c r="K903" s="29"/>
      <c r="L903" s="31"/>
      <c r="M903" s="28"/>
      <c r="N903" s="30"/>
      <c r="O903" s="27"/>
      <c r="P903" s="137"/>
    </row>
    <row r="904" spans="1:16" x14ac:dyDescent="0.3">
      <c r="A904" s="27"/>
      <c r="B904" s="27"/>
      <c r="C904" s="27"/>
      <c r="D904" s="27"/>
      <c r="E904" s="27"/>
      <c r="F904" s="27"/>
      <c r="G904" s="27"/>
      <c r="H904" s="27"/>
      <c r="I904" s="28"/>
      <c r="J904" s="27"/>
      <c r="K904" s="29"/>
      <c r="L904" s="31"/>
      <c r="M904" s="28"/>
      <c r="N904" s="30"/>
      <c r="O904" s="27"/>
      <c r="P904" s="137"/>
    </row>
    <row r="905" spans="1:16" x14ac:dyDescent="0.3">
      <c r="A905" s="27"/>
      <c r="B905" s="27"/>
      <c r="C905" s="27"/>
      <c r="D905" s="27"/>
      <c r="E905" s="27"/>
      <c r="F905" s="27"/>
      <c r="G905" s="27"/>
      <c r="H905" s="27"/>
      <c r="I905" s="28"/>
      <c r="J905" s="27"/>
      <c r="K905" s="29"/>
      <c r="L905" s="31"/>
      <c r="M905" s="28"/>
      <c r="N905" s="30"/>
      <c r="O905" s="27"/>
      <c r="P905" s="137"/>
    </row>
    <row r="906" spans="1:16" x14ac:dyDescent="0.3">
      <c r="A906" s="27"/>
      <c r="B906" s="27"/>
      <c r="C906" s="27"/>
      <c r="D906" s="27"/>
      <c r="E906" s="27"/>
      <c r="F906" s="27"/>
      <c r="G906" s="27"/>
      <c r="H906" s="27"/>
      <c r="I906" s="28"/>
      <c r="J906" s="27"/>
      <c r="K906" s="29"/>
      <c r="L906" s="31"/>
      <c r="M906" s="28"/>
      <c r="N906" s="30"/>
      <c r="O906" s="27"/>
      <c r="P906" s="137"/>
    </row>
    <row r="907" spans="1:16" x14ac:dyDescent="0.3">
      <c r="A907" s="27"/>
      <c r="B907" s="27"/>
      <c r="C907" s="27"/>
      <c r="D907" s="27"/>
      <c r="E907" s="27"/>
      <c r="F907" s="27"/>
      <c r="G907" s="27"/>
      <c r="H907" s="27"/>
      <c r="I907" s="28"/>
      <c r="J907" s="27"/>
      <c r="K907" s="29"/>
      <c r="L907" s="31"/>
      <c r="M907" s="28"/>
      <c r="N907" s="30"/>
      <c r="O907" s="27"/>
      <c r="P907" s="137"/>
    </row>
    <row r="908" spans="1:16" x14ac:dyDescent="0.3">
      <c r="A908" s="27"/>
      <c r="B908" s="27"/>
      <c r="C908" s="27"/>
      <c r="D908" s="27"/>
      <c r="E908" s="27"/>
      <c r="F908" s="27"/>
      <c r="G908" s="27"/>
      <c r="H908" s="27"/>
      <c r="I908" s="28"/>
      <c r="J908" s="27"/>
      <c r="K908" s="29"/>
      <c r="L908" s="31"/>
      <c r="M908" s="28"/>
      <c r="N908" s="30"/>
      <c r="O908" s="27"/>
      <c r="P908" s="137"/>
    </row>
    <row r="909" spans="1:16" x14ac:dyDescent="0.3">
      <c r="A909" s="27"/>
      <c r="B909" s="27"/>
      <c r="C909" s="27"/>
      <c r="D909" s="27"/>
      <c r="E909" s="27"/>
      <c r="F909" s="27"/>
      <c r="G909" s="27"/>
      <c r="H909" s="27"/>
      <c r="I909" s="28"/>
      <c r="J909" s="27"/>
      <c r="K909" s="29"/>
      <c r="L909" s="31"/>
      <c r="M909" s="28"/>
      <c r="N909" s="30"/>
      <c r="O909" s="27"/>
      <c r="P909" s="137"/>
    </row>
    <row r="910" spans="1:16" x14ac:dyDescent="0.3">
      <c r="A910" s="27"/>
      <c r="B910" s="27"/>
      <c r="C910" s="27"/>
      <c r="D910" s="27"/>
      <c r="E910" s="27"/>
      <c r="F910" s="27"/>
      <c r="G910" s="27"/>
      <c r="H910" s="27"/>
      <c r="I910" s="28"/>
      <c r="J910" s="27"/>
      <c r="K910" s="29"/>
      <c r="L910" s="31"/>
      <c r="M910" s="28"/>
      <c r="N910" s="30"/>
      <c r="O910" s="27"/>
      <c r="P910" s="137"/>
    </row>
    <row r="911" spans="1:16" x14ac:dyDescent="0.3">
      <c r="A911" s="27"/>
      <c r="B911" s="27"/>
      <c r="C911" s="27"/>
      <c r="D911" s="27"/>
      <c r="E911" s="27"/>
      <c r="F911" s="27"/>
      <c r="G911" s="27"/>
      <c r="H911" s="27"/>
      <c r="I911" s="28"/>
      <c r="J911" s="27"/>
      <c r="K911" s="29"/>
      <c r="L911" s="31"/>
      <c r="M911" s="28"/>
      <c r="N911" s="30"/>
      <c r="O911" s="27"/>
      <c r="P911" s="137"/>
    </row>
    <row r="912" spans="1:16" x14ac:dyDescent="0.3">
      <c r="A912" s="27"/>
      <c r="B912" s="27"/>
      <c r="C912" s="27"/>
      <c r="D912" s="27"/>
      <c r="E912" s="27"/>
      <c r="F912" s="27"/>
      <c r="G912" s="27"/>
      <c r="H912" s="27"/>
      <c r="I912" s="28"/>
      <c r="J912" s="27"/>
      <c r="K912" s="29"/>
      <c r="L912" s="31"/>
      <c r="M912" s="28"/>
      <c r="N912" s="30"/>
      <c r="O912" s="27"/>
      <c r="P912" s="137"/>
    </row>
    <row r="913" spans="1:16" x14ac:dyDescent="0.3">
      <c r="A913" s="27"/>
      <c r="B913" s="27"/>
      <c r="C913" s="27"/>
      <c r="D913" s="27"/>
      <c r="E913" s="27"/>
      <c r="F913" s="27"/>
      <c r="G913" s="27"/>
      <c r="H913" s="27"/>
      <c r="I913" s="28"/>
      <c r="J913" s="27"/>
      <c r="K913" s="29"/>
      <c r="L913" s="31"/>
      <c r="M913" s="28"/>
      <c r="N913" s="30"/>
      <c r="O913" s="27"/>
      <c r="P913" s="137"/>
    </row>
    <row r="914" spans="1:16" x14ac:dyDescent="0.3">
      <c r="A914" s="27"/>
      <c r="B914" s="27"/>
      <c r="C914" s="27"/>
      <c r="D914" s="27"/>
      <c r="E914" s="27"/>
      <c r="F914" s="27"/>
      <c r="G914" s="27"/>
      <c r="H914" s="27"/>
      <c r="I914" s="28"/>
      <c r="J914" s="27"/>
      <c r="K914" s="29"/>
      <c r="L914" s="31"/>
      <c r="M914" s="28"/>
      <c r="N914" s="30"/>
      <c r="O914" s="27"/>
      <c r="P914" s="137"/>
    </row>
    <row r="915" spans="1:16" x14ac:dyDescent="0.3">
      <c r="A915" s="27"/>
      <c r="B915" s="27"/>
      <c r="C915" s="27"/>
      <c r="D915" s="27"/>
      <c r="E915" s="27"/>
      <c r="F915" s="27"/>
      <c r="G915" s="27"/>
      <c r="H915" s="27"/>
      <c r="I915" s="28"/>
      <c r="J915" s="27"/>
      <c r="K915" s="29"/>
      <c r="L915" s="31"/>
      <c r="M915" s="28"/>
      <c r="N915" s="30"/>
      <c r="O915" s="27"/>
      <c r="P915" s="137"/>
    </row>
    <row r="916" spans="1:16" x14ac:dyDescent="0.3">
      <c r="A916" s="27"/>
      <c r="B916" s="27"/>
      <c r="C916" s="27"/>
      <c r="D916" s="27"/>
      <c r="E916" s="27"/>
      <c r="F916" s="27"/>
      <c r="G916" s="27"/>
      <c r="H916" s="27"/>
      <c r="I916" s="28"/>
      <c r="J916" s="27"/>
      <c r="K916" s="29"/>
      <c r="L916" s="31"/>
      <c r="M916" s="28"/>
      <c r="N916" s="30"/>
      <c r="O916" s="27"/>
      <c r="P916" s="137"/>
    </row>
    <row r="917" spans="1:16" x14ac:dyDescent="0.3">
      <c r="A917" s="27"/>
      <c r="B917" s="27"/>
      <c r="C917" s="27"/>
      <c r="D917" s="27"/>
      <c r="E917" s="27"/>
      <c r="F917" s="27"/>
      <c r="G917" s="27"/>
      <c r="H917" s="27"/>
      <c r="I917" s="28"/>
      <c r="J917" s="27"/>
      <c r="K917" s="29"/>
      <c r="L917" s="31"/>
      <c r="M917" s="28"/>
      <c r="N917" s="30"/>
      <c r="O917" s="27"/>
      <c r="P917" s="137"/>
    </row>
    <row r="918" spans="1:16" x14ac:dyDescent="0.3">
      <c r="A918" s="27"/>
      <c r="B918" s="27"/>
      <c r="C918" s="27"/>
      <c r="D918" s="27"/>
      <c r="E918" s="27"/>
      <c r="F918" s="27"/>
      <c r="G918" s="27"/>
      <c r="H918" s="27"/>
      <c r="I918" s="28"/>
      <c r="J918" s="27"/>
      <c r="K918" s="29"/>
      <c r="L918" s="31"/>
      <c r="M918" s="28"/>
      <c r="N918" s="30"/>
      <c r="O918" s="27"/>
      <c r="P918" s="137"/>
    </row>
    <row r="919" spans="1:16" x14ac:dyDescent="0.3">
      <c r="A919" s="27"/>
      <c r="B919" s="27"/>
      <c r="C919" s="27"/>
      <c r="D919" s="27"/>
      <c r="E919" s="27"/>
      <c r="F919" s="27"/>
      <c r="G919" s="27"/>
      <c r="H919" s="27"/>
      <c r="I919" s="28"/>
      <c r="J919" s="27"/>
      <c r="K919" s="29"/>
      <c r="L919" s="31"/>
      <c r="M919" s="28"/>
      <c r="N919" s="30"/>
      <c r="O919" s="27"/>
      <c r="P919" s="137"/>
    </row>
    <row r="920" spans="1:16" x14ac:dyDescent="0.3">
      <c r="A920" s="27"/>
      <c r="B920" s="27"/>
      <c r="C920" s="27"/>
      <c r="D920" s="27"/>
      <c r="E920" s="27"/>
      <c r="F920" s="27"/>
      <c r="G920" s="27"/>
      <c r="H920" s="27"/>
      <c r="I920" s="28"/>
      <c r="J920" s="27"/>
      <c r="K920" s="29"/>
      <c r="L920" s="31"/>
      <c r="M920" s="28"/>
      <c r="N920" s="30"/>
      <c r="O920" s="27"/>
      <c r="P920" s="137"/>
    </row>
    <row r="921" spans="1:16" x14ac:dyDescent="0.3">
      <c r="A921" s="27"/>
      <c r="B921" s="27"/>
      <c r="C921" s="27"/>
      <c r="D921" s="27"/>
      <c r="E921" s="27"/>
      <c r="F921" s="27"/>
      <c r="G921" s="27"/>
      <c r="H921" s="27"/>
      <c r="I921" s="28"/>
      <c r="J921" s="27"/>
      <c r="K921" s="29"/>
      <c r="L921" s="31"/>
      <c r="M921" s="28"/>
      <c r="N921" s="30"/>
      <c r="O921" s="27"/>
      <c r="P921" s="137"/>
    </row>
    <row r="922" spans="1:16" x14ac:dyDescent="0.3">
      <c r="A922" s="27"/>
      <c r="B922" s="27"/>
      <c r="C922" s="27"/>
      <c r="D922" s="27"/>
      <c r="E922" s="27"/>
      <c r="F922" s="27"/>
      <c r="G922" s="27"/>
      <c r="H922" s="27"/>
      <c r="I922" s="28"/>
      <c r="J922" s="27"/>
      <c r="K922" s="29"/>
      <c r="L922" s="31"/>
      <c r="M922" s="28"/>
      <c r="N922" s="30"/>
      <c r="O922" s="27"/>
      <c r="P922" s="137"/>
    </row>
    <row r="923" spans="1:16" x14ac:dyDescent="0.3">
      <c r="A923" s="27"/>
      <c r="B923" s="27"/>
      <c r="C923" s="27"/>
      <c r="D923" s="27"/>
      <c r="E923" s="27"/>
      <c r="F923" s="27"/>
      <c r="G923" s="27"/>
      <c r="H923" s="27"/>
      <c r="I923" s="28"/>
      <c r="J923" s="27"/>
      <c r="K923" s="29"/>
      <c r="L923" s="31"/>
      <c r="M923" s="28"/>
      <c r="N923" s="30"/>
      <c r="O923" s="27"/>
      <c r="P923" s="137"/>
    </row>
    <row r="924" spans="1:16" x14ac:dyDescent="0.3">
      <c r="A924" s="27"/>
      <c r="B924" s="27"/>
      <c r="C924" s="27"/>
      <c r="D924" s="27"/>
      <c r="E924" s="27"/>
      <c r="F924" s="27"/>
      <c r="G924" s="27"/>
      <c r="H924" s="27"/>
      <c r="I924" s="28"/>
      <c r="J924" s="27"/>
      <c r="K924" s="29"/>
      <c r="L924" s="31"/>
      <c r="M924" s="28"/>
      <c r="N924" s="30"/>
      <c r="O924" s="27"/>
      <c r="P924" s="137"/>
    </row>
    <row r="925" spans="1:16" x14ac:dyDescent="0.3">
      <c r="A925" s="27"/>
      <c r="B925" s="27"/>
      <c r="C925" s="27"/>
      <c r="D925" s="27"/>
      <c r="E925" s="27"/>
      <c r="F925" s="27"/>
      <c r="G925" s="27"/>
      <c r="H925" s="27"/>
      <c r="I925" s="28"/>
      <c r="J925" s="27"/>
      <c r="K925" s="29"/>
      <c r="L925" s="31"/>
      <c r="M925" s="28"/>
      <c r="N925" s="30"/>
      <c r="O925" s="27"/>
      <c r="P925" s="137"/>
    </row>
    <row r="926" spans="1:16" x14ac:dyDescent="0.3">
      <c r="A926" s="27"/>
      <c r="B926" s="27"/>
      <c r="C926" s="27"/>
      <c r="D926" s="27"/>
      <c r="E926" s="27"/>
      <c r="F926" s="27"/>
      <c r="G926" s="27"/>
      <c r="H926" s="27"/>
      <c r="I926" s="28"/>
      <c r="J926" s="27"/>
      <c r="K926" s="29"/>
      <c r="L926" s="31"/>
      <c r="M926" s="28"/>
      <c r="N926" s="30"/>
      <c r="O926" s="27"/>
      <c r="P926" s="137"/>
    </row>
    <row r="927" spans="1:16" x14ac:dyDescent="0.3">
      <c r="A927" s="27"/>
      <c r="B927" s="27"/>
      <c r="C927" s="27"/>
      <c r="D927" s="27"/>
      <c r="E927" s="27"/>
      <c r="F927" s="27"/>
      <c r="G927" s="27"/>
      <c r="H927" s="27"/>
      <c r="I927" s="28"/>
      <c r="J927" s="27"/>
      <c r="K927" s="29"/>
      <c r="L927" s="31"/>
      <c r="M927" s="28"/>
      <c r="N927" s="30"/>
      <c r="O927" s="27"/>
      <c r="P927" s="137"/>
    </row>
    <row r="928" spans="1:16" x14ac:dyDescent="0.3">
      <c r="A928" s="27"/>
      <c r="B928" s="27"/>
      <c r="C928" s="27"/>
      <c r="D928" s="27"/>
      <c r="E928" s="27"/>
      <c r="F928" s="27"/>
      <c r="G928" s="27"/>
      <c r="H928" s="27"/>
      <c r="I928" s="28"/>
      <c r="J928" s="27"/>
      <c r="K928" s="29"/>
      <c r="L928" s="31"/>
      <c r="M928" s="28"/>
      <c r="N928" s="30"/>
      <c r="O928" s="27"/>
      <c r="P928" s="137"/>
    </row>
    <row r="929" spans="1:16" x14ac:dyDescent="0.3">
      <c r="A929" s="27"/>
      <c r="B929" s="27"/>
      <c r="C929" s="27"/>
      <c r="D929" s="27"/>
      <c r="E929" s="27"/>
      <c r="F929" s="27"/>
      <c r="G929" s="27"/>
      <c r="H929" s="27"/>
      <c r="I929" s="28"/>
      <c r="J929" s="27"/>
      <c r="K929" s="29"/>
      <c r="L929" s="31"/>
      <c r="M929" s="28"/>
      <c r="N929" s="30"/>
      <c r="O929" s="27"/>
      <c r="P929" s="137"/>
    </row>
    <row r="930" spans="1:16" x14ac:dyDescent="0.3">
      <c r="A930" s="27"/>
      <c r="B930" s="27"/>
      <c r="C930" s="27"/>
      <c r="D930" s="27"/>
      <c r="E930" s="27"/>
      <c r="F930" s="27"/>
      <c r="G930" s="27"/>
      <c r="H930" s="27"/>
      <c r="I930" s="28"/>
      <c r="J930" s="27"/>
      <c r="K930" s="29"/>
      <c r="L930" s="31"/>
      <c r="M930" s="28"/>
      <c r="N930" s="30"/>
      <c r="O930" s="27"/>
      <c r="P930" s="137"/>
    </row>
    <row r="931" spans="1:16" x14ac:dyDescent="0.3">
      <c r="A931" s="27"/>
      <c r="B931" s="27"/>
      <c r="C931" s="27"/>
      <c r="D931" s="27"/>
      <c r="E931" s="27"/>
      <c r="F931" s="27"/>
      <c r="G931" s="27"/>
      <c r="H931" s="27"/>
      <c r="I931" s="28"/>
      <c r="J931" s="27"/>
      <c r="K931" s="29"/>
      <c r="L931" s="31"/>
      <c r="M931" s="28"/>
      <c r="N931" s="30"/>
      <c r="O931" s="27"/>
      <c r="P931" s="137"/>
    </row>
    <row r="932" spans="1:16" x14ac:dyDescent="0.3">
      <c r="A932" s="27"/>
      <c r="B932" s="27"/>
      <c r="C932" s="27"/>
      <c r="D932" s="27"/>
      <c r="E932" s="27"/>
      <c r="F932" s="27"/>
      <c r="G932" s="27"/>
      <c r="H932" s="27"/>
      <c r="I932" s="28"/>
      <c r="J932" s="27"/>
      <c r="K932" s="29"/>
      <c r="L932" s="31"/>
      <c r="M932" s="28"/>
      <c r="N932" s="30"/>
      <c r="O932" s="27"/>
      <c r="P932" s="137"/>
    </row>
    <row r="933" spans="1:16" x14ac:dyDescent="0.3">
      <c r="A933" s="27"/>
      <c r="B933" s="27"/>
      <c r="C933" s="27"/>
      <c r="D933" s="27"/>
      <c r="E933" s="27"/>
      <c r="F933" s="27"/>
      <c r="G933" s="27"/>
      <c r="H933" s="27"/>
      <c r="I933" s="28"/>
      <c r="J933" s="27"/>
      <c r="K933" s="29"/>
      <c r="L933" s="31"/>
      <c r="M933" s="28"/>
      <c r="N933" s="30"/>
      <c r="O933" s="27"/>
      <c r="P933" s="137"/>
    </row>
    <row r="934" spans="1:16" x14ac:dyDescent="0.3">
      <c r="A934" s="27"/>
      <c r="B934" s="27"/>
      <c r="C934" s="27"/>
      <c r="D934" s="27"/>
      <c r="E934" s="27"/>
      <c r="F934" s="27"/>
      <c r="G934" s="27"/>
      <c r="H934" s="27"/>
      <c r="I934" s="28"/>
      <c r="J934" s="27"/>
      <c r="K934" s="29"/>
      <c r="L934" s="31"/>
      <c r="M934" s="28"/>
      <c r="N934" s="30"/>
      <c r="O934" s="27"/>
      <c r="P934" s="137"/>
    </row>
    <row r="935" spans="1:16" x14ac:dyDescent="0.3">
      <c r="A935" s="27"/>
      <c r="B935" s="27"/>
      <c r="C935" s="27"/>
      <c r="D935" s="27"/>
      <c r="E935" s="27"/>
      <c r="F935" s="27"/>
      <c r="G935" s="27"/>
      <c r="H935" s="27"/>
      <c r="I935" s="28"/>
      <c r="J935" s="27"/>
      <c r="K935" s="29"/>
      <c r="L935" s="31"/>
      <c r="M935" s="28"/>
      <c r="N935" s="30"/>
      <c r="O935" s="27"/>
      <c r="P935" s="137"/>
    </row>
    <row r="936" spans="1:16" x14ac:dyDescent="0.3">
      <c r="A936" s="27"/>
      <c r="B936" s="27"/>
      <c r="C936" s="27"/>
      <c r="D936" s="27"/>
      <c r="E936" s="27"/>
      <c r="F936" s="27"/>
      <c r="G936" s="27"/>
      <c r="H936" s="27"/>
      <c r="I936" s="28"/>
      <c r="J936" s="27"/>
      <c r="K936" s="29"/>
      <c r="L936" s="31"/>
      <c r="M936" s="28"/>
      <c r="N936" s="30"/>
      <c r="O936" s="27"/>
      <c r="P936" s="137"/>
    </row>
    <row r="937" spans="1:16" x14ac:dyDescent="0.3">
      <c r="A937" s="27"/>
      <c r="B937" s="27"/>
      <c r="C937" s="27"/>
      <c r="D937" s="27"/>
      <c r="E937" s="27"/>
      <c r="F937" s="27"/>
      <c r="G937" s="27"/>
      <c r="H937" s="27"/>
      <c r="I937" s="28"/>
      <c r="J937" s="27"/>
      <c r="K937" s="29"/>
      <c r="L937" s="31"/>
      <c r="M937" s="28"/>
      <c r="N937" s="30"/>
      <c r="O937" s="27"/>
      <c r="P937" s="137"/>
    </row>
    <row r="938" spans="1:16" x14ac:dyDescent="0.3">
      <c r="A938" s="27"/>
      <c r="B938" s="27"/>
      <c r="C938" s="27"/>
      <c r="D938" s="27"/>
      <c r="E938" s="27"/>
      <c r="F938" s="27"/>
      <c r="G938" s="27"/>
      <c r="H938" s="27"/>
      <c r="I938" s="28"/>
      <c r="J938" s="27"/>
      <c r="K938" s="29"/>
      <c r="L938" s="31"/>
      <c r="M938" s="28"/>
      <c r="N938" s="30"/>
      <c r="O938" s="27"/>
      <c r="P938" s="137"/>
    </row>
    <row r="939" spans="1:16" x14ac:dyDescent="0.3">
      <c r="A939" s="27"/>
      <c r="B939" s="27"/>
      <c r="C939" s="27"/>
      <c r="D939" s="27"/>
      <c r="E939" s="27"/>
      <c r="F939" s="27"/>
      <c r="G939" s="27"/>
      <c r="H939" s="27"/>
      <c r="I939" s="28"/>
      <c r="J939" s="27"/>
      <c r="K939" s="29"/>
      <c r="L939" s="31"/>
      <c r="M939" s="28"/>
      <c r="N939" s="30"/>
      <c r="O939" s="27"/>
      <c r="P939" s="137"/>
    </row>
    <row r="940" spans="1:16" x14ac:dyDescent="0.3">
      <c r="A940" s="27"/>
      <c r="B940" s="27"/>
      <c r="C940" s="27"/>
      <c r="D940" s="27"/>
      <c r="E940" s="27"/>
      <c r="F940" s="27"/>
      <c r="G940" s="27"/>
      <c r="H940" s="27"/>
      <c r="I940" s="28"/>
      <c r="J940" s="27"/>
      <c r="K940" s="29"/>
      <c r="L940" s="31"/>
      <c r="M940" s="28"/>
      <c r="N940" s="30"/>
      <c r="O940" s="27"/>
      <c r="P940" s="137"/>
    </row>
    <row r="941" spans="1:16" x14ac:dyDescent="0.3">
      <c r="A941" s="27"/>
      <c r="B941" s="27"/>
      <c r="C941" s="27"/>
      <c r="D941" s="27"/>
      <c r="E941" s="27"/>
      <c r="F941" s="27"/>
      <c r="G941" s="27"/>
      <c r="H941" s="27"/>
      <c r="I941" s="28"/>
      <c r="J941" s="27"/>
      <c r="K941" s="29"/>
      <c r="L941" s="31"/>
      <c r="M941" s="28"/>
      <c r="N941" s="30"/>
      <c r="O941" s="27"/>
      <c r="P941" s="137"/>
    </row>
    <row r="942" spans="1:16" x14ac:dyDescent="0.3">
      <c r="A942" s="27"/>
      <c r="B942" s="27"/>
      <c r="C942" s="27"/>
      <c r="D942" s="27"/>
      <c r="E942" s="27"/>
      <c r="F942" s="27"/>
      <c r="G942" s="27"/>
      <c r="H942" s="27"/>
      <c r="I942" s="28"/>
      <c r="J942" s="27"/>
      <c r="K942" s="29"/>
      <c r="L942" s="31"/>
      <c r="M942" s="28"/>
      <c r="N942" s="30"/>
      <c r="O942" s="27"/>
      <c r="P942" s="137"/>
    </row>
    <row r="943" spans="1:16" x14ac:dyDescent="0.3">
      <c r="A943" s="27"/>
      <c r="B943" s="27"/>
      <c r="C943" s="27"/>
      <c r="D943" s="27"/>
      <c r="E943" s="27"/>
      <c r="F943" s="27"/>
      <c r="G943" s="27"/>
      <c r="H943" s="27"/>
      <c r="I943" s="28"/>
      <c r="J943" s="27"/>
      <c r="K943" s="29"/>
      <c r="L943" s="31"/>
      <c r="M943" s="28"/>
      <c r="N943" s="30"/>
      <c r="O943" s="27"/>
      <c r="P943" s="137"/>
    </row>
    <row r="944" spans="1:16" x14ac:dyDescent="0.3">
      <c r="A944" s="27"/>
      <c r="B944" s="27"/>
      <c r="C944" s="27"/>
      <c r="D944" s="27"/>
      <c r="E944" s="27"/>
      <c r="F944" s="27"/>
      <c r="G944" s="27"/>
      <c r="H944" s="27"/>
      <c r="I944" s="28"/>
      <c r="J944" s="27"/>
      <c r="K944" s="29"/>
      <c r="L944" s="31"/>
      <c r="M944" s="28"/>
      <c r="N944" s="30"/>
      <c r="O944" s="27"/>
      <c r="P944" s="137"/>
    </row>
    <row r="945" spans="1:16" x14ac:dyDescent="0.3">
      <c r="A945" s="27"/>
      <c r="B945" s="27"/>
      <c r="C945" s="27"/>
      <c r="D945" s="27"/>
      <c r="E945" s="27"/>
      <c r="F945" s="27"/>
      <c r="G945" s="27"/>
      <c r="H945" s="27"/>
      <c r="I945" s="28"/>
      <c r="J945" s="27"/>
      <c r="K945" s="29"/>
      <c r="L945" s="31"/>
      <c r="M945" s="28"/>
      <c r="N945" s="30"/>
      <c r="O945" s="27"/>
      <c r="P945" s="137"/>
    </row>
    <row r="946" spans="1:16" x14ac:dyDescent="0.3">
      <c r="A946" s="27"/>
      <c r="B946" s="27"/>
      <c r="C946" s="27"/>
      <c r="D946" s="27"/>
      <c r="E946" s="27"/>
      <c r="F946" s="27"/>
      <c r="G946" s="27"/>
      <c r="H946" s="27"/>
      <c r="I946" s="28"/>
      <c r="J946" s="27"/>
      <c r="K946" s="29"/>
      <c r="L946" s="31"/>
      <c r="M946" s="28"/>
      <c r="N946" s="30"/>
      <c r="O946" s="27"/>
      <c r="P946" s="137"/>
    </row>
    <row r="947" spans="1:16" x14ac:dyDescent="0.3">
      <c r="A947" s="27"/>
      <c r="B947" s="27"/>
      <c r="C947" s="27"/>
      <c r="D947" s="27"/>
      <c r="E947" s="27"/>
      <c r="F947" s="27"/>
      <c r="G947" s="27"/>
      <c r="H947" s="27"/>
      <c r="I947" s="28"/>
      <c r="J947" s="27"/>
      <c r="K947" s="29"/>
      <c r="L947" s="31"/>
      <c r="M947" s="28"/>
      <c r="N947" s="30"/>
      <c r="O947" s="27"/>
      <c r="P947" s="137"/>
    </row>
    <row r="948" spans="1:16" x14ac:dyDescent="0.3">
      <c r="A948" s="27"/>
      <c r="B948" s="27"/>
      <c r="C948" s="27"/>
      <c r="D948" s="27"/>
      <c r="E948" s="27"/>
      <c r="F948" s="27"/>
      <c r="G948" s="27"/>
      <c r="H948" s="27"/>
      <c r="I948" s="28"/>
      <c r="J948" s="27"/>
      <c r="K948" s="29"/>
      <c r="L948" s="31"/>
      <c r="M948" s="28"/>
      <c r="N948" s="30"/>
      <c r="O948" s="27"/>
      <c r="P948" s="137"/>
    </row>
    <row r="949" spans="1:16" x14ac:dyDescent="0.3">
      <c r="A949" s="27"/>
      <c r="B949" s="27"/>
      <c r="C949" s="27"/>
      <c r="D949" s="27"/>
      <c r="E949" s="27"/>
      <c r="F949" s="27"/>
      <c r="G949" s="27"/>
      <c r="H949" s="27"/>
      <c r="I949" s="28"/>
      <c r="J949" s="27"/>
      <c r="K949" s="29"/>
      <c r="L949" s="31"/>
      <c r="M949" s="28"/>
      <c r="N949" s="30"/>
      <c r="O949" s="27"/>
      <c r="P949" s="137"/>
    </row>
    <row r="950" spans="1:16" x14ac:dyDescent="0.3">
      <c r="A950" s="27"/>
      <c r="B950" s="27"/>
      <c r="C950" s="27"/>
      <c r="D950" s="27"/>
      <c r="E950" s="27"/>
      <c r="F950" s="27"/>
      <c r="G950" s="27"/>
      <c r="H950" s="27"/>
      <c r="I950" s="28"/>
      <c r="J950" s="27"/>
      <c r="K950" s="29"/>
      <c r="L950" s="31"/>
      <c r="M950" s="28"/>
      <c r="N950" s="30"/>
      <c r="O950" s="27"/>
      <c r="P950" s="137"/>
    </row>
    <row r="951" spans="1:16" x14ac:dyDescent="0.3">
      <c r="A951" s="27"/>
      <c r="B951" s="27"/>
      <c r="C951" s="27"/>
      <c r="D951" s="27"/>
      <c r="E951" s="27"/>
      <c r="F951" s="27"/>
      <c r="G951" s="27"/>
      <c r="H951" s="27"/>
      <c r="I951" s="28"/>
      <c r="J951" s="27"/>
      <c r="K951" s="29"/>
      <c r="L951" s="31"/>
      <c r="M951" s="28"/>
      <c r="N951" s="30"/>
      <c r="O951" s="27"/>
      <c r="P951" s="137"/>
    </row>
    <row r="952" spans="1:16" x14ac:dyDescent="0.3">
      <c r="A952" s="27"/>
      <c r="B952" s="27"/>
      <c r="C952" s="27"/>
      <c r="D952" s="27"/>
      <c r="E952" s="27"/>
      <c r="F952" s="27"/>
      <c r="G952" s="27"/>
      <c r="H952" s="27"/>
      <c r="I952" s="28"/>
      <c r="J952" s="27"/>
      <c r="K952" s="29"/>
      <c r="L952" s="31"/>
      <c r="M952" s="28"/>
      <c r="N952" s="30"/>
      <c r="O952" s="27"/>
      <c r="P952" s="137"/>
    </row>
    <row r="953" spans="1:16" x14ac:dyDescent="0.3">
      <c r="A953" s="27"/>
      <c r="B953" s="27"/>
      <c r="C953" s="27"/>
      <c r="D953" s="27"/>
      <c r="E953" s="27"/>
      <c r="F953" s="27"/>
      <c r="G953" s="27"/>
      <c r="H953" s="27"/>
      <c r="I953" s="28"/>
      <c r="J953" s="27"/>
      <c r="K953" s="29"/>
      <c r="L953" s="31"/>
      <c r="M953" s="28"/>
      <c r="N953" s="30"/>
      <c r="O953" s="27"/>
      <c r="P953" s="137"/>
    </row>
    <row r="954" spans="1:16" x14ac:dyDescent="0.3">
      <c r="A954" s="27"/>
      <c r="B954" s="27"/>
      <c r="C954" s="27"/>
      <c r="D954" s="27"/>
      <c r="E954" s="27"/>
      <c r="F954" s="27"/>
      <c r="G954" s="27"/>
      <c r="H954" s="27"/>
      <c r="I954" s="28"/>
      <c r="J954" s="27"/>
      <c r="K954" s="29"/>
      <c r="L954" s="31"/>
      <c r="M954" s="28"/>
      <c r="N954" s="30"/>
      <c r="O954" s="27"/>
      <c r="P954" s="137"/>
    </row>
    <row r="955" spans="1:16" x14ac:dyDescent="0.3">
      <c r="A955" s="27"/>
      <c r="B955" s="27"/>
      <c r="C955" s="27"/>
      <c r="D955" s="27"/>
      <c r="E955" s="27"/>
      <c r="F955" s="27"/>
      <c r="G955" s="27"/>
      <c r="H955" s="27"/>
      <c r="I955" s="28"/>
      <c r="J955" s="27"/>
      <c r="K955" s="29"/>
      <c r="L955" s="31"/>
      <c r="M955" s="28"/>
      <c r="N955" s="30"/>
      <c r="O955" s="27"/>
      <c r="P955" s="137"/>
    </row>
    <row r="956" spans="1:16" x14ac:dyDescent="0.3">
      <c r="A956" s="27"/>
      <c r="B956" s="27"/>
      <c r="C956" s="27"/>
      <c r="D956" s="27"/>
      <c r="E956" s="27"/>
      <c r="F956" s="27"/>
      <c r="G956" s="27"/>
      <c r="H956" s="27"/>
      <c r="I956" s="28"/>
      <c r="J956" s="27"/>
      <c r="K956" s="29"/>
      <c r="L956" s="31"/>
      <c r="M956" s="28"/>
      <c r="N956" s="30"/>
      <c r="O956" s="27"/>
      <c r="P956" s="137"/>
    </row>
    <row r="957" spans="1:16" x14ac:dyDescent="0.3">
      <c r="A957" s="27"/>
      <c r="B957" s="27"/>
      <c r="C957" s="27"/>
      <c r="D957" s="27"/>
      <c r="E957" s="27"/>
      <c r="F957" s="27"/>
      <c r="G957" s="27"/>
      <c r="H957" s="27"/>
      <c r="I957" s="28"/>
      <c r="J957" s="27"/>
      <c r="K957" s="29"/>
      <c r="L957" s="31"/>
      <c r="M957" s="28"/>
      <c r="N957" s="30"/>
      <c r="O957" s="27"/>
      <c r="P957" s="137"/>
    </row>
    <row r="958" spans="1:16" x14ac:dyDescent="0.3">
      <c r="A958" s="27"/>
      <c r="B958" s="27"/>
      <c r="C958" s="27"/>
      <c r="D958" s="27"/>
      <c r="E958" s="27"/>
      <c r="F958" s="27"/>
      <c r="G958" s="27"/>
      <c r="H958" s="27"/>
      <c r="I958" s="28"/>
      <c r="J958" s="27"/>
      <c r="K958" s="29"/>
      <c r="L958" s="31"/>
      <c r="M958" s="28"/>
      <c r="N958" s="30"/>
      <c r="O958" s="27"/>
      <c r="P958" s="137"/>
    </row>
    <row r="959" spans="1:16" x14ac:dyDescent="0.3">
      <c r="A959" s="27"/>
      <c r="B959" s="27"/>
      <c r="C959" s="27"/>
      <c r="D959" s="27"/>
      <c r="E959" s="27"/>
      <c r="F959" s="27"/>
      <c r="G959" s="27"/>
      <c r="H959" s="27"/>
      <c r="I959" s="28"/>
      <c r="J959" s="27"/>
      <c r="K959" s="29"/>
      <c r="L959" s="31"/>
      <c r="M959" s="28"/>
      <c r="N959" s="30"/>
      <c r="O959" s="27"/>
      <c r="P959" s="137"/>
    </row>
    <row r="960" spans="1:16" x14ac:dyDescent="0.3">
      <c r="A960" s="27"/>
      <c r="B960" s="27"/>
      <c r="C960" s="27"/>
      <c r="D960" s="27"/>
      <c r="E960" s="27"/>
      <c r="F960" s="27"/>
      <c r="G960" s="27"/>
      <c r="H960" s="27"/>
      <c r="I960" s="28"/>
      <c r="J960" s="27"/>
      <c r="K960" s="29"/>
      <c r="L960" s="31"/>
      <c r="M960" s="28"/>
      <c r="N960" s="30"/>
      <c r="O960" s="27"/>
      <c r="P960" s="137"/>
    </row>
    <row r="961" spans="1:16" x14ac:dyDescent="0.3">
      <c r="A961" s="27"/>
      <c r="B961" s="27"/>
      <c r="C961" s="27"/>
      <c r="D961" s="27"/>
      <c r="E961" s="27"/>
      <c r="F961" s="27"/>
      <c r="G961" s="27"/>
      <c r="H961" s="27"/>
      <c r="I961" s="28"/>
      <c r="J961" s="27"/>
      <c r="K961" s="29"/>
      <c r="L961" s="31"/>
      <c r="M961" s="28"/>
      <c r="N961" s="30"/>
      <c r="O961" s="27"/>
      <c r="P961" s="137"/>
    </row>
    <row r="962" spans="1:16" x14ac:dyDescent="0.3">
      <c r="A962" s="27"/>
      <c r="B962" s="27"/>
      <c r="C962" s="27"/>
      <c r="D962" s="27"/>
      <c r="E962" s="27"/>
      <c r="F962" s="27"/>
      <c r="G962" s="27"/>
      <c r="H962" s="27"/>
      <c r="I962" s="28"/>
      <c r="J962" s="27"/>
      <c r="K962" s="29"/>
      <c r="L962" s="31"/>
      <c r="M962" s="28"/>
      <c r="N962" s="30"/>
      <c r="O962" s="27"/>
      <c r="P962" s="137"/>
    </row>
    <row r="963" spans="1:16" x14ac:dyDescent="0.3">
      <c r="A963" s="27"/>
      <c r="B963" s="27"/>
      <c r="C963" s="27"/>
      <c r="D963" s="27"/>
      <c r="E963" s="27"/>
      <c r="F963" s="27"/>
      <c r="G963" s="27"/>
      <c r="H963" s="27"/>
      <c r="I963" s="28"/>
      <c r="J963" s="27"/>
      <c r="K963" s="29"/>
      <c r="L963" s="31"/>
      <c r="M963" s="28"/>
      <c r="N963" s="30"/>
      <c r="O963" s="27"/>
      <c r="P963" s="137"/>
    </row>
    <row r="964" spans="1:16" x14ac:dyDescent="0.3">
      <c r="A964" s="27"/>
      <c r="B964" s="27"/>
      <c r="C964" s="27"/>
      <c r="D964" s="27"/>
      <c r="E964" s="27"/>
      <c r="F964" s="27"/>
      <c r="G964" s="27"/>
      <c r="H964" s="27"/>
      <c r="I964" s="28"/>
      <c r="J964" s="27"/>
      <c r="K964" s="29"/>
      <c r="L964" s="31"/>
      <c r="M964" s="28"/>
      <c r="N964" s="30"/>
      <c r="O964" s="27"/>
      <c r="P964" s="137"/>
    </row>
    <row r="965" spans="1:16" x14ac:dyDescent="0.3">
      <c r="A965" s="27"/>
      <c r="B965" s="27"/>
      <c r="C965" s="27"/>
      <c r="D965" s="27"/>
      <c r="E965" s="27"/>
      <c r="F965" s="27"/>
      <c r="G965" s="27"/>
      <c r="H965" s="27"/>
      <c r="I965" s="28"/>
      <c r="J965" s="27"/>
      <c r="K965" s="29"/>
      <c r="L965" s="31"/>
      <c r="M965" s="28"/>
      <c r="N965" s="30"/>
      <c r="O965" s="27"/>
      <c r="P965" s="137"/>
    </row>
    <row r="966" spans="1:16" x14ac:dyDescent="0.3">
      <c r="A966" s="27"/>
      <c r="B966" s="27"/>
      <c r="C966" s="27"/>
      <c r="D966" s="27"/>
      <c r="E966" s="27"/>
      <c r="F966" s="27"/>
      <c r="G966" s="27"/>
      <c r="H966" s="27"/>
      <c r="I966" s="28"/>
      <c r="J966" s="27"/>
      <c r="K966" s="29"/>
      <c r="L966" s="31"/>
      <c r="M966" s="28"/>
      <c r="N966" s="30"/>
      <c r="O966" s="27"/>
      <c r="P966" s="137"/>
    </row>
    <row r="967" spans="1:16" x14ac:dyDescent="0.3">
      <c r="A967" s="27"/>
      <c r="B967" s="27"/>
      <c r="C967" s="27"/>
      <c r="D967" s="27"/>
      <c r="E967" s="27"/>
      <c r="F967" s="27"/>
      <c r="G967" s="27"/>
      <c r="H967" s="27"/>
      <c r="I967" s="28"/>
      <c r="J967" s="27"/>
      <c r="K967" s="29"/>
      <c r="L967" s="31"/>
      <c r="M967" s="28"/>
      <c r="N967" s="30"/>
      <c r="O967" s="27"/>
      <c r="P967" s="137"/>
    </row>
    <row r="968" spans="1:16" x14ac:dyDescent="0.3">
      <c r="A968" s="27"/>
      <c r="B968" s="27"/>
      <c r="C968" s="27"/>
      <c r="D968" s="27"/>
      <c r="E968" s="27"/>
      <c r="F968" s="27"/>
      <c r="G968" s="27"/>
      <c r="H968" s="27"/>
      <c r="I968" s="28"/>
      <c r="J968" s="27"/>
      <c r="K968" s="29"/>
      <c r="L968" s="31"/>
      <c r="M968" s="28"/>
      <c r="N968" s="30"/>
      <c r="O968" s="27"/>
      <c r="P968" s="137"/>
    </row>
    <row r="969" spans="1:16" x14ac:dyDescent="0.3">
      <c r="A969" s="27"/>
      <c r="B969" s="27"/>
      <c r="C969" s="27"/>
      <c r="D969" s="27"/>
      <c r="E969" s="27"/>
      <c r="F969" s="27"/>
      <c r="G969" s="27"/>
      <c r="H969" s="27"/>
      <c r="I969" s="28"/>
      <c r="J969" s="27"/>
      <c r="K969" s="29"/>
      <c r="L969" s="31"/>
      <c r="M969" s="28"/>
      <c r="N969" s="30"/>
      <c r="O969" s="27"/>
      <c r="P969" s="137"/>
    </row>
    <row r="970" spans="1:16" x14ac:dyDescent="0.3">
      <c r="A970" s="27"/>
      <c r="B970" s="27"/>
      <c r="C970" s="27"/>
      <c r="D970" s="27"/>
      <c r="E970" s="27"/>
      <c r="F970" s="27"/>
      <c r="G970" s="27"/>
      <c r="H970" s="27"/>
      <c r="I970" s="28"/>
      <c r="J970" s="27"/>
      <c r="K970" s="29"/>
      <c r="L970" s="31"/>
      <c r="M970" s="28"/>
      <c r="N970" s="30"/>
      <c r="O970" s="27"/>
      <c r="P970" s="137"/>
    </row>
    <row r="971" spans="1:16" x14ac:dyDescent="0.3">
      <c r="A971" s="27"/>
      <c r="B971" s="27"/>
      <c r="C971" s="27"/>
      <c r="D971" s="27"/>
      <c r="E971" s="27"/>
      <c r="F971" s="27"/>
      <c r="G971" s="27"/>
      <c r="H971" s="27"/>
      <c r="I971" s="28"/>
      <c r="J971" s="27"/>
      <c r="K971" s="29"/>
      <c r="L971" s="31"/>
      <c r="M971" s="28"/>
      <c r="N971" s="30"/>
      <c r="O971" s="27"/>
      <c r="P971" s="137"/>
    </row>
    <row r="972" spans="1:16" x14ac:dyDescent="0.3">
      <c r="A972" s="27"/>
      <c r="B972" s="27"/>
      <c r="C972" s="27"/>
      <c r="D972" s="27"/>
      <c r="E972" s="27"/>
      <c r="F972" s="27"/>
      <c r="G972" s="27"/>
      <c r="H972" s="27"/>
      <c r="I972" s="28"/>
      <c r="J972" s="27"/>
      <c r="K972" s="29"/>
      <c r="L972" s="31"/>
      <c r="M972" s="28"/>
      <c r="N972" s="30"/>
      <c r="O972" s="27"/>
      <c r="P972" s="137"/>
    </row>
    <row r="973" spans="1:16" x14ac:dyDescent="0.3">
      <c r="A973" s="27"/>
      <c r="B973" s="27"/>
      <c r="C973" s="27"/>
      <c r="D973" s="27"/>
      <c r="E973" s="27"/>
      <c r="F973" s="27"/>
      <c r="G973" s="27"/>
      <c r="H973" s="27"/>
      <c r="I973" s="28"/>
      <c r="J973" s="27"/>
      <c r="K973" s="29"/>
      <c r="L973" s="31"/>
      <c r="M973" s="28"/>
      <c r="N973" s="30"/>
      <c r="O973" s="27"/>
      <c r="P973" s="137"/>
    </row>
    <row r="974" spans="1:16" x14ac:dyDescent="0.3">
      <c r="A974" s="27"/>
      <c r="B974" s="27"/>
      <c r="C974" s="27"/>
      <c r="D974" s="27"/>
      <c r="E974" s="27"/>
      <c r="F974" s="27"/>
      <c r="G974" s="27"/>
      <c r="H974" s="27"/>
      <c r="I974" s="28"/>
      <c r="J974" s="27"/>
      <c r="K974" s="29"/>
      <c r="L974" s="31"/>
      <c r="M974" s="28"/>
      <c r="N974" s="30"/>
      <c r="O974" s="27"/>
      <c r="P974" s="137"/>
    </row>
    <row r="975" spans="1:16" x14ac:dyDescent="0.3">
      <c r="A975" s="27"/>
      <c r="B975" s="27"/>
      <c r="C975" s="27"/>
      <c r="D975" s="27"/>
      <c r="E975" s="27"/>
      <c r="F975" s="27"/>
      <c r="G975" s="27"/>
      <c r="H975" s="27"/>
      <c r="I975" s="28"/>
      <c r="J975" s="27"/>
      <c r="K975" s="29"/>
      <c r="L975" s="31"/>
      <c r="M975" s="28"/>
      <c r="N975" s="30"/>
      <c r="O975" s="27"/>
      <c r="P975" s="137"/>
    </row>
    <row r="976" spans="1:16" x14ac:dyDescent="0.3">
      <c r="A976" s="27"/>
      <c r="B976" s="27"/>
      <c r="C976" s="27"/>
      <c r="D976" s="27"/>
      <c r="E976" s="27"/>
      <c r="F976" s="27"/>
      <c r="G976" s="27"/>
      <c r="H976" s="27"/>
      <c r="I976" s="28"/>
      <c r="J976" s="27"/>
      <c r="K976" s="29"/>
      <c r="L976" s="31"/>
      <c r="M976" s="28"/>
      <c r="N976" s="30"/>
      <c r="O976" s="27"/>
      <c r="P976" s="137"/>
    </row>
    <row r="977" spans="1:16" x14ac:dyDescent="0.3">
      <c r="A977" s="27"/>
      <c r="B977" s="27"/>
      <c r="C977" s="27"/>
      <c r="D977" s="27"/>
      <c r="E977" s="27"/>
      <c r="F977" s="27"/>
      <c r="G977" s="27"/>
      <c r="H977" s="27"/>
      <c r="I977" s="28"/>
      <c r="J977" s="27"/>
      <c r="K977" s="29"/>
      <c r="L977" s="31"/>
      <c r="M977" s="28"/>
      <c r="N977" s="30"/>
      <c r="O977" s="27"/>
      <c r="P977" s="137"/>
    </row>
    <row r="978" spans="1:16" x14ac:dyDescent="0.3">
      <c r="A978" s="27"/>
      <c r="B978" s="27"/>
      <c r="C978" s="27"/>
      <c r="D978" s="27"/>
      <c r="E978" s="27"/>
      <c r="F978" s="27"/>
      <c r="G978" s="27"/>
      <c r="H978" s="27"/>
      <c r="I978" s="28"/>
      <c r="J978" s="27"/>
      <c r="K978" s="29"/>
      <c r="L978" s="31"/>
      <c r="M978" s="28"/>
      <c r="N978" s="30"/>
      <c r="O978" s="27"/>
      <c r="P978" s="137"/>
    </row>
    <row r="979" spans="1:16" x14ac:dyDescent="0.3">
      <c r="A979" s="27"/>
      <c r="B979" s="27"/>
      <c r="C979" s="27"/>
      <c r="D979" s="27"/>
      <c r="E979" s="27"/>
      <c r="F979" s="27"/>
      <c r="G979" s="27"/>
      <c r="H979" s="27"/>
      <c r="I979" s="28"/>
      <c r="J979" s="27"/>
      <c r="K979" s="29"/>
      <c r="L979" s="31"/>
      <c r="M979" s="28"/>
      <c r="N979" s="30"/>
      <c r="O979" s="27"/>
      <c r="P979" s="137"/>
    </row>
    <row r="980" spans="1:16" x14ac:dyDescent="0.3">
      <c r="A980" s="27"/>
      <c r="B980" s="27"/>
      <c r="C980" s="27"/>
      <c r="D980" s="27"/>
      <c r="E980" s="27"/>
      <c r="F980" s="27"/>
      <c r="G980" s="27"/>
      <c r="H980" s="27"/>
      <c r="I980" s="28"/>
      <c r="J980" s="27"/>
      <c r="K980" s="29"/>
      <c r="L980" s="31"/>
      <c r="M980" s="28"/>
      <c r="N980" s="30"/>
      <c r="O980" s="27"/>
      <c r="P980" s="137"/>
    </row>
    <row r="981" spans="1:16" x14ac:dyDescent="0.3">
      <c r="A981" s="27"/>
      <c r="B981" s="27"/>
      <c r="C981" s="27"/>
      <c r="D981" s="27"/>
      <c r="E981" s="27"/>
      <c r="F981" s="27"/>
      <c r="G981" s="27"/>
      <c r="H981" s="27"/>
      <c r="I981" s="28"/>
      <c r="J981" s="27"/>
      <c r="K981" s="29"/>
      <c r="L981" s="31"/>
      <c r="M981" s="28"/>
      <c r="N981" s="30"/>
      <c r="O981" s="27"/>
      <c r="P981" s="137"/>
    </row>
    <row r="982" spans="1:16" x14ac:dyDescent="0.3">
      <c r="A982" s="27"/>
      <c r="B982" s="27"/>
      <c r="C982" s="27"/>
      <c r="D982" s="27"/>
      <c r="E982" s="27"/>
      <c r="F982" s="27"/>
      <c r="G982" s="27"/>
      <c r="H982" s="27"/>
      <c r="I982" s="28"/>
      <c r="J982" s="27"/>
      <c r="K982" s="29"/>
      <c r="L982" s="31"/>
      <c r="M982" s="28"/>
      <c r="N982" s="30"/>
      <c r="O982" s="27"/>
      <c r="P982" s="137"/>
    </row>
    <row r="983" spans="1:16" x14ac:dyDescent="0.3">
      <c r="A983" s="27"/>
      <c r="B983" s="27"/>
      <c r="C983" s="27"/>
      <c r="D983" s="27"/>
      <c r="E983" s="27"/>
      <c r="F983" s="27"/>
      <c r="G983" s="27"/>
      <c r="H983" s="27"/>
      <c r="I983" s="28"/>
      <c r="J983" s="27"/>
      <c r="K983" s="29"/>
      <c r="L983" s="31"/>
      <c r="M983" s="28"/>
      <c r="N983" s="30"/>
      <c r="O983" s="27"/>
      <c r="P983" s="137"/>
    </row>
    <row r="984" spans="1:16" x14ac:dyDescent="0.3">
      <c r="A984" s="27"/>
      <c r="B984" s="27"/>
      <c r="C984" s="27"/>
      <c r="D984" s="27"/>
      <c r="E984" s="27"/>
      <c r="F984" s="27"/>
      <c r="G984" s="27"/>
      <c r="H984" s="27"/>
      <c r="I984" s="28"/>
      <c r="J984" s="27"/>
      <c r="K984" s="29"/>
      <c r="L984" s="31"/>
      <c r="M984" s="28"/>
      <c r="N984" s="30"/>
      <c r="O984" s="27"/>
      <c r="P984" s="137"/>
    </row>
    <row r="985" spans="1:16" x14ac:dyDescent="0.3">
      <c r="A985" s="27"/>
      <c r="B985" s="27"/>
      <c r="C985" s="27"/>
      <c r="D985" s="27"/>
      <c r="E985" s="27"/>
      <c r="F985" s="27"/>
      <c r="G985" s="27"/>
      <c r="H985" s="27"/>
      <c r="I985" s="28"/>
      <c r="J985" s="27"/>
      <c r="K985" s="29"/>
      <c r="L985" s="31"/>
      <c r="M985" s="28"/>
      <c r="N985" s="30"/>
      <c r="O985" s="27"/>
      <c r="P985" s="137"/>
    </row>
    <row r="986" spans="1:16" x14ac:dyDescent="0.3">
      <c r="A986" s="27"/>
      <c r="B986" s="27"/>
      <c r="C986" s="27"/>
      <c r="D986" s="27"/>
      <c r="E986" s="27"/>
      <c r="F986" s="27"/>
      <c r="G986" s="27"/>
      <c r="H986" s="27"/>
      <c r="I986" s="28"/>
      <c r="J986" s="27"/>
      <c r="K986" s="29"/>
      <c r="L986" s="31"/>
      <c r="M986" s="28"/>
      <c r="N986" s="30"/>
      <c r="O986" s="27"/>
      <c r="P986" s="137"/>
    </row>
    <row r="987" spans="1:16" x14ac:dyDescent="0.3">
      <c r="A987" s="27"/>
      <c r="B987" s="27"/>
      <c r="C987" s="27"/>
      <c r="D987" s="27"/>
      <c r="E987" s="27"/>
      <c r="F987" s="27"/>
      <c r="G987" s="27"/>
      <c r="H987" s="27"/>
      <c r="I987" s="28"/>
      <c r="J987" s="27"/>
      <c r="K987" s="29"/>
      <c r="L987" s="31"/>
      <c r="M987" s="28"/>
      <c r="N987" s="30"/>
      <c r="O987" s="27"/>
      <c r="P987" s="137"/>
    </row>
    <row r="988" spans="1:16" x14ac:dyDescent="0.3">
      <c r="A988" s="27"/>
      <c r="B988" s="27"/>
      <c r="C988" s="27"/>
      <c r="D988" s="27"/>
      <c r="E988" s="27"/>
      <c r="F988" s="27"/>
      <c r="G988" s="27"/>
      <c r="H988" s="27"/>
      <c r="I988" s="28"/>
      <c r="J988" s="27"/>
      <c r="K988" s="29"/>
      <c r="L988" s="31"/>
      <c r="M988" s="28"/>
      <c r="N988" s="30"/>
      <c r="O988" s="27"/>
      <c r="P988" s="137"/>
    </row>
    <row r="989" spans="1:16" x14ac:dyDescent="0.3">
      <c r="A989" s="27"/>
      <c r="B989" s="27"/>
      <c r="C989" s="27"/>
      <c r="D989" s="27"/>
      <c r="E989" s="27"/>
      <c r="F989" s="27"/>
      <c r="G989" s="27"/>
      <c r="H989" s="27"/>
      <c r="I989" s="28"/>
      <c r="J989" s="27"/>
      <c r="K989" s="29"/>
      <c r="L989" s="31"/>
      <c r="M989" s="28"/>
      <c r="N989" s="30"/>
      <c r="O989" s="27"/>
      <c r="P989" s="137"/>
    </row>
    <row r="990" spans="1:16" x14ac:dyDescent="0.3">
      <c r="A990" s="27"/>
      <c r="B990" s="27"/>
      <c r="C990" s="27"/>
      <c r="D990" s="27"/>
      <c r="E990" s="27"/>
      <c r="F990" s="27"/>
      <c r="G990" s="27"/>
      <c r="H990" s="27"/>
      <c r="I990" s="28"/>
      <c r="J990" s="27"/>
      <c r="K990" s="29"/>
      <c r="L990" s="31"/>
      <c r="M990" s="28"/>
      <c r="N990" s="30"/>
      <c r="O990" s="27"/>
      <c r="P990" s="137"/>
    </row>
    <row r="991" spans="1:16" x14ac:dyDescent="0.3">
      <c r="A991" s="27"/>
      <c r="B991" s="27"/>
      <c r="C991" s="27"/>
      <c r="D991" s="27"/>
      <c r="E991" s="27"/>
      <c r="F991" s="27"/>
      <c r="G991" s="27"/>
      <c r="H991" s="27"/>
      <c r="I991" s="28"/>
      <c r="J991" s="27"/>
      <c r="K991" s="29"/>
      <c r="L991" s="31"/>
      <c r="M991" s="28"/>
      <c r="N991" s="30"/>
      <c r="O991" s="27"/>
      <c r="P991" s="137"/>
    </row>
    <row r="992" spans="1:16" x14ac:dyDescent="0.3">
      <c r="A992" s="27"/>
      <c r="B992" s="27"/>
      <c r="C992" s="27"/>
      <c r="D992" s="27"/>
      <c r="E992" s="27"/>
      <c r="F992" s="27"/>
      <c r="G992" s="27"/>
      <c r="H992" s="27"/>
      <c r="I992" s="28"/>
      <c r="J992" s="27"/>
      <c r="K992" s="29"/>
      <c r="L992" s="31"/>
      <c r="M992" s="28"/>
      <c r="N992" s="30"/>
      <c r="O992" s="27"/>
      <c r="P992" s="137"/>
    </row>
    <row r="993" spans="1:16" x14ac:dyDescent="0.3">
      <c r="A993" s="27"/>
      <c r="B993" s="27"/>
      <c r="C993" s="27"/>
      <c r="D993" s="27"/>
      <c r="E993" s="27"/>
      <c r="F993" s="27"/>
      <c r="G993" s="27"/>
      <c r="H993" s="27"/>
      <c r="I993" s="28"/>
      <c r="J993" s="27"/>
      <c r="K993" s="29"/>
      <c r="L993" s="31"/>
      <c r="M993" s="28"/>
      <c r="N993" s="30"/>
      <c r="O993" s="27"/>
      <c r="P993" s="137"/>
    </row>
    <row r="994" spans="1:16" x14ac:dyDescent="0.3">
      <c r="A994" s="27"/>
      <c r="B994" s="27"/>
      <c r="C994" s="27"/>
      <c r="D994" s="27"/>
      <c r="E994" s="27"/>
      <c r="F994" s="27"/>
      <c r="G994" s="27"/>
      <c r="H994" s="27"/>
      <c r="I994" s="28"/>
      <c r="J994" s="27"/>
      <c r="K994" s="29"/>
      <c r="L994" s="31"/>
      <c r="M994" s="28"/>
      <c r="N994" s="30"/>
      <c r="O994" s="27"/>
      <c r="P994" s="137"/>
    </row>
    <row r="995" spans="1:16" x14ac:dyDescent="0.3">
      <c r="A995" s="27"/>
      <c r="B995" s="27"/>
      <c r="C995" s="27"/>
      <c r="D995" s="27"/>
      <c r="E995" s="27"/>
      <c r="F995" s="27"/>
      <c r="G995" s="27"/>
      <c r="H995" s="27"/>
      <c r="I995" s="28"/>
      <c r="J995" s="27"/>
      <c r="K995" s="29"/>
      <c r="L995" s="31"/>
      <c r="M995" s="28"/>
      <c r="N995" s="30"/>
      <c r="O995" s="27"/>
      <c r="P995" s="137"/>
    </row>
    <row r="996" spans="1:16" x14ac:dyDescent="0.3">
      <c r="A996" s="27"/>
      <c r="B996" s="27"/>
      <c r="C996" s="27"/>
      <c r="D996" s="27"/>
      <c r="E996" s="27"/>
      <c r="F996" s="27"/>
      <c r="G996" s="27"/>
      <c r="H996" s="27"/>
      <c r="I996" s="28"/>
      <c r="J996" s="27"/>
      <c r="K996" s="29"/>
      <c r="L996" s="31"/>
      <c r="M996" s="28"/>
      <c r="N996" s="30"/>
      <c r="O996" s="27"/>
      <c r="P996" s="137"/>
    </row>
    <row r="997" spans="1:16" x14ac:dyDescent="0.3">
      <c r="A997" s="27"/>
      <c r="B997" s="27"/>
      <c r="C997" s="27"/>
      <c r="D997" s="27"/>
      <c r="E997" s="27"/>
      <c r="F997" s="27"/>
      <c r="G997" s="27"/>
      <c r="H997" s="27"/>
      <c r="I997" s="28"/>
      <c r="J997" s="27"/>
      <c r="K997" s="29"/>
      <c r="L997" s="31"/>
      <c r="M997" s="28"/>
      <c r="N997" s="30"/>
      <c r="O997" s="27"/>
      <c r="P997" s="137"/>
    </row>
    <row r="998" spans="1:16" x14ac:dyDescent="0.3">
      <c r="A998" s="27"/>
      <c r="B998" s="27"/>
      <c r="C998" s="27"/>
      <c r="D998" s="27"/>
      <c r="E998" s="27"/>
      <c r="F998" s="27"/>
      <c r="G998" s="27"/>
      <c r="H998" s="27"/>
      <c r="I998" s="28"/>
      <c r="J998" s="27"/>
      <c r="K998" s="29"/>
      <c r="L998" s="31"/>
      <c r="M998" s="28"/>
      <c r="N998" s="30"/>
      <c r="O998" s="27"/>
      <c r="P998" s="137"/>
    </row>
    <row r="999" spans="1:16" x14ac:dyDescent="0.3">
      <c r="A999" s="27"/>
      <c r="B999" s="27"/>
      <c r="C999" s="27"/>
      <c r="D999" s="27"/>
      <c r="E999" s="27"/>
      <c r="F999" s="27"/>
      <c r="G999" s="27"/>
      <c r="H999" s="27"/>
      <c r="I999" s="28"/>
      <c r="J999" s="27"/>
      <c r="K999" s="29"/>
      <c r="L999" s="31"/>
      <c r="M999" s="28"/>
      <c r="N999" s="30"/>
      <c r="O999" s="27"/>
      <c r="P999" s="137"/>
    </row>
    <row r="1000" spans="1:16" x14ac:dyDescent="0.3">
      <c r="A1000" s="27"/>
      <c r="B1000" s="27"/>
      <c r="C1000" s="27"/>
      <c r="D1000" s="27"/>
      <c r="E1000" s="27"/>
      <c r="F1000" s="27"/>
      <c r="G1000" s="27"/>
      <c r="H1000" s="27"/>
      <c r="I1000" s="28"/>
      <c r="J1000" s="27"/>
      <c r="K1000" s="29"/>
      <c r="L1000" s="31"/>
      <c r="M1000" s="28"/>
      <c r="N1000" s="30"/>
      <c r="O1000" s="27"/>
      <c r="P1000" s="137"/>
    </row>
    <row r="1001" spans="1:16" x14ac:dyDescent="0.3">
      <c r="A1001" s="27"/>
      <c r="B1001" s="27"/>
      <c r="C1001" s="27"/>
      <c r="D1001" s="27"/>
      <c r="E1001" s="27"/>
      <c r="F1001" s="27"/>
      <c r="G1001" s="27"/>
      <c r="H1001" s="27"/>
      <c r="I1001" s="28"/>
      <c r="J1001" s="27"/>
      <c r="K1001" s="29"/>
      <c r="L1001" s="31"/>
      <c r="M1001" s="28"/>
      <c r="N1001" s="30"/>
      <c r="O1001" s="27"/>
      <c r="P1001" s="137"/>
    </row>
    <row r="1002" spans="1:16" x14ac:dyDescent="0.3">
      <c r="A1002" s="27"/>
      <c r="B1002" s="27"/>
      <c r="C1002" s="27"/>
      <c r="D1002" s="27"/>
      <c r="E1002" s="27"/>
      <c r="F1002" s="27"/>
      <c r="G1002" s="27"/>
      <c r="H1002" s="27"/>
      <c r="I1002" s="28"/>
      <c r="J1002" s="27"/>
      <c r="K1002" s="29"/>
      <c r="L1002" s="31"/>
      <c r="M1002" s="28"/>
      <c r="N1002" s="30"/>
      <c r="O1002" s="27"/>
      <c r="P1002" s="137"/>
    </row>
    <row r="1003" spans="1:16" x14ac:dyDescent="0.3">
      <c r="A1003" s="27"/>
      <c r="B1003" s="27"/>
      <c r="C1003" s="27"/>
      <c r="D1003" s="27"/>
      <c r="E1003" s="27"/>
      <c r="F1003" s="27"/>
      <c r="G1003" s="27"/>
      <c r="H1003" s="27"/>
      <c r="I1003" s="28"/>
      <c r="J1003" s="27"/>
      <c r="K1003" s="29"/>
      <c r="L1003" s="31"/>
      <c r="M1003" s="28"/>
      <c r="N1003" s="30"/>
      <c r="O1003" s="27"/>
      <c r="P1003" s="137"/>
    </row>
    <row r="1004" spans="1:16" x14ac:dyDescent="0.3">
      <c r="A1004" s="27"/>
      <c r="B1004" s="27"/>
      <c r="C1004" s="27"/>
      <c r="D1004" s="27"/>
      <c r="E1004" s="27"/>
      <c r="F1004" s="27"/>
      <c r="G1004" s="27"/>
      <c r="H1004" s="27"/>
      <c r="I1004" s="28"/>
      <c r="J1004" s="27"/>
      <c r="K1004" s="29"/>
      <c r="L1004" s="31"/>
      <c r="M1004" s="28"/>
      <c r="N1004" s="30"/>
      <c r="O1004" s="27"/>
      <c r="P1004" s="137"/>
    </row>
    <row r="1005" spans="1:16" x14ac:dyDescent="0.3">
      <c r="A1005" s="27"/>
      <c r="B1005" s="27"/>
      <c r="C1005" s="27"/>
      <c r="D1005" s="27"/>
      <c r="E1005" s="27"/>
      <c r="F1005" s="27"/>
      <c r="G1005" s="27"/>
      <c r="H1005" s="27"/>
      <c r="I1005" s="28"/>
      <c r="J1005" s="27"/>
      <c r="K1005" s="29"/>
      <c r="L1005" s="31"/>
      <c r="M1005" s="28"/>
      <c r="N1005" s="30"/>
      <c r="O1005" s="27"/>
      <c r="P1005" s="137"/>
    </row>
    <row r="1006" spans="1:16" x14ac:dyDescent="0.3">
      <c r="A1006" s="27"/>
      <c r="B1006" s="27"/>
      <c r="C1006" s="27"/>
      <c r="D1006" s="27"/>
      <c r="E1006" s="27"/>
      <c r="F1006" s="27"/>
      <c r="G1006" s="27"/>
      <c r="H1006" s="27"/>
      <c r="I1006" s="28"/>
      <c r="J1006" s="27"/>
      <c r="K1006" s="29"/>
      <c r="L1006" s="31"/>
      <c r="M1006" s="28"/>
      <c r="N1006" s="30"/>
      <c r="O1006" s="27"/>
      <c r="P1006" s="137"/>
    </row>
    <row r="1007" spans="1:16" x14ac:dyDescent="0.3">
      <c r="A1007" s="27"/>
      <c r="B1007" s="27"/>
      <c r="C1007" s="27"/>
      <c r="D1007" s="27"/>
      <c r="E1007" s="27"/>
      <c r="F1007" s="27"/>
      <c r="G1007" s="27"/>
      <c r="H1007" s="27"/>
      <c r="I1007" s="28"/>
      <c r="J1007" s="27"/>
      <c r="K1007" s="29"/>
      <c r="L1007" s="31"/>
      <c r="M1007" s="28"/>
      <c r="N1007" s="30"/>
      <c r="O1007" s="27"/>
      <c r="P1007" s="137"/>
    </row>
    <row r="1008" spans="1:16" x14ac:dyDescent="0.3">
      <c r="A1008" s="27"/>
      <c r="B1008" s="27"/>
      <c r="C1008" s="27"/>
      <c r="D1008" s="27"/>
      <c r="E1008" s="27"/>
      <c r="F1008" s="27"/>
      <c r="G1008" s="27"/>
      <c r="H1008" s="27"/>
      <c r="I1008" s="28"/>
      <c r="J1008" s="27"/>
      <c r="K1008" s="29"/>
      <c r="L1008" s="31"/>
      <c r="M1008" s="28"/>
      <c r="N1008" s="30"/>
      <c r="O1008" s="27"/>
      <c r="P1008" s="137"/>
    </row>
    <row r="1009" spans="1:16" x14ac:dyDescent="0.3">
      <c r="A1009" s="27"/>
      <c r="B1009" s="27"/>
      <c r="C1009" s="27"/>
      <c r="D1009" s="27"/>
      <c r="E1009" s="27"/>
      <c r="F1009" s="27"/>
      <c r="G1009" s="27"/>
      <c r="H1009" s="27"/>
      <c r="I1009" s="28"/>
      <c r="J1009" s="27"/>
      <c r="K1009" s="29"/>
      <c r="L1009" s="31"/>
      <c r="M1009" s="28"/>
      <c r="N1009" s="30"/>
      <c r="O1009" s="27"/>
      <c r="P1009" s="137"/>
    </row>
    <row r="1010" spans="1:16" x14ac:dyDescent="0.3">
      <c r="A1010" s="27"/>
      <c r="B1010" s="27"/>
      <c r="C1010" s="27"/>
      <c r="D1010" s="27"/>
      <c r="E1010" s="27"/>
      <c r="F1010" s="27"/>
      <c r="G1010" s="27"/>
      <c r="H1010" s="27"/>
      <c r="I1010" s="28"/>
      <c r="J1010" s="27"/>
      <c r="K1010" s="29"/>
      <c r="L1010" s="31"/>
      <c r="M1010" s="28"/>
      <c r="N1010" s="30"/>
      <c r="O1010" s="27"/>
      <c r="P1010" s="137"/>
    </row>
    <row r="1011" spans="1:16" x14ac:dyDescent="0.3">
      <c r="A1011" s="27"/>
      <c r="B1011" s="27"/>
      <c r="C1011" s="27"/>
      <c r="D1011" s="27"/>
      <c r="E1011" s="27"/>
      <c r="F1011" s="27"/>
      <c r="G1011" s="27"/>
      <c r="H1011" s="27"/>
      <c r="I1011" s="28"/>
      <c r="J1011" s="27"/>
      <c r="K1011" s="29"/>
      <c r="L1011" s="31"/>
      <c r="M1011" s="28"/>
      <c r="N1011" s="30"/>
      <c r="O1011" s="27"/>
      <c r="P1011" s="137"/>
    </row>
    <row r="1012" spans="1:16" x14ac:dyDescent="0.3">
      <c r="A1012" s="27"/>
      <c r="B1012" s="27"/>
      <c r="C1012" s="27"/>
      <c r="D1012" s="27"/>
      <c r="E1012" s="27"/>
      <c r="F1012" s="27"/>
      <c r="G1012" s="27"/>
      <c r="H1012" s="27"/>
      <c r="I1012" s="28"/>
      <c r="J1012" s="27"/>
      <c r="K1012" s="29"/>
      <c r="L1012" s="31"/>
      <c r="M1012" s="28"/>
      <c r="N1012" s="30"/>
      <c r="O1012" s="27"/>
      <c r="P1012" s="137"/>
    </row>
    <row r="1013" spans="1:16" x14ac:dyDescent="0.3">
      <c r="A1013" s="27"/>
      <c r="B1013" s="27"/>
      <c r="C1013" s="27"/>
      <c r="D1013" s="27"/>
      <c r="E1013" s="27"/>
      <c r="F1013" s="27"/>
      <c r="G1013" s="27"/>
      <c r="H1013" s="27"/>
      <c r="I1013" s="28"/>
      <c r="J1013" s="27"/>
      <c r="K1013" s="29"/>
      <c r="L1013" s="31"/>
      <c r="M1013" s="28"/>
      <c r="N1013" s="30"/>
      <c r="O1013" s="27"/>
      <c r="P1013" s="137"/>
    </row>
    <row r="1014" spans="1:16" x14ac:dyDescent="0.3">
      <c r="A1014" s="27"/>
      <c r="B1014" s="27"/>
      <c r="C1014" s="27"/>
      <c r="D1014" s="27"/>
      <c r="E1014" s="27"/>
      <c r="F1014" s="27"/>
      <c r="G1014" s="27"/>
      <c r="H1014" s="27"/>
      <c r="I1014" s="28"/>
      <c r="J1014" s="27"/>
      <c r="K1014" s="29"/>
      <c r="L1014" s="31"/>
      <c r="M1014" s="28"/>
      <c r="N1014" s="30"/>
      <c r="O1014" s="27"/>
      <c r="P1014" s="137"/>
    </row>
    <row r="1015" spans="1:16" x14ac:dyDescent="0.3">
      <c r="A1015" s="27"/>
      <c r="B1015" s="27"/>
      <c r="C1015" s="27"/>
      <c r="D1015" s="27"/>
      <c r="E1015" s="27"/>
      <c r="F1015" s="27"/>
      <c r="G1015" s="27"/>
      <c r="H1015" s="27"/>
      <c r="I1015" s="28"/>
      <c r="J1015" s="27"/>
      <c r="K1015" s="29"/>
      <c r="L1015" s="31"/>
      <c r="M1015" s="28"/>
      <c r="N1015" s="30"/>
      <c r="O1015" s="27"/>
      <c r="P1015" s="137"/>
    </row>
    <row r="1016" spans="1:16" x14ac:dyDescent="0.3">
      <c r="A1016" s="27"/>
      <c r="B1016" s="27"/>
      <c r="C1016" s="27"/>
      <c r="D1016" s="27"/>
      <c r="E1016" s="27"/>
      <c r="F1016" s="27"/>
      <c r="G1016" s="27"/>
      <c r="H1016" s="27"/>
      <c r="I1016" s="28"/>
      <c r="J1016" s="27"/>
      <c r="K1016" s="29"/>
      <c r="L1016" s="31"/>
      <c r="M1016" s="28"/>
      <c r="N1016" s="30"/>
      <c r="O1016" s="27"/>
      <c r="P1016" s="137"/>
    </row>
    <row r="1017" spans="1:16" x14ac:dyDescent="0.3">
      <c r="A1017" s="27"/>
      <c r="B1017" s="27"/>
      <c r="C1017" s="27"/>
      <c r="D1017" s="27"/>
      <c r="E1017" s="27"/>
      <c r="F1017" s="27"/>
      <c r="G1017" s="27"/>
      <c r="H1017" s="27"/>
      <c r="I1017" s="28"/>
      <c r="J1017" s="27"/>
      <c r="K1017" s="29"/>
      <c r="L1017" s="31"/>
      <c r="M1017" s="28"/>
      <c r="N1017" s="30"/>
      <c r="O1017" s="27"/>
      <c r="P1017" s="137"/>
    </row>
    <row r="1018" spans="1:16" x14ac:dyDescent="0.3">
      <c r="A1018" s="27"/>
      <c r="B1018" s="27"/>
      <c r="C1018" s="27"/>
      <c r="D1018" s="27"/>
      <c r="E1018" s="27"/>
      <c r="F1018" s="27"/>
      <c r="G1018" s="27"/>
      <c r="H1018" s="27"/>
      <c r="I1018" s="28"/>
      <c r="J1018" s="27"/>
      <c r="K1018" s="29"/>
      <c r="L1018" s="31"/>
      <c r="M1018" s="28"/>
      <c r="N1018" s="30"/>
      <c r="O1018" s="27"/>
      <c r="P1018" s="137"/>
    </row>
    <row r="1019" spans="1:16" x14ac:dyDescent="0.3">
      <c r="A1019" s="27"/>
      <c r="B1019" s="27"/>
      <c r="C1019" s="27"/>
      <c r="D1019" s="27"/>
      <c r="E1019" s="27"/>
      <c r="F1019" s="27"/>
      <c r="G1019" s="27"/>
      <c r="H1019" s="27"/>
      <c r="I1019" s="28"/>
      <c r="J1019" s="27"/>
      <c r="K1019" s="29"/>
      <c r="L1019" s="31"/>
      <c r="M1019" s="28"/>
      <c r="N1019" s="30"/>
      <c r="O1019" s="27"/>
      <c r="P1019" s="137"/>
    </row>
    <row r="1020" spans="1:16" x14ac:dyDescent="0.3">
      <c r="A1020" s="27"/>
      <c r="B1020" s="27"/>
      <c r="C1020" s="27"/>
      <c r="D1020" s="27"/>
      <c r="E1020" s="27"/>
      <c r="F1020" s="27"/>
      <c r="G1020" s="27"/>
      <c r="H1020" s="27"/>
      <c r="I1020" s="28"/>
      <c r="J1020" s="27"/>
      <c r="K1020" s="29"/>
      <c r="L1020" s="31"/>
      <c r="M1020" s="28"/>
      <c r="N1020" s="30"/>
      <c r="O1020" s="27"/>
      <c r="P1020" s="137"/>
    </row>
    <row r="1021" spans="1:16" x14ac:dyDescent="0.3">
      <c r="A1021" s="27"/>
      <c r="B1021" s="27"/>
      <c r="C1021" s="27"/>
      <c r="D1021" s="27"/>
      <c r="E1021" s="27"/>
      <c r="F1021" s="27"/>
      <c r="G1021" s="27"/>
      <c r="H1021" s="27"/>
      <c r="I1021" s="28"/>
      <c r="J1021" s="27"/>
      <c r="K1021" s="29"/>
      <c r="L1021" s="31"/>
      <c r="M1021" s="28"/>
      <c r="N1021" s="30"/>
      <c r="O1021" s="27"/>
      <c r="P1021" s="137"/>
    </row>
    <row r="1022" spans="1:16" x14ac:dyDescent="0.3">
      <c r="A1022" s="27"/>
      <c r="B1022" s="27"/>
      <c r="C1022" s="27"/>
      <c r="D1022" s="27"/>
      <c r="E1022" s="27"/>
      <c r="F1022" s="27"/>
      <c r="G1022" s="27"/>
      <c r="H1022" s="27"/>
      <c r="I1022" s="28"/>
      <c r="J1022" s="27"/>
      <c r="K1022" s="29"/>
      <c r="L1022" s="31"/>
      <c r="M1022" s="28"/>
      <c r="N1022" s="30"/>
      <c r="O1022" s="27"/>
      <c r="P1022" s="137"/>
    </row>
    <row r="1023" spans="1:16" x14ac:dyDescent="0.3">
      <c r="A1023" s="27"/>
      <c r="B1023" s="27"/>
      <c r="C1023" s="27"/>
      <c r="D1023" s="27"/>
      <c r="E1023" s="27"/>
      <c r="F1023" s="27"/>
      <c r="G1023" s="27"/>
      <c r="H1023" s="27"/>
      <c r="I1023" s="28"/>
      <c r="J1023" s="27"/>
      <c r="K1023" s="29"/>
      <c r="L1023" s="31"/>
      <c r="M1023" s="28"/>
      <c r="N1023" s="30"/>
      <c r="O1023" s="27"/>
      <c r="P1023" s="137"/>
    </row>
    <row r="1024" spans="1:16" x14ac:dyDescent="0.3">
      <c r="A1024" s="27"/>
      <c r="B1024" s="27"/>
      <c r="C1024" s="27"/>
      <c r="D1024" s="27"/>
      <c r="E1024" s="27"/>
      <c r="F1024" s="27"/>
      <c r="G1024" s="27"/>
      <c r="H1024" s="27"/>
      <c r="I1024" s="28"/>
      <c r="J1024" s="27"/>
      <c r="K1024" s="29"/>
      <c r="L1024" s="31"/>
      <c r="M1024" s="28"/>
      <c r="N1024" s="30"/>
      <c r="O1024" s="27"/>
      <c r="P1024" s="137"/>
    </row>
    <row r="1025" spans="1:16" x14ac:dyDescent="0.3">
      <c r="A1025" s="27"/>
      <c r="B1025" s="27"/>
      <c r="C1025" s="27"/>
      <c r="D1025" s="27"/>
      <c r="E1025" s="27"/>
      <c r="F1025" s="27"/>
      <c r="G1025" s="27"/>
      <c r="H1025" s="27"/>
      <c r="I1025" s="28"/>
      <c r="J1025" s="27"/>
      <c r="K1025" s="29"/>
      <c r="L1025" s="31"/>
      <c r="M1025" s="28"/>
      <c r="N1025" s="30"/>
      <c r="O1025" s="27"/>
      <c r="P1025" s="137"/>
    </row>
    <row r="1026" spans="1:16" x14ac:dyDescent="0.3">
      <c r="A1026" s="27"/>
      <c r="B1026" s="27"/>
      <c r="C1026" s="27"/>
      <c r="D1026" s="27"/>
      <c r="E1026" s="27"/>
      <c r="F1026" s="27"/>
      <c r="G1026" s="27"/>
      <c r="H1026" s="27"/>
      <c r="I1026" s="28"/>
      <c r="J1026" s="27"/>
      <c r="K1026" s="29"/>
      <c r="L1026" s="31"/>
      <c r="M1026" s="28"/>
      <c r="N1026" s="30"/>
      <c r="O1026" s="27"/>
      <c r="P1026" s="137"/>
    </row>
    <row r="1027" spans="1:16" x14ac:dyDescent="0.3">
      <c r="A1027" s="27"/>
      <c r="B1027" s="27"/>
      <c r="C1027" s="27"/>
      <c r="D1027" s="27"/>
      <c r="E1027" s="27"/>
      <c r="F1027" s="27"/>
      <c r="G1027" s="27"/>
      <c r="H1027" s="27"/>
      <c r="I1027" s="28"/>
      <c r="J1027" s="27"/>
      <c r="K1027" s="29"/>
      <c r="L1027" s="31"/>
      <c r="M1027" s="28"/>
      <c r="N1027" s="30"/>
      <c r="O1027" s="27"/>
      <c r="P1027" s="137"/>
    </row>
    <row r="1028" spans="1:16" x14ac:dyDescent="0.3">
      <c r="A1028" s="27"/>
      <c r="B1028" s="27"/>
      <c r="C1028" s="27"/>
      <c r="D1028" s="27"/>
      <c r="E1028" s="27"/>
      <c r="F1028" s="27"/>
      <c r="G1028" s="27"/>
      <c r="H1028" s="27"/>
      <c r="I1028" s="28"/>
      <c r="J1028" s="27"/>
      <c r="K1028" s="29"/>
      <c r="L1028" s="31"/>
      <c r="M1028" s="28"/>
      <c r="N1028" s="30"/>
      <c r="O1028" s="27"/>
      <c r="P1028" s="137"/>
    </row>
    <row r="1029" spans="1:16" x14ac:dyDescent="0.3">
      <c r="A1029" s="27"/>
      <c r="B1029" s="27"/>
      <c r="C1029" s="27"/>
      <c r="D1029" s="27"/>
      <c r="E1029" s="27"/>
      <c r="F1029" s="27"/>
      <c r="G1029" s="27"/>
      <c r="H1029" s="27"/>
      <c r="I1029" s="28"/>
      <c r="J1029" s="27"/>
      <c r="K1029" s="29"/>
      <c r="L1029" s="31"/>
      <c r="M1029" s="28"/>
      <c r="N1029" s="30"/>
      <c r="O1029" s="27"/>
      <c r="P1029" s="137"/>
    </row>
    <row r="1030" spans="1:16" x14ac:dyDescent="0.3">
      <c r="A1030" s="27"/>
      <c r="B1030" s="27"/>
      <c r="C1030" s="27"/>
      <c r="D1030" s="27"/>
      <c r="E1030" s="27"/>
      <c r="F1030" s="27"/>
      <c r="G1030" s="27"/>
      <c r="H1030" s="27"/>
      <c r="I1030" s="28"/>
      <c r="J1030" s="27"/>
      <c r="K1030" s="29"/>
      <c r="L1030" s="31"/>
      <c r="M1030" s="28"/>
      <c r="N1030" s="30"/>
      <c r="O1030" s="27"/>
      <c r="P1030" s="137"/>
    </row>
    <row r="1031" spans="1:16" x14ac:dyDescent="0.3">
      <c r="A1031" s="27"/>
      <c r="B1031" s="27"/>
      <c r="C1031" s="27"/>
      <c r="D1031" s="27"/>
      <c r="E1031" s="27"/>
      <c r="F1031" s="27"/>
      <c r="G1031" s="27"/>
      <c r="H1031" s="27"/>
      <c r="I1031" s="28"/>
      <c r="J1031" s="27"/>
      <c r="K1031" s="29"/>
      <c r="L1031" s="31"/>
      <c r="M1031" s="28"/>
      <c r="N1031" s="30"/>
      <c r="O1031" s="27"/>
      <c r="P1031" s="137"/>
    </row>
    <row r="1032" spans="1:16" x14ac:dyDescent="0.3">
      <c r="A1032" s="27"/>
      <c r="B1032" s="27"/>
      <c r="C1032" s="27"/>
      <c r="D1032" s="27"/>
      <c r="E1032" s="27"/>
      <c r="F1032" s="27"/>
      <c r="G1032" s="27"/>
      <c r="H1032" s="27"/>
      <c r="I1032" s="28"/>
      <c r="J1032" s="27"/>
      <c r="K1032" s="29"/>
      <c r="L1032" s="31"/>
      <c r="M1032" s="28"/>
      <c r="N1032" s="30"/>
      <c r="O1032" s="27"/>
      <c r="P1032" s="137"/>
    </row>
    <row r="1033" spans="1:16" x14ac:dyDescent="0.3">
      <c r="A1033" s="27"/>
      <c r="B1033" s="27"/>
      <c r="C1033" s="27"/>
      <c r="D1033" s="27"/>
      <c r="E1033" s="27"/>
      <c r="F1033" s="27"/>
      <c r="G1033" s="27"/>
      <c r="H1033" s="27"/>
      <c r="I1033" s="28"/>
      <c r="J1033" s="27"/>
      <c r="K1033" s="29"/>
      <c r="L1033" s="31"/>
      <c r="M1033" s="28"/>
      <c r="N1033" s="30"/>
      <c r="O1033" s="27"/>
      <c r="P1033" s="137"/>
    </row>
    <row r="1034" spans="1:16" x14ac:dyDescent="0.3">
      <c r="A1034" s="27"/>
      <c r="B1034" s="27"/>
      <c r="C1034" s="27"/>
      <c r="D1034" s="27"/>
      <c r="E1034" s="27"/>
      <c r="F1034" s="27"/>
      <c r="G1034" s="27"/>
      <c r="H1034" s="27"/>
      <c r="I1034" s="28"/>
      <c r="J1034" s="27"/>
      <c r="K1034" s="29"/>
      <c r="L1034" s="31"/>
      <c r="M1034" s="28"/>
      <c r="N1034" s="30"/>
      <c r="O1034" s="27"/>
      <c r="P1034" s="137"/>
    </row>
    <row r="1035" spans="1:16" x14ac:dyDescent="0.3">
      <c r="A1035" s="27"/>
      <c r="B1035" s="27"/>
      <c r="C1035" s="27"/>
      <c r="D1035" s="27"/>
      <c r="E1035" s="27"/>
      <c r="F1035" s="27"/>
      <c r="G1035" s="27"/>
      <c r="H1035" s="27"/>
      <c r="I1035" s="28"/>
      <c r="J1035" s="27"/>
      <c r="K1035" s="29"/>
      <c r="L1035" s="31"/>
      <c r="M1035" s="28"/>
      <c r="N1035" s="30"/>
      <c r="O1035" s="27"/>
      <c r="P1035" s="137"/>
    </row>
    <row r="1036" spans="1:16" x14ac:dyDescent="0.3">
      <c r="A1036" s="27"/>
      <c r="B1036" s="27"/>
      <c r="C1036" s="27"/>
      <c r="D1036" s="27"/>
      <c r="E1036" s="27"/>
      <c r="F1036" s="27"/>
      <c r="G1036" s="27"/>
      <c r="H1036" s="27"/>
      <c r="I1036" s="28"/>
      <c r="J1036" s="27"/>
      <c r="K1036" s="29"/>
      <c r="L1036" s="31"/>
      <c r="M1036" s="28"/>
      <c r="N1036" s="30"/>
      <c r="O1036" s="27"/>
      <c r="P1036" s="137"/>
    </row>
    <row r="1037" spans="1:16" x14ac:dyDescent="0.3">
      <c r="A1037" s="27"/>
      <c r="B1037" s="27"/>
      <c r="C1037" s="27"/>
      <c r="D1037" s="27"/>
      <c r="E1037" s="27"/>
      <c r="F1037" s="27"/>
      <c r="G1037" s="27"/>
      <c r="H1037" s="27"/>
      <c r="I1037" s="28"/>
      <c r="J1037" s="27"/>
      <c r="K1037" s="29"/>
      <c r="L1037" s="31"/>
      <c r="M1037" s="28"/>
      <c r="N1037" s="30"/>
      <c r="O1037" s="27"/>
      <c r="P1037" s="137"/>
    </row>
    <row r="1038" spans="1:16" x14ac:dyDescent="0.3">
      <c r="A1038" s="27"/>
      <c r="B1038" s="27"/>
      <c r="C1038" s="27"/>
      <c r="D1038" s="27"/>
      <c r="E1038" s="27"/>
      <c r="F1038" s="27"/>
      <c r="G1038" s="27"/>
      <c r="H1038" s="27"/>
      <c r="I1038" s="28"/>
      <c r="J1038" s="27"/>
      <c r="K1038" s="29"/>
      <c r="L1038" s="31"/>
      <c r="M1038" s="28"/>
      <c r="N1038" s="30"/>
      <c r="O1038" s="27"/>
      <c r="P1038" s="137"/>
    </row>
    <row r="1039" spans="1:16" x14ac:dyDescent="0.3">
      <c r="A1039" s="27"/>
      <c r="B1039" s="27"/>
      <c r="C1039" s="27"/>
      <c r="D1039" s="27"/>
      <c r="E1039" s="27"/>
      <c r="F1039" s="27"/>
      <c r="G1039" s="27"/>
      <c r="H1039" s="27"/>
      <c r="I1039" s="28"/>
      <c r="J1039" s="27"/>
      <c r="K1039" s="29"/>
      <c r="L1039" s="31"/>
      <c r="M1039" s="28"/>
      <c r="N1039" s="30"/>
      <c r="O1039" s="27"/>
      <c r="P1039" s="137"/>
    </row>
    <row r="1040" spans="1:16" x14ac:dyDescent="0.3">
      <c r="A1040" s="27"/>
      <c r="B1040" s="27"/>
      <c r="C1040" s="27"/>
      <c r="D1040" s="27"/>
      <c r="E1040" s="27"/>
      <c r="F1040" s="27"/>
      <c r="G1040" s="27"/>
      <c r="H1040" s="27"/>
      <c r="I1040" s="28"/>
      <c r="J1040" s="27"/>
      <c r="K1040" s="29"/>
      <c r="L1040" s="31"/>
      <c r="M1040" s="28"/>
      <c r="N1040" s="30"/>
      <c r="O1040" s="27"/>
      <c r="P1040" s="137"/>
    </row>
    <row r="1041" spans="1:16" x14ac:dyDescent="0.3">
      <c r="A1041" s="27"/>
      <c r="B1041" s="27"/>
      <c r="C1041" s="27"/>
      <c r="D1041" s="27"/>
      <c r="E1041" s="27"/>
      <c r="F1041" s="27"/>
      <c r="G1041" s="27"/>
      <c r="H1041" s="27"/>
      <c r="I1041" s="28"/>
      <c r="J1041" s="27"/>
      <c r="K1041" s="29"/>
      <c r="L1041" s="31"/>
      <c r="M1041" s="28"/>
      <c r="N1041" s="30"/>
      <c r="O1041" s="27"/>
      <c r="P1041" s="137"/>
    </row>
    <row r="1042" spans="1:16" x14ac:dyDescent="0.3">
      <c r="A1042" s="27"/>
      <c r="B1042" s="27"/>
      <c r="C1042" s="27"/>
      <c r="D1042" s="27"/>
      <c r="E1042" s="27"/>
      <c r="F1042" s="27"/>
      <c r="G1042" s="27"/>
      <c r="H1042" s="27"/>
      <c r="I1042" s="28"/>
      <c r="J1042" s="27"/>
      <c r="K1042" s="29"/>
      <c r="L1042" s="31"/>
      <c r="M1042" s="28"/>
      <c r="N1042" s="30"/>
      <c r="O1042" s="27"/>
      <c r="P1042" s="137"/>
    </row>
    <row r="1043" spans="1:16" x14ac:dyDescent="0.3">
      <c r="A1043" s="27"/>
      <c r="B1043" s="27"/>
      <c r="C1043" s="27"/>
      <c r="D1043" s="27"/>
      <c r="E1043" s="27"/>
      <c r="F1043" s="27"/>
      <c r="G1043" s="27"/>
      <c r="H1043" s="27"/>
      <c r="I1043" s="28"/>
      <c r="J1043" s="27"/>
      <c r="K1043" s="29"/>
      <c r="L1043" s="31"/>
      <c r="M1043" s="28"/>
      <c r="N1043" s="30"/>
      <c r="O1043" s="27"/>
      <c r="P1043" s="137"/>
    </row>
    <row r="1044" spans="1:16" x14ac:dyDescent="0.3">
      <c r="A1044" s="27"/>
      <c r="B1044" s="27"/>
      <c r="C1044" s="27"/>
      <c r="D1044" s="27"/>
      <c r="E1044" s="27"/>
      <c r="F1044" s="27"/>
      <c r="G1044" s="27"/>
      <c r="H1044" s="27"/>
      <c r="I1044" s="28"/>
      <c r="J1044" s="27"/>
      <c r="K1044" s="29"/>
      <c r="L1044" s="31"/>
      <c r="M1044" s="28"/>
      <c r="N1044" s="30"/>
      <c r="O1044" s="27"/>
      <c r="P1044" s="137"/>
    </row>
    <row r="1045" spans="1:16" x14ac:dyDescent="0.3">
      <c r="A1045" s="27"/>
      <c r="B1045" s="27"/>
      <c r="C1045" s="27"/>
      <c r="D1045" s="27"/>
      <c r="E1045" s="27"/>
      <c r="F1045" s="27"/>
      <c r="G1045" s="27"/>
      <c r="H1045" s="27"/>
      <c r="I1045" s="28"/>
      <c r="J1045" s="27"/>
      <c r="K1045" s="29"/>
      <c r="L1045" s="31"/>
      <c r="M1045" s="28"/>
      <c r="N1045" s="30"/>
      <c r="O1045" s="27"/>
      <c r="P1045" s="137"/>
    </row>
    <row r="1046" spans="1:16" x14ac:dyDescent="0.3">
      <c r="A1046" s="27"/>
      <c r="B1046" s="27"/>
      <c r="C1046" s="27"/>
      <c r="D1046" s="27"/>
      <c r="E1046" s="27"/>
      <c r="F1046" s="27"/>
      <c r="G1046" s="27"/>
      <c r="H1046" s="27"/>
      <c r="I1046" s="28"/>
      <c r="J1046" s="27"/>
      <c r="K1046" s="29"/>
      <c r="L1046" s="31"/>
      <c r="M1046" s="28"/>
      <c r="N1046" s="30"/>
      <c r="O1046" s="27"/>
      <c r="P1046" s="137"/>
    </row>
    <row r="1047" spans="1:16" x14ac:dyDescent="0.3">
      <c r="A1047" s="27"/>
      <c r="B1047" s="27"/>
      <c r="C1047" s="27"/>
      <c r="D1047" s="27"/>
      <c r="E1047" s="27"/>
      <c r="F1047" s="27"/>
      <c r="G1047" s="27"/>
      <c r="H1047" s="27"/>
      <c r="I1047" s="28"/>
      <c r="J1047" s="27"/>
      <c r="K1047" s="29"/>
      <c r="L1047" s="31"/>
      <c r="M1047" s="28"/>
      <c r="N1047" s="30"/>
      <c r="O1047" s="27"/>
      <c r="P1047" s="137"/>
    </row>
    <row r="1048" spans="1:16" x14ac:dyDescent="0.3">
      <c r="A1048" s="27"/>
      <c r="B1048" s="27"/>
      <c r="C1048" s="27"/>
      <c r="D1048" s="27"/>
      <c r="E1048" s="27"/>
      <c r="F1048" s="27"/>
      <c r="G1048" s="27"/>
      <c r="H1048" s="27"/>
      <c r="I1048" s="28"/>
      <c r="J1048" s="27"/>
      <c r="K1048" s="29"/>
      <c r="L1048" s="31"/>
      <c r="M1048" s="28"/>
      <c r="N1048" s="30"/>
      <c r="O1048" s="27"/>
      <c r="P1048" s="137"/>
    </row>
    <row r="1049" spans="1:16" x14ac:dyDescent="0.3">
      <c r="A1049" s="27"/>
      <c r="B1049" s="27"/>
      <c r="C1049" s="27"/>
      <c r="D1049" s="27"/>
      <c r="E1049" s="27"/>
      <c r="F1049" s="27"/>
      <c r="G1049" s="27"/>
      <c r="H1049" s="27"/>
      <c r="I1049" s="28"/>
      <c r="J1049" s="27"/>
      <c r="K1049" s="29"/>
      <c r="L1049" s="31"/>
      <c r="M1049" s="28"/>
      <c r="N1049" s="30"/>
      <c r="O1049" s="27"/>
      <c r="P1049" s="137"/>
    </row>
    <row r="1050" spans="1:16" x14ac:dyDescent="0.3">
      <c r="A1050" s="27"/>
      <c r="B1050" s="27"/>
      <c r="C1050" s="27"/>
      <c r="D1050" s="27"/>
      <c r="E1050" s="27"/>
      <c r="F1050" s="27"/>
      <c r="G1050" s="27"/>
      <c r="H1050" s="27"/>
      <c r="I1050" s="28"/>
      <c r="J1050" s="27"/>
      <c r="K1050" s="29"/>
      <c r="L1050" s="31"/>
      <c r="M1050" s="28"/>
      <c r="N1050" s="30"/>
      <c r="O1050" s="27"/>
      <c r="P1050" s="137"/>
    </row>
    <row r="1051" spans="1:16" x14ac:dyDescent="0.3">
      <c r="A1051" s="27"/>
      <c r="B1051" s="27"/>
      <c r="C1051" s="27"/>
      <c r="D1051" s="27"/>
      <c r="E1051" s="27"/>
      <c r="F1051" s="27"/>
      <c r="G1051" s="27"/>
      <c r="H1051" s="27"/>
      <c r="I1051" s="28"/>
      <c r="J1051" s="27"/>
      <c r="K1051" s="29"/>
      <c r="L1051" s="31"/>
      <c r="M1051" s="28"/>
      <c r="N1051" s="30"/>
      <c r="O1051" s="27"/>
      <c r="P1051" s="137"/>
    </row>
    <row r="1052" spans="1:16" x14ac:dyDescent="0.3">
      <c r="A1052" s="27"/>
      <c r="B1052" s="27"/>
      <c r="C1052" s="27"/>
      <c r="D1052" s="27"/>
      <c r="E1052" s="27"/>
      <c r="F1052" s="27"/>
      <c r="G1052" s="27"/>
      <c r="H1052" s="27"/>
      <c r="I1052" s="28"/>
      <c r="J1052" s="27"/>
      <c r="K1052" s="29"/>
      <c r="L1052" s="31"/>
      <c r="M1052" s="28"/>
      <c r="N1052" s="30"/>
      <c r="O1052" s="27"/>
      <c r="P1052" s="137"/>
    </row>
    <row r="1053" spans="1:16" x14ac:dyDescent="0.3">
      <c r="A1053" s="27"/>
      <c r="B1053" s="27"/>
      <c r="C1053" s="27"/>
      <c r="D1053" s="27"/>
      <c r="E1053" s="27"/>
      <c r="F1053" s="27"/>
      <c r="G1053" s="27"/>
      <c r="H1053" s="27"/>
      <c r="I1053" s="28"/>
      <c r="J1053" s="27"/>
      <c r="K1053" s="29"/>
      <c r="L1053" s="31"/>
      <c r="M1053" s="28"/>
      <c r="N1053" s="30"/>
      <c r="O1053" s="27"/>
      <c r="P1053" s="137"/>
    </row>
    <row r="1054" spans="1:16" x14ac:dyDescent="0.3">
      <c r="A1054" s="27"/>
      <c r="B1054" s="27"/>
      <c r="C1054" s="27"/>
      <c r="D1054" s="27"/>
      <c r="E1054" s="27"/>
      <c r="F1054" s="27"/>
      <c r="G1054" s="27"/>
      <c r="H1054" s="27"/>
      <c r="I1054" s="28"/>
      <c r="J1054" s="27"/>
      <c r="K1054" s="29"/>
      <c r="L1054" s="31"/>
      <c r="M1054" s="28"/>
      <c r="N1054" s="30"/>
      <c r="O1054" s="27"/>
      <c r="P1054" s="137"/>
    </row>
    <row r="1055" spans="1:16" x14ac:dyDescent="0.3">
      <c r="A1055" s="27"/>
      <c r="B1055" s="27"/>
      <c r="C1055" s="27"/>
      <c r="D1055" s="27"/>
      <c r="E1055" s="27"/>
      <c r="F1055" s="27"/>
      <c r="G1055" s="27"/>
      <c r="H1055" s="27"/>
      <c r="I1055" s="28"/>
      <c r="J1055" s="27"/>
      <c r="K1055" s="29"/>
      <c r="L1055" s="31"/>
      <c r="M1055" s="28"/>
      <c r="N1055" s="30"/>
      <c r="O1055" s="27"/>
      <c r="P1055" s="137"/>
    </row>
    <row r="1056" spans="1:16" x14ac:dyDescent="0.3">
      <c r="A1056" s="27"/>
      <c r="B1056" s="27"/>
      <c r="C1056" s="27"/>
      <c r="D1056" s="27"/>
      <c r="E1056" s="27"/>
      <c r="F1056" s="27"/>
      <c r="G1056" s="27"/>
      <c r="H1056" s="27"/>
      <c r="I1056" s="28"/>
      <c r="J1056" s="27"/>
      <c r="K1056" s="29"/>
      <c r="L1056" s="31"/>
      <c r="M1056" s="28"/>
      <c r="N1056" s="30"/>
      <c r="O1056" s="27"/>
      <c r="P1056" s="137"/>
    </row>
    <row r="1057" spans="1:16" x14ac:dyDescent="0.3">
      <c r="A1057" s="27"/>
      <c r="B1057" s="27"/>
      <c r="C1057" s="27"/>
      <c r="D1057" s="27"/>
      <c r="E1057" s="27"/>
      <c r="F1057" s="27"/>
      <c r="G1057" s="27"/>
      <c r="H1057" s="27"/>
      <c r="I1057" s="28"/>
      <c r="J1057" s="27"/>
      <c r="K1057" s="29"/>
      <c r="L1057" s="31"/>
      <c r="M1057" s="28"/>
      <c r="N1057" s="30"/>
      <c r="O1057" s="27"/>
      <c r="P1057" s="137"/>
    </row>
    <row r="1058" spans="1:16" x14ac:dyDescent="0.3">
      <c r="A1058" s="27"/>
      <c r="B1058" s="27"/>
      <c r="C1058" s="27"/>
      <c r="D1058" s="27"/>
      <c r="E1058" s="27"/>
      <c r="F1058" s="27"/>
      <c r="G1058" s="27"/>
      <c r="H1058" s="27"/>
      <c r="I1058" s="28"/>
      <c r="J1058" s="27"/>
      <c r="K1058" s="29"/>
      <c r="L1058" s="31"/>
      <c r="M1058" s="28"/>
      <c r="N1058" s="30"/>
      <c r="O1058" s="27"/>
      <c r="P1058" s="137"/>
    </row>
    <row r="1059" spans="1:16" x14ac:dyDescent="0.3">
      <c r="A1059" s="27"/>
      <c r="B1059" s="27"/>
      <c r="C1059" s="27"/>
      <c r="D1059" s="27"/>
      <c r="E1059" s="27"/>
      <c r="F1059" s="27"/>
      <c r="G1059" s="27"/>
      <c r="H1059" s="27"/>
      <c r="I1059" s="28"/>
      <c r="J1059" s="27"/>
      <c r="K1059" s="29"/>
      <c r="L1059" s="31"/>
      <c r="M1059" s="28"/>
      <c r="N1059" s="30"/>
      <c r="O1059" s="27"/>
      <c r="P1059" s="137"/>
    </row>
    <row r="1060" spans="1:16" x14ac:dyDescent="0.3">
      <c r="A1060" s="27"/>
      <c r="B1060" s="27"/>
      <c r="C1060" s="27"/>
      <c r="D1060" s="27"/>
      <c r="E1060" s="27"/>
      <c r="F1060" s="27"/>
      <c r="G1060" s="27"/>
      <c r="H1060" s="27"/>
      <c r="I1060" s="28"/>
      <c r="J1060" s="27"/>
      <c r="K1060" s="29"/>
      <c r="L1060" s="31"/>
      <c r="M1060" s="28"/>
      <c r="N1060" s="30"/>
      <c r="O1060" s="27"/>
      <c r="P1060" s="137"/>
    </row>
    <row r="1061" spans="1:16" x14ac:dyDescent="0.3">
      <c r="A1061" s="27"/>
      <c r="B1061" s="27"/>
      <c r="C1061" s="27"/>
      <c r="D1061" s="27"/>
      <c r="E1061" s="27"/>
      <c r="F1061" s="27"/>
      <c r="G1061" s="27"/>
      <c r="H1061" s="27"/>
      <c r="I1061" s="28"/>
      <c r="J1061" s="27"/>
      <c r="K1061" s="29"/>
      <c r="L1061" s="31"/>
      <c r="M1061" s="28"/>
      <c r="N1061" s="30"/>
      <c r="O1061" s="27"/>
      <c r="P1061" s="137"/>
    </row>
    <row r="1062" spans="1:16" x14ac:dyDescent="0.3">
      <c r="A1062" s="27"/>
      <c r="B1062" s="27"/>
      <c r="C1062" s="27"/>
      <c r="D1062" s="27"/>
      <c r="E1062" s="27"/>
      <c r="F1062" s="27"/>
      <c r="G1062" s="27"/>
      <c r="H1062" s="27"/>
      <c r="I1062" s="28"/>
      <c r="J1062" s="27"/>
      <c r="K1062" s="29"/>
      <c r="L1062" s="31"/>
      <c r="M1062" s="28"/>
      <c r="N1062" s="30"/>
      <c r="O1062" s="27"/>
      <c r="P1062" s="137"/>
    </row>
    <row r="1063" spans="1:16" x14ac:dyDescent="0.3">
      <c r="A1063" s="27"/>
      <c r="B1063" s="27"/>
      <c r="C1063" s="27"/>
      <c r="D1063" s="27"/>
      <c r="E1063" s="27"/>
      <c r="F1063" s="27"/>
      <c r="G1063" s="27"/>
      <c r="H1063" s="27"/>
      <c r="I1063" s="28"/>
      <c r="J1063" s="27"/>
      <c r="K1063" s="29"/>
      <c r="L1063" s="31"/>
      <c r="M1063" s="28"/>
      <c r="N1063" s="30"/>
      <c r="O1063" s="27"/>
      <c r="P1063" s="137"/>
    </row>
    <row r="1064" spans="1:16" x14ac:dyDescent="0.3">
      <c r="A1064" s="27"/>
      <c r="B1064" s="27"/>
      <c r="C1064" s="27"/>
      <c r="D1064" s="27"/>
      <c r="E1064" s="27"/>
      <c r="F1064" s="27"/>
      <c r="G1064" s="27"/>
      <c r="H1064" s="27"/>
      <c r="I1064" s="28"/>
      <c r="J1064" s="27"/>
      <c r="K1064" s="29"/>
      <c r="L1064" s="31"/>
      <c r="M1064" s="28"/>
      <c r="N1064" s="30"/>
      <c r="O1064" s="27"/>
      <c r="P1064" s="137"/>
    </row>
    <row r="1065" spans="1:16" x14ac:dyDescent="0.3">
      <c r="A1065" s="27"/>
      <c r="B1065" s="27"/>
      <c r="C1065" s="27"/>
      <c r="D1065" s="27"/>
      <c r="E1065" s="27"/>
      <c r="F1065" s="27"/>
      <c r="G1065" s="27"/>
      <c r="H1065" s="27"/>
      <c r="I1065" s="28"/>
      <c r="J1065" s="27"/>
      <c r="K1065" s="29"/>
      <c r="L1065" s="31"/>
      <c r="M1065" s="28"/>
      <c r="N1065" s="30"/>
      <c r="O1065" s="27"/>
      <c r="P1065" s="137"/>
    </row>
    <row r="1066" spans="1:16" x14ac:dyDescent="0.3">
      <c r="A1066" s="27"/>
      <c r="B1066" s="27"/>
      <c r="C1066" s="27"/>
      <c r="D1066" s="27"/>
      <c r="E1066" s="27"/>
      <c r="F1066" s="27"/>
      <c r="G1066" s="27"/>
      <c r="H1066" s="27"/>
      <c r="I1066" s="28"/>
      <c r="J1066" s="27"/>
      <c r="K1066" s="29"/>
      <c r="L1066" s="31"/>
      <c r="M1066" s="28"/>
      <c r="N1066" s="30"/>
      <c r="O1066" s="27"/>
      <c r="P1066" s="137"/>
    </row>
    <row r="1067" spans="1:16" x14ac:dyDescent="0.3">
      <c r="A1067" s="27"/>
      <c r="B1067" s="27"/>
      <c r="C1067" s="27"/>
      <c r="D1067" s="27"/>
      <c r="E1067" s="27"/>
      <c r="F1067" s="27"/>
      <c r="G1067" s="27"/>
      <c r="H1067" s="27"/>
      <c r="I1067" s="28"/>
      <c r="J1067" s="27"/>
      <c r="K1067" s="29"/>
      <c r="L1067" s="31"/>
      <c r="M1067" s="28"/>
      <c r="N1067" s="30"/>
      <c r="O1067" s="27"/>
      <c r="P1067" s="137"/>
    </row>
    <row r="1068" spans="1:16" x14ac:dyDescent="0.3">
      <c r="A1068" s="27"/>
      <c r="B1068" s="27"/>
      <c r="C1068" s="27"/>
      <c r="D1068" s="27"/>
      <c r="E1068" s="27"/>
      <c r="F1068" s="27"/>
      <c r="G1068" s="27"/>
      <c r="H1068" s="27"/>
      <c r="I1068" s="28"/>
      <c r="J1068" s="27"/>
      <c r="K1068" s="29"/>
      <c r="L1068" s="31"/>
      <c r="M1068" s="28"/>
      <c r="N1068" s="30"/>
      <c r="O1068" s="27"/>
      <c r="P1068" s="137"/>
    </row>
    <row r="1069" spans="1:16" x14ac:dyDescent="0.3">
      <c r="A1069" s="27"/>
      <c r="B1069" s="27"/>
      <c r="C1069" s="27"/>
      <c r="D1069" s="27"/>
      <c r="E1069" s="27"/>
      <c r="F1069" s="27"/>
      <c r="G1069" s="27"/>
      <c r="H1069" s="27"/>
      <c r="I1069" s="28"/>
      <c r="J1069" s="27"/>
      <c r="K1069" s="29"/>
      <c r="L1069" s="31"/>
      <c r="M1069" s="28"/>
      <c r="N1069" s="30"/>
      <c r="O1069" s="27"/>
      <c r="P1069" s="137"/>
    </row>
    <row r="1070" spans="1:16" x14ac:dyDescent="0.3">
      <c r="A1070" s="27"/>
      <c r="B1070" s="27"/>
      <c r="C1070" s="27"/>
      <c r="D1070" s="27"/>
      <c r="E1070" s="27"/>
      <c r="F1070" s="27"/>
      <c r="G1070" s="27"/>
      <c r="H1070" s="27"/>
      <c r="I1070" s="28"/>
      <c r="J1070" s="27"/>
      <c r="K1070" s="29"/>
      <c r="L1070" s="31"/>
      <c r="M1070" s="28"/>
      <c r="N1070" s="30"/>
      <c r="O1070" s="27"/>
      <c r="P1070" s="137"/>
    </row>
    <row r="1071" spans="1:16" x14ac:dyDescent="0.3">
      <c r="A1071" s="27"/>
      <c r="B1071" s="27"/>
      <c r="C1071" s="27"/>
      <c r="D1071" s="27"/>
      <c r="E1071" s="27"/>
      <c r="F1071" s="27"/>
      <c r="G1071" s="27"/>
      <c r="H1071" s="27"/>
      <c r="I1071" s="28"/>
      <c r="J1071" s="27"/>
      <c r="K1071" s="29"/>
      <c r="L1071" s="31"/>
      <c r="M1071" s="28"/>
      <c r="N1071" s="30"/>
      <c r="O1071" s="27"/>
      <c r="P1071" s="137"/>
    </row>
    <row r="1072" spans="1:16" x14ac:dyDescent="0.3">
      <c r="A1072" s="27"/>
      <c r="B1072" s="27"/>
      <c r="C1072" s="27"/>
      <c r="D1072" s="27"/>
      <c r="E1072" s="27"/>
      <c r="F1072" s="27"/>
      <c r="G1072" s="27"/>
      <c r="H1072" s="27"/>
      <c r="I1072" s="28"/>
      <c r="J1072" s="27"/>
      <c r="K1072" s="29"/>
      <c r="L1072" s="31"/>
      <c r="M1072" s="28"/>
      <c r="N1072" s="30"/>
      <c r="O1072" s="27"/>
      <c r="P1072" s="137"/>
    </row>
    <row r="1073" spans="1:16" x14ac:dyDescent="0.3">
      <c r="A1073" s="27"/>
      <c r="B1073" s="27"/>
      <c r="C1073" s="27"/>
      <c r="D1073" s="27"/>
      <c r="E1073" s="27"/>
      <c r="F1073" s="27"/>
      <c r="G1073" s="27"/>
      <c r="H1073" s="27"/>
      <c r="I1073" s="28"/>
      <c r="J1073" s="27"/>
      <c r="K1073" s="29"/>
      <c r="L1073" s="31"/>
      <c r="M1073" s="28"/>
      <c r="N1073" s="30"/>
      <c r="O1073" s="27"/>
      <c r="P1073" s="137"/>
    </row>
    <row r="1074" spans="1:16" x14ac:dyDescent="0.3">
      <c r="A1074" s="27"/>
      <c r="B1074" s="27"/>
      <c r="C1074" s="27"/>
      <c r="D1074" s="27"/>
      <c r="E1074" s="27"/>
      <c r="F1074" s="27"/>
      <c r="G1074" s="27"/>
      <c r="H1074" s="27"/>
      <c r="I1074" s="28"/>
      <c r="J1074" s="27"/>
      <c r="K1074" s="29"/>
      <c r="L1074" s="31"/>
      <c r="M1074" s="28"/>
      <c r="N1074" s="30"/>
      <c r="O1074" s="27"/>
      <c r="P1074" s="137"/>
    </row>
    <row r="1075" spans="1:16" x14ac:dyDescent="0.3">
      <c r="A1075" s="27"/>
      <c r="B1075" s="27"/>
      <c r="C1075" s="27"/>
      <c r="D1075" s="27"/>
      <c r="E1075" s="27"/>
      <c r="F1075" s="27"/>
      <c r="G1075" s="27"/>
      <c r="H1075" s="27"/>
      <c r="I1075" s="28"/>
      <c r="J1075" s="27"/>
      <c r="K1075" s="29"/>
      <c r="L1075" s="31"/>
      <c r="M1075" s="28"/>
      <c r="N1075" s="30"/>
      <c r="O1075" s="27"/>
      <c r="P1075" s="137"/>
    </row>
    <row r="1076" spans="1:16" x14ac:dyDescent="0.3">
      <c r="A1076" s="27"/>
      <c r="B1076" s="27"/>
      <c r="C1076" s="27"/>
      <c r="D1076" s="27"/>
      <c r="E1076" s="27"/>
      <c r="F1076" s="27"/>
      <c r="G1076" s="27"/>
      <c r="H1076" s="27"/>
      <c r="I1076" s="28"/>
      <c r="J1076" s="27"/>
      <c r="K1076" s="29"/>
      <c r="L1076" s="31"/>
      <c r="M1076" s="28"/>
      <c r="N1076" s="30"/>
      <c r="O1076" s="27"/>
      <c r="P1076" s="137"/>
    </row>
    <row r="1077" spans="1:16" x14ac:dyDescent="0.3">
      <c r="A1077" s="27"/>
      <c r="B1077" s="27"/>
      <c r="C1077" s="27"/>
      <c r="D1077" s="27"/>
      <c r="E1077" s="27"/>
      <c r="F1077" s="27"/>
      <c r="G1077" s="27"/>
      <c r="H1077" s="27"/>
      <c r="I1077" s="28"/>
      <c r="J1077" s="27"/>
      <c r="K1077" s="29"/>
      <c r="L1077" s="31"/>
      <c r="M1077" s="28"/>
      <c r="N1077" s="30"/>
      <c r="O1077" s="27"/>
      <c r="P1077" s="137"/>
    </row>
    <row r="1078" spans="1:16" x14ac:dyDescent="0.3">
      <c r="A1078" s="27"/>
      <c r="B1078" s="27"/>
      <c r="C1078" s="27"/>
      <c r="D1078" s="27"/>
      <c r="E1078" s="27"/>
      <c r="F1078" s="27"/>
      <c r="G1078" s="27"/>
      <c r="H1078" s="27"/>
      <c r="I1078" s="28"/>
      <c r="J1078" s="27"/>
      <c r="K1078" s="29"/>
      <c r="L1078" s="31"/>
      <c r="M1078" s="28"/>
      <c r="N1078" s="30"/>
      <c r="O1078" s="27"/>
      <c r="P1078" s="137"/>
    </row>
    <row r="1079" spans="1:16" x14ac:dyDescent="0.3">
      <c r="A1079" s="27"/>
      <c r="B1079" s="27"/>
      <c r="C1079" s="27"/>
      <c r="D1079" s="27"/>
      <c r="E1079" s="27"/>
      <c r="F1079" s="27"/>
      <c r="G1079" s="27"/>
      <c r="H1079" s="27"/>
      <c r="I1079" s="28"/>
      <c r="J1079" s="27"/>
      <c r="K1079" s="29"/>
      <c r="L1079" s="31"/>
      <c r="M1079" s="28"/>
      <c r="N1079" s="30"/>
      <c r="O1079" s="27"/>
      <c r="P1079" s="137"/>
    </row>
    <row r="1080" spans="1:16" x14ac:dyDescent="0.3">
      <c r="A1080" s="27"/>
      <c r="B1080" s="27"/>
      <c r="C1080" s="27"/>
      <c r="D1080" s="27"/>
      <c r="E1080" s="27"/>
      <c r="F1080" s="27"/>
      <c r="G1080" s="27"/>
      <c r="H1080" s="27"/>
      <c r="I1080" s="28"/>
      <c r="J1080" s="27"/>
      <c r="K1080" s="29"/>
      <c r="L1080" s="31"/>
      <c r="M1080" s="28"/>
      <c r="N1080" s="30"/>
      <c r="O1080" s="27"/>
      <c r="P1080" s="137"/>
    </row>
    <row r="1081" spans="1:16" x14ac:dyDescent="0.3">
      <c r="A1081" s="27"/>
      <c r="B1081" s="27"/>
      <c r="C1081" s="27"/>
      <c r="D1081" s="27"/>
      <c r="E1081" s="27"/>
      <c r="F1081" s="27"/>
      <c r="G1081" s="27"/>
      <c r="H1081" s="27"/>
      <c r="I1081" s="28"/>
      <c r="J1081" s="27"/>
      <c r="K1081" s="29"/>
      <c r="L1081" s="31"/>
      <c r="M1081" s="28"/>
      <c r="N1081" s="30"/>
      <c r="O1081" s="27"/>
      <c r="P1081" s="137"/>
    </row>
    <row r="1082" spans="1:16" x14ac:dyDescent="0.3">
      <c r="A1082" s="27"/>
      <c r="B1082" s="27"/>
      <c r="C1082" s="27"/>
      <c r="D1082" s="27"/>
      <c r="E1082" s="27"/>
      <c r="F1082" s="27"/>
      <c r="G1082" s="27"/>
      <c r="H1082" s="27"/>
      <c r="I1082" s="28"/>
      <c r="J1082" s="27"/>
      <c r="K1082" s="29"/>
      <c r="L1082" s="31"/>
      <c r="M1082" s="28"/>
      <c r="N1082" s="30"/>
      <c r="O1082" s="27"/>
      <c r="P1082" s="137"/>
    </row>
    <row r="1083" spans="1:16" x14ac:dyDescent="0.3">
      <c r="A1083" s="27"/>
      <c r="B1083" s="27"/>
      <c r="C1083" s="27"/>
      <c r="D1083" s="27"/>
      <c r="E1083" s="27"/>
      <c r="F1083" s="27"/>
      <c r="G1083" s="27"/>
      <c r="H1083" s="27"/>
      <c r="I1083" s="28"/>
      <c r="J1083" s="27"/>
      <c r="K1083" s="29"/>
      <c r="L1083" s="31"/>
      <c r="M1083" s="28"/>
      <c r="N1083" s="30"/>
      <c r="O1083" s="27"/>
      <c r="P1083" s="137"/>
    </row>
    <row r="1084" spans="1:16" x14ac:dyDescent="0.3">
      <c r="A1084" s="27"/>
      <c r="B1084" s="27"/>
      <c r="C1084" s="27"/>
      <c r="D1084" s="27"/>
      <c r="E1084" s="27"/>
      <c r="F1084" s="27"/>
      <c r="G1084" s="27"/>
      <c r="H1084" s="27"/>
      <c r="I1084" s="28"/>
      <c r="J1084" s="27"/>
      <c r="K1084" s="29"/>
      <c r="L1084" s="31"/>
      <c r="M1084" s="28"/>
      <c r="N1084" s="30"/>
      <c r="O1084" s="27"/>
      <c r="P1084" s="137"/>
    </row>
    <row r="1085" spans="1:16" x14ac:dyDescent="0.3">
      <c r="A1085" s="27"/>
      <c r="B1085" s="27"/>
      <c r="C1085" s="27"/>
      <c r="D1085" s="27"/>
      <c r="E1085" s="27"/>
      <c r="F1085" s="27"/>
      <c r="G1085" s="27"/>
      <c r="H1085" s="27"/>
      <c r="I1085" s="28"/>
      <c r="J1085" s="27"/>
      <c r="K1085" s="29"/>
      <c r="L1085" s="31"/>
      <c r="M1085" s="28"/>
      <c r="N1085" s="30"/>
      <c r="O1085" s="27"/>
      <c r="P1085" s="137"/>
    </row>
    <row r="1086" spans="1:16" x14ac:dyDescent="0.3">
      <c r="A1086" s="27"/>
      <c r="B1086" s="27"/>
      <c r="C1086" s="27"/>
      <c r="D1086" s="27"/>
      <c r="E1086" s="27"/>
      <c r="F1086" s="27"/>
      <c r="G1086" s="27"/>
      <c r="H1086" s="27"/>
      <c r="I1086" s="28"/>
      <c r="J1086" s="27"/>
      <c r="K1086" s="29"/>
      <c r="L1086" s="31"/>
      <c r="M1086" s="28"/>
      <c r="N1086" s="30"/>
      <c r="O1086" s="27"/>
      <c r="P1086" s="137"/>
    </row>
    <row r="1087" spans="1:16" x14ac:dyDescent="0.3">
      <c r="A1087" s="27"/>
      <c r="B1087" s="27"/>
      <c r="C1087" s="27"/>
      <c r="D1087" s="27"/>
      <c r="E1087" s="27"/>
      <c r="F1087" s="27"/>
      <c r="G1087" s="27"/>
      <c r="H1087" s="27"/>
      <c r="I1087" s="28"/>
      <c r="J1087" s="27"/>
      <c r="K1087" s="29"/>
      <c r="L1087" s="31"/>
      <c r="M1087" s="28"/>
      <c r="N1087" s="30"/>
      <c r="O1087" s="27"/>
      <c r="P1087" s="137"/>
    </row>
    <row r="1088" spans="1:16" x14ac:dyDescent="0.3">
      <c r="A1088" s="27"/>
      <c r="B1088" s="27"/>
      <c r="C1088" s="27"/>
      <c r="D1088" s="27"/>
      <c r="E1088" s="27"/>
      <c r="F1088" s="27"/>
      <c r="G1088" s="27"/>
      <c r="H1088" s="27"/>
      <c r="I1088" s="28"/>
      <c r="J1088" s="27"/>
      <c r="K1088" s="29"/>
      <c r="L1088" s="31"/>
      <c r="M1088" s="28"/>
      <c r="N1088" s="30"/>
      <c r="O1088" s="27"/>
      <c r="P1088" s="137"/>
    </row>
    <row r="1089" spans="1:16" x14ac:dyDescent="0.3">
      <c r="A1089" s="27"/>
      <c r="B1089" s="27"/>
      <c r="C1089" s="27"/>
      <c r="D1089" s="27"/>
      <c r="E1089" s="27"/>
      <c r="F1089" s="27"/>
      <c r="G1089" s="27"/>
      <c r="H1089" s="27"/>
      <c r="I1089" s="28"/>
      <c r="J1089" s="27"/>
      <c r="K1089" s="29"/>
      <c r="L1089" s="31"/>
      <c r="M1089" s="28"/>
      <c r="N1089" s="30"/>
      <c r="O1089" s="27"/>
      <c r="P1089" s="137"/>
    </row>
    <row r="1090" spans="1:16" x14ac:dyDescent="0.3">
      <c r="A1090" s="27"/>
      <c r="B1090" s="27"/>
      <c r="C1090" s="27"/>
      <c r="D1090" s="27"/>
      <c r="E1090" s="27"/>
      <c r="F1090" s="27"/>
      <c r="G1090" s="27"/>
      <c r="H1090" s="27"/>
      <c r="I1090" s="28"/>
      <c r="J1090" s="27"/>
      <c r="K1090" s="29"/>
      <c r="L1090" s="31"/>
      <c r="M1090" s="28"/>
      <c r="N1090" s="30"/>
      <c r="O1090" s="27"/>
      <c r="P1090" s="137"/>
    </row>
    <row r="1091" spans="1:16" x14ac:dyDescent="0.3">
      <c r="A1091" s="27"/>
      <c r="B1091" s="27"/>
      <c r="C1091" s="27"/>
      <c r="D1091" s="27"/>
      <c r="E1091" s="27"/>
      <c r="F1091" s="27"/>
      <c r="G1091" s="27"/>
      <c r="H1091" s="27"/>
      <c r="I1091" s="28"/>
      <c r="J1091" s="27"/>
      <c r="K1091" s="29"/>
      <c r="L1091" s="31"/>
      <c r="M1091" s="28"/>
      <c r="N1091" s="30"/>
      <c r="O1091" s="27"/>
      <c r="P1091" s="137"/>
    </row>
    <row r="1092" spans="1:16" x14ac:dyDescent="0.3">
      <c r="A1092" s="27"/>
      <c r="B1092" s="27"/>
      <c r="C1092" s="27"/>
      <c r="D1092" s="27"/>
      <c r="E1092" s="27"/>
      <c r="F1092" s="27"/>
      <c r="G1092" s="27"/>
      <c r="H1092" s="27"/>
      <c r="I1092" s="28"/>
      <c r="J1092" s="27"/>
      <c r="K1092" s="29"/>
      <c r="L1092" s="31"/>
      <c r="M1092" s="28"/>
      <c r="N1092" s="30"/>
      <c r="O1092" s="27"/>
      <c r="P1092" s="137"/>
    </row>
    <row r="1093" spans="1:16" x14ac:dyDescent="0.3">
      <c r="A1093" s="27"/>
      <c r="B1093" s="27"/>
      <c r="C1093" s="27"/>
      <c r="D1093" s="27"/>
      <c r="E1093" s="27"/>
      <c r="F1093" s="27"/>
      <c r="G1093" s="27"/>
      <c r="H1093" s="27"/>
      <c r="I1093" s="28"/>
      <c r="J1093" s="27"/>
      <c r="K1093" s="29"/>
      <c r="L1093" s="31"/>
      <c r="M1093" s="28"/>
      <c r="N1093" s="30"/>
      <c r="O1093" s="27"/>
      <c r="P1093" s="137"/>
    </row>
    <row r="1094" spans="1:16" x14ac:dyDescent="0.3">
      <c r="A1094" s="27"/>
      <c r="B1094" s="27"/>
      <c r="C1094" s="27"/>
      <c r="D1094" s="27"/>
      <c r="E1094" s="27"/>
      <c r="F1094" s="27"/>
      <c r="G1094" s="27"/>
      <c r="H1094" s="27"/>
      <c r="I1094" s="28"/>
      <c r="J1094" s="27"/>
      <c r="K1094" s="29"/>
      <c r="L1094" s="31"/>
      <c r="M1094" s="28"/>
      <c r="N1094" s="30"/>
      <c r="O1094" s="27"/>
      <c r="P1094" s="137"/>
    </row>
    <row r="1095" spans="1:16" x14ac:dyDescent="0.3">
      <c r="A1095" s="27"/>
      <c r="B1095" s="27"/>
      <c r="C1095" s="27"/>
      <c r="D1095" s="27"/>
      <c r="E1095" s="27"/>
      <c r="F1095" s="27"/>
      <c r="G1095" s="27"/>
      <c r="H1095" s="27"/>
      <c r="I1095" s="28"/>
      <c r="J1095" s="27"/>
      <c r="K1095" s="29"/>
      <c r="L1095" s="31"/>
      <c r="M1095" s="28"/>
      <c r="N1095" s="30"/>
      <c r="O1095" s="27"/>
      <c r="P1095" s="137"/>
    </row>
    <row r="1096" spans="1:16" x14ac:dyDescent="0.3">
      <c r="A1096" s="27"/>
      <c r="B1096" s="27"/>
      <c r="C1096" s="27"/>
      <c r="D1096" s="27"/>
      <c r="E1096" s="27"/>
      <c r="F1096" s="27"/>
      <c r="G1096" s="27"/>
      <c r="H1096" s="27"/>
      <c r="I1096" s="28"/>
      <c r="J1096" s="27"/>
      <c r="K1096" s="29"/>
      <c r="L1096" s="31"/>
      <c r="M1096" s="28"/>
      <c r="N1096" s="30"/>
      <c r="O1096" s="27"/>
      <c r="P1096" s="137"/>
    </row>
    <row r="1097" spans="1:16" x14ac:dyDescent="0.3">
      <c r="A1097" s="27"/>
      <c r="B1097" s="27"/>
      <c r="C1097" s="27"/>
      <c r="D1097" s="27"/>
      <c r="E1097" s="27"/>
      <c r="F1097" s="27"/>
      <c r="G1097" s="27"/>
      <c r="H1097" s="27"/>
      <c r="I1097" s="28"/>
      <c r="J1097" s="27"/>
      <c r="K1097" s="29"/>
      <c r="L1097" s="31"/>
      <c r="M1097" s="28"/>
      <c r="N1097" s="30"/>
      <c r="O1097" s="27"/>
      <c r="P1097" s="137"/>
    </row>
    <row r="1098" spans="1:16" x14ac:dyDescent="0.3">
      <c r="A1098" s="27"/>
      <c r="B1098" s="27"/>
      <c r="C1098" s="27"/>
      <c r="D1098" s="27"/>
      <c r="E1098" s="27"/>
      <c r="F1098" s="27"/>
      <c r="G1098" s="27"/>
      <c r="H1098" s="27"/>
      <c r="I1098" s="28"/>
      <c r="J1098" s="27"/>
      <c r="K1098" s="29"/>
      <c r="L1098" s="31"/>
      <c r="M1098" s="28"/>
      <c r="N1098" s="30"/>
      <c r="O1098" s="27"/>
      <c r="P1098" s="137"/>
    </row>
    <row r="1099" spans="1:16" x14ac:dyDescent="0.3">
      <c r="A1099" s="27"/>
      <c r="B1099" s="27"/>
      <c r="C1099" s="27"/>
      <c r="D1099" s="27"/>
      <c r="E1099" s="27"/>
      <c r="F1099" s="27"/>
      <c r="G1099" s="27"/>
      <c r="H1099" s="27"/>
      <c r="I1099" s="28"/>
      <c r="J1099" s="27"/>
      <c r="K1099" s="29"/>
      <c r="L1099" s="31"/>
      <c r="M1099" s="28"/>
      <c r="N1099" s="30"/>
      <c r="O1099" s="27"/>
      <c r="P1099" s="137"/>
    </row>
    <row r="1100" spans="1:16" x14ac:dyDescent="0.3">
      <c r="A1100" s="27"/>
      <c r="B1100" s="27"/>
      <c r="C1100" s="27"/>
      <c r="D1100" s="27"/>
      <c r="E1100" s="27"/>
      <c r="F1100" s="27"/>
      <c r="G1100" s="27"/>
      <c r="H1100" s="27"/>
      <c r="I1100" s="28"/>
      <c r="J1100" s="27"/>
      <c r="K1100" s="29"/>
      <c r="L1100" s="31"/>
      <c r="M1100" s="28"/>
      <c r="N1100" s="30"/>
      <c r="O1100" s="27"/>
      <c r="P1100" s="137"/>
    </row>
    <row r="1101" spans="1:16" x14ac:dyDescent="0.3">
      <c r="A1101" s="27"/>
      <c r="B1101" s="27"/>
      <c r="C1101" s="27"/>
      <c r="D1101" s="27"/>
      <c r="E1101" s="27"/>
      <c r="F1101" s="27"/>
      <c r="G1101" s="27"/>
      <c r="H1101" s="27"/>
      <c r="I1101" s="28"/>
      <c r="J1101" s="27"/>
      <c r="K1101" s="29"/>
      <c r="L1101" s="31"/>
      <c r="M1101" s="28"/>
      <c r="N1101" s="30"/>
      <c r="O1101" s="27"/>
      <c r="P1101" s="137"/>
    </row>
    <row r="1102" spans="1:16" x14ac:dyDescent="0.3">
      <c r="A1102" s="27"/>
      <c r="B1102" s="27"/>
      <c r="C1102" s="27"/>
      <c r="D1102" s="27"/>
      <c r="E1102" s="27"/>
      <c r="F1102" s="27"/>
      <c r="G1102" s="27"/>
      <c r="H1102" s="27"/>
      <c r="I1102" s="28"/>
      <c r="J1102" s="27"/>
      <c r="K1102" s="29"/>
      <c r="L1102" s="31"/>
      <c r="M1102" s="28"/>
      <c r="N1102" s="30"/>
      <c r="O1102" s="27"/>
      <c r="P1102" s="137"/>
    </row>
    <row r="1103" spans="1:16" x14ac:dyDescent="0.3">
      <c r="A1103" s="27"/>
      <c r="B1103" s="27"/>
      <c r="C1103" s="27"/>
      <c r="D1103" s="27"/>
      <c r="E1103" s="27"/>
      <c r="F1103" s="27"/>
      <c r="G1103" s="27"/>
      <c r="H1103" s="27"/>
      <c r="I1103" s="28"/>
      <c r="J1103" s="27"/>
      <c r="K1103" s="29"/>
      <c r="L1103" s="31"/>
      <c r="M1103" s="28"/>
      <c r="N1103" s="30"/>
      <c r="O1103" s="27"/>
      <c r="P1103" s="137"/>
    </row>
    <row r="1104" spans="1:16" x14ac:dyDescent="0.3">
      <c r="A1104" s="27"/>
      <c r="B1104" s="27"/>
      <c r="C1104" s="27"/>
      <c r="D1104" s="27"/>
      <c r="E1104" s="27"/>
      <c r="F1104" s="27"/>
      <c r="G1104" s="27"/>
      <c r="H1104" s="27"/>
      <c r="I1104" s="28"/>
      <c r="J1104" s="27"/>
      <c r="K1104" s="29"/>
      <c r="L1104" s="31"/>
      <c r="M1104" s="28"/>
      <c r="N1104" s="30"/>
      <c r="O1104" s="27"/>
      <c r="P1104" s="137"/>
    </row>
    <row r="1105" spans="1:16" x14ac:dyDescent="0.3">
      <c r="A1105" s="27"/>
      <c r="B1105" s="27"/>
      <c r="C1105" s="27"/>
      <c r="D1105" s="27"/>
      <c r="E1105" s="27"/>
      <c r="F1105" s="27"/>
      <c r="G1105" s="27"/>
      <c r="H1105" s="27"/>
      <c r="I1105" s="28"/>
      <c r="J1105" s="27"/>
      <c r="K1105" s="29"/>
      <c r="L1105" s="31"/>
      <c r="M1105" s="28"/>
      <c r="N1105" s="30"/>
      <c r="O1105" s="27"/>
      <c r="P1105" s="137"/>
    </row>
    <row r="1106" spans="1:16" x14ac:dyDescent="0.3">
      <c r="A1106" s="27"/>
      <c r="B1106" s="27"/>
      <c r="C1106" s="27"/>
      <c r="D1106" s="27"/>
      <c r="E1106" s="27"/>
      <c r="F1106" s="27"/>
      <c r="G1106" s="27"/>
      <c r="H1106" s="27"/>
      <c r="I1106" s="28"/>
      <c r="J1106" s="27"/>
      <c r="K1106" s="29"/>
      <c r="L1106" s="31"/>
      <c r="M1106" s="28"/>
      <c r="N1106" s="30"/>
      <c r="O1106" s="27"/>
      <c r="P1106" s="137"/>
    </row>
    <row r="1107" spans="1:16" x14ac:dyDescent="0.3">
      <c r="A1107" s="27"/>
      <c r="B1107" s="27"/>
      <c r="C1107" s="27"/>
      <c r="D1107" s="27"/>
      <c r="E1107" s="27"/>
      <c r="F1107" s="27"/>
      <c r="G1107" s="27"/>
      <c r="H1107" s="27"/>
      <c r="I1107" s="28"/>
      <c r="J1107" s="27"/>
      <c r="K1107" s="29"/>
      <c r="L1107" s="31"/>
      <c r="M1107" s="28"/>
      <c r="N1107" s="30"/>
      <c r="O1107" s="27"/>
      <c r="P1107" s="137"/>
    </row>
    <row r="1108" spans="1:16" x14ac:dyDescent="0.3">
      <c r="A1108" s="27"/>
      <c r="B1108" s="27"/>
      <c r="C1108" s="27"/>
      <c r="D1108" s="27"/>
      <c r="E1108" s="27"/>
      <c r="F1108" s="27"/>
      <c r="G1108" s="27"/>
      <c r="H1108" s="27"/>
      <c r="I1108" s="28"/>
      <c r="J1108" s="27"/>
      <c r="K1108" s="29"/>
      <c r="L1108" s="31"/>
      <c r="M1108" s="28"/>
      <c r="N1108" s="30"/>
      <c r="O1108" s="27"/>
      <c r="P1108" s="137"/>
    </row>
    <row r="1109" spans="1:16" x14ac:dyDescent="0.3">
      <c r="A1109" s="27"/>
      <c r="B1109" s="27"/>
      <c r="C1109" s="27"/>
      <c r="D1109" s="27"/>
      <c r="E1109" s="27"/>
      <c r="F1109" s="27"/>
      <c r="G1109" s="27"/>
      <c r="H1109" s="27"/>
      <c r="I1109" s="28"/>
      <c r="J1109" s="27"/>
      <c r="K1109" s="29"/>
      <c r="L1109" s="31"/>
      <c r="M1109" s="28"/>
      <c r="N1109" s="30"/>
      <c r="O1109" s="27"/>
      <c r="P1109" s="137"/>
    </row>
    <row r="1110" spans="1:16" x14ac:dyDescent="0.3">
      <c r="A1110" s="27"/>
      <c r="B1110" s="27"/>
      <c r="C1110" s="27"/>
      <c r="D1110" s="27"/>
      <c r="E1110" s="27"/>
      <c r="F1110" s="27"/>
      <c r="G1110" s="27"/>
      <c r="H1110" s="27"/>
      <c r="I1110" s="28"/>
      <c r="J1110" s="27"/>
      <c r="K1110" s="29"/>
      <c r="L1110" s="31"/>
      <c r="M1110" s="28"/>
      <c r="N1110" s="30"/>
      <c r="O1110" s="27"/>
      <c r="P1110" s="137"/>
    </row>
    <row r="1111" spans="1:16" x14ac:dyDescent="0.3">
      <c r="A1111" s="27"/>
      <c r="B1111" s="27"/>
      <c r="C1111" s="27"/>
      <c r="D1111" s="27"/>
      <c r="E1111" s="27"/>
      <c r="F1111" s="27"/>
      <c r="G1111" s="27"/>
      <c r="H1111" s="27"/>
      <c r="I1111" s="28"/>
      <c r="J1111" s="27"/>
      <c r="K1111" s="29"/>
      <c r="L1111" s="31"/>
      <c r="M1111" s="28"/>
      <c r="N1111" s="30"/>
      <c r="O1111" s="27"/>
      <c r="P1111" s="137"/>
    </row>
    <row r="1112" spans="1:16" x14ac:dyDescent="0.3">
      <c r="A1112" s="27"/>
      <c r="B1112" s="27"/>
      <c r="C1112" s="27"/>
      <c r="D1112" s="27"/>
      <c r="E1112" s="27"/>
      <c r="F1112" s="27"/>
      <c r="G1112" s="27"/>
      <c r="H1112" s="27"/>
      <c r="I1112" s="28"/>
      <c r="J1112" s="27"/>
      <c r="K1112" s="29"/>
      <c r="L1112" s="31"/>
      <c r="M1112" s="28"/>
      <c r="N1112" s="30"/>
      <c r="O1112" s="27"/>
      <c r="P1112" s="137"/>
    </row>
    <row r="1113" spans="1:16" x14ac:dyDescent="0.3">
      <c r="A1113" s="27"/>
      <c r="B1113" s="27"/>
      <c r="C1113" s="27"/>
      <c r="D1113" s="27"/>
      <c r="E1113" s="27"/>
      <c r="F1113" s="27"/>
      <c r="G1113" s="27"/>
      <c r="H1113" s="27"/>
      <c r="I1113" s="28"/>
      <c r="J1113" s="27"/>
      <c r="K1113" s="29"/>
      <c r="L1113" s="31"/>
      <c r="M1113" s="28"/>
      <c r="N1113" s="30"/>
      <c r="O1113" s="27"/>
      <c r="P1113" s="137"/>
    </row>
    <row r="1114" spans="1:16" x14ac:dyDescent="0.3">
      <c r="A1114" s="27"/>
      <c r="B1114" s="27"/>
      <c r="C1114" s="27"/>
      <c r="D1114" s="27"/>
      <c r="E1114" s="27"/>
      <c r="F1114" s="27"/>
      <c r="G1114" s="27"/>
      <c r="H1114" s="27"/>
      <c r="I1114" s="28"/>
      <c r="J1114" s="27"/>
      <c r="K1114" s="29"/>
      <c r="L1114" s="31"/>
      <c r="M1114" s="28"/>
      <c r="N1114" s="30"/>
      <c r="O1114" s="27"/>
      <c r="P1114" s="137"/>
    </row>
    <row r="1115" spans="1:16" x14ac:dyDescent="0.3">
      <c r="A1115" s="27"/>
      <c r="B1115" s="27"/>
      <c r="C1115" s="27"/>
      <c r="D1115" s="27"/>
      <c r="E1115" s="27"/>
      <c r="F1115" s="27"/>
      <c r="G1115" s="27"/>
      <c r="H1115" s="27"/>
      <c r="I1115" s="28"/>
      <c r="J1115" s="27"/>
      <c r="K1115" s="29"/>
      <c r="L1115" s="31"/>
      <c r="M1115" s="28"/>
      <c r="N1115" s="30"/>
      <c r="O1115" s="27"/>
      <c r="P1115" s="137"/>
    </row>
    <row r="1116" spans="1:16" x14ac:dyDescent="0.3">
      <c r="A1116" s="27"/>
      <c r="B1116" s="27"/>
      <c r="C1116" s="27"/>
      <c r="D1116" s="27"/>
      <c r="E1116" s="27"/>
      <c r="F1116" s="27"/>
      <c r="G1116" s="27"/>
      <c r="H1116" s="27"/>
      <c r="I1116" s="28"/>
      <c r="J1116" s="27"/>
      <c r="K1116" s="29"/>
      <c r="L1116" s="31"/>
      <c r="M1116" s="28"/>
      <c r="N1116" s="30"/>
      <c r="O1116" s="27"/>
      <c r="P1116" s="137"/>
    </row>
    <row r="1117" spans="1:16" x14ac:dyDescent="0.3">
      <c r="A1117" s="27"/>
      <c r="B1117" s="27"/>
      <c r="C1117" s="27"/>
      <c r="D1117" s="27"/>
      <c r="E1117" s="27"/>
      <c r="F1117" s="27"/>
      <c r="G1117" s="27"/>
      <c r="H1117" s="27"/>
      <c r="I1117" s="28"/>
      <c r="J1117" s="27"/>
      <c r="K1117" s="29"/>
      <c r="L1117" s="31"/>
      <c r="M1117" s="28"/>
      <c r="N1117" s="30"/>
      <c r="O1117" s="27"/>
      <c r="P1117" s="137"/>
    </row>
    <row r="1118" spans="1:16" x14ac:dyDescent="0.3">
      <c r="A1118" s="27"/>
      <c r="B1118" s="27"/>
      <c r="C1118" s="27"/>
      <c r="D1118" s="27"/>
      <c r="E1118" s="27"/>
      <c r="F1118" s="27"/>
      <c r="G1118" s="27"/>
      <c r="H1118" s="27"/>
      <c r="I1118" s="28"/>
      <c r="J1118" s="27"/>
      <c r="K1118" s="29"/>
      <c r="L1118" s="31"/>
      <c r="M1118" s="28"/>
      <c r="N1118" s="30"/>
      <c r="O1118" s="27"/>
      <c r="P1118" s="137"/>
    </row>
    <row r="1119" spans="1:16" x14ac:dyDescent="0.3">
      <c r="A1119" s="27"/>
      <c r="B1119" s="27"/>
      <c r="C1119" s="27"/>
      <c r="D1119" s="27"/>
      <c r="E1119" s="27"/>
      <c r="F1119" s="27"/>
      <c r="G1119" s="27"/>
      <c r="H1119" s="27"/>
      <c r="I1119" s="28"/>
      <c r="J1119" s="27"/>
      <c r="K1119" s="29"/>
      <c r="L1119" s="31"/>
      <c r="M1119" s="28"/>
      <c r="N1119" s="30"/>
      <c r="O1119" s="27"/>
      <c r="P1119" s="137"/>
    </row>
    <row r="1120" spans="1:16" x14ac:dyDescent="0.3">
      <c r="A1120" s="27"/>
      <c r="B1120" s="27"/>
      <c r="C1120" s="27"/>
      <c r="D1120" s="27"/>
      <c r="E1120" s="27"/>
      <c r="F1120" s="27"/>
      <c r="G1120" s="27"/>
      <c r="H1120" s="27"/>
      <c r="I1120" s="28"/>
      <c r="J1120" s="27"/>
      <c r="K1120" s="29"/>
      <c r="L1120" s="31"/>
      <c r="M1120" s="28"/>
      <c r="N1120" s="30"/>
      <c r="O1120" s="27"/>
      <c r="P1120" s="137"/>
    </row>
    <row r="1121" spans="1:16" x14ac:dyDescent="0.3">
      <c r="A1121" s="27"/>
      <c r="B1121" s="27"/>
      <c r="C1121" s="27"/>
      <c r="D1121" s="27"/>
      <c r="E1121" s="27"/>
      <c r="F1121" s="27"/>
      <c r="G1121" s="27"/>
      <c r="H1121" s="27"/>
      <c r="I1121" s="28"/>
      <c r="J1121" s="27"/>
      <c r="K1121" s="29"/>
      <c r="L1121" s="31"/>
      <c r="M1121" s="28"/>
      <c r="N1121" s="30"/>
      <c r="O1121" s="27"/>
      <c r="P1121" s="137"/>
    </row>
    <row r="1122" spans="1:16" x14ac:dyDescent="0.3">
      <c r="A1122" s="27"/>
      <c r="B1122" s="27"/>
      <c r="C1122" s="27"/>
      <c r="D1122" s="27"/>
      <c r="E1122" s="27"/>
      <c r="F1122" s="27"/>
      <c r="G1122" s="27"/>
      <c r="H1122" s="27"/>
      <c r="I1122" s="28"/>
      <c r="J1122" s="27"/>
      <c r="K1122" s="29"/>
      <c r="L1122" s="31"/>
      <c r="M1122" s="28"/>
      <c r="N1122" s="30"/>
      <c r="O1122" s="27"/>
      <c r="P1122" s="137"/>
    </row>
    <row r="1123" spans="1:16" x14ac:dyDescent="0.3">
      <c r="A1123" s="27"/>
      <c r="B1123" s="27"/>
      <c r="C1123" s="27"/>
      <c r="D1123" s="27"/>
      <c r="E1123" s="27"/>
      <c r="F1123" s="27"/>
      <c r="G1123" s="27"/>
      <c r="H1123" s="27"/>
      <c r="I1123" s="28"/>
      <c r="J1123" s="27"/>
      <c r="K1123" s="29"/>
      <c r="L1123" s="31"/>
      <c r="M1123" s="28"/>
      <c r="N1123" s="30"/>
      <c r="O1123" s="27"/>
      <c r="P1123" s="137"/>
    </row>
    <row r="1124" spans="1:16" x14ac:dyDescent="0.3">
      <c r="A1124" s="27"/>
      <c r="B1124" s="27"/>
      <c r="C1124" s="27"/>
      <c r="D1124" s="27"/>
      <c r="E1124" s="27"/>
      <c r="F1124" s="27"/>
      <c r="G1124" s="27"/>
      <c r="H1124" s="27"/>
      <c r="I1124" s="28"/>
      <c r="J1124" s="27"/>
      <c r="K1124" s="29"/>
      <c r="L1124" s="31"/>
      <c r="M1124" s="28"/>
      <c r="N1124" s="30"/>
      <c r="O1124" s="27"/>
      <c r="P1124" s="137"/>
    </row>
    <row r="1125" spans="1:16" x14ac:dyDescent="0.3">
      <c r="A1125" s="27"/>
      <c r="B1125" s="27"/>
      <c r="C1125" s="27"/>
      <c r="D1125" s="27"/>
      <c r="E1125" s="27"/>
      <c r="F1125" s="27"/>
      <c r="G1125" s="27"/>
      <c r="H1125" s="27"/>
      <c r="I1125" s="28"/>
      <c r="J1125" s="27"/>
      <c r="K1125" s="29"/>
      <c r="L1125" s="31"/>
      <c r="M1125" s="28"/>
      <c r="N1125" s="30"/>
      <c r="O1125" s="27"/>
      <c r="P1125" s="137"/>
    </row>
    <row r="1126" spans="1:16" x14ac:dyDescent="0.3">
      <c r="A1126" s="27"/>
      <c r="B1126" s="27"/>
      <c r="C1126" s="27"/>
      <c r="D1126" s="27"/>
      <c r="E1126" s="27"/>
      <c r="F1126" s="27"/>
      <c r="G1126" s="27"/>
      <c r="H1126" s="27"/>
      <c r="I1126" s="28"/>
      <c r="J1126" s="27"/>
      <c r="K1126" s="29"/>
      <c r="L1126" s="31"/>
      <c r="M1126" s="28"/>
      <c r="N1126" s="30"/>
      <c r="O1126" s="27"/>
      <c r="P1126" s="137"/>
    </row>
    <row r="1127" spans="1:16" x14ac:dyDescent="0.3">
      <c r="A1127" s="27"/>
      <c r="B1127" s="27"/>
      <c r="C1127" s="27"/>
      <c r="D1127" s="27"/>
      <c r="E1127" s="27"/>
      <c r="F1127" s="27"/>
      <c r="G1127" s="27"/>
      <c r="H1127" s="27"/>
      <c r="I1127" s="28"/>
      <c r="J1127" s="27"/>
      <c r="K1127" s="29"/>
      <c r="L1127" s="31"/>
      <c r="M1127" s="28"/>
      <c r="N1127" s="30"/>
      <c r="O1127" s="27"/>
      <c r="P1127" s="137"/>
    </row>
    <row r="1128" spans="1:16" x14ac:dyDescent="0.3">
      <c r="A1128" s="27"/>
      <c r="B1128" s="27"/>
      <c r="C1128" s="27"/>
      <c r="D1128" s="27"/>
      <c r="E1128" s="27"/>
      <c r="F1128" s="27"/>
      <c r="G1128" s="27"/>
      <c r="H1128" s="27"/>
      <c r="I1128" s="28"/>
      <c r="J1128" s="27"/>
      <c r="K1128" s="29"/>
      <c r="L1128" s="31"/>
      <c r="M1128" s="28"/>
      <c r="N1128" s="30"/>
      <c r="O1128" s="27"/>
      <c r="P1128" s="137"/>
    </row>
    <row r="1129" spans="1:16" x14ac:dyDescent="0.3">
      <c r="A1129" s="27"/>
      <c r="B1129" s="27"/>
      <c r="C1129" s="27"/>
      <c r="D1129" s="27"/>
      <c r="E1129" s="27"/>
      <c r="F1129" s="27"/>
      <c r="G1129" s="27"/>
      <c r="H1129" s="27"/>
      <c r="I1129" s="28"/>
      <c r="J1129" s="27"/>
      <c r="K1129" s="29"/>
      <c r="L1129" s="31"/>
      <c r="M1129" s="28"/>
      <c r="N1129" s="30"/>
      <c r="O1129" s="27"/>
      <c r="P1129" s="137"/>
    </row>
    <row r="1130" spans="1:16" x14ac:dyDescent="0.3">
      <c r="A1130" s="27"/>
      <c r="B1130" s="27"/>
      <c r="C1130" s="27"/>
      <c r="D1130" s="27"/>
      <c r="E1130" s="27"/>
      <c r="F1130" s="27"/>
      <c r="G1130" s="27"/>
      <c r="H1130" s="27"/>
      <c r="I1130" s="28"/>
      <c r="J1130" s="27"/>
      <c r="K1130" s="29"/>
      <c r="L1130" s="31"/>
      <c r="M1130" s="28"/>
      <c r="N1130" s="30"/>
      <c r="O1130" s="27"/>
      <c r="P1130" s="137"/>
    </row>
    <row r="1131" spans="1:16" x14ac:dyDescent="0.3">
      <c r="A1131" s="27"/>
      <c r="B1131" s="27"/>
      <c r="C1131" s="27"/>
      <c r="D1131" s="27"/>
      <c r="E1131" s="27"/>
      <c r="F1131" s="27"/>
      <c r="G1131" s="27"/>
      <c r="H1131" s="27"/>
      <c r="I1131" s="28"/>
      <c r="J1131" s="27"/>
      <c r="K1131" s="29"/>
      <c r="L1131" s="31"/>
      <c r="M1131" s="28"/>
      <c r="N1131" s="30"/>
      <c r="O1131" s="27"/>
      <c r="P1131" s="137"/>
    </row>
    <row r="1132" spans="1:16" x14ac:dyDescent="0.3">
      <c r="A1132" s="27"/>
      <c r="B1132" s="27"/>
      <c r="C1132" s="27"/>
      <c r="D1132" s="27"/>
      <c r="E1132" s="27"/>
      <c r="F1132" s="27"/>
      <c r="G1132" s="27"/>
      <c r="H1132" s="27"/>
      <c r="I1132" s="28"/>
      <c r="J1132" s="27"/>
      <c r="K1132" s="29"/>
      <c r="L1132" s="31"/>
      <c r="M1132" s="28"/>
      <c r="N1132" s="30"/>
      <c r="O1132" s="27"/>
      <c r="P1132" s="137"/>
    </row>
    <row r="1133" spans="1:16" x14ac:dyDescent="0.3">
      <c r="A1133" s="27"/>
      <c r="B1133" s="27"/>
      <c r="C1133" s="27"/>
      <c r="D1133" s="27"/>
      <c r="E1133" s="27"/>
      <c r="F1133" s="27"/>
      <c r="G1133" s="27"/>
      <c r="H1133" s="27"/>
      <c r="I1133" s="28"/>
      <c r="J1133" s="27"/>
      <c r="K1133" s="29"/>
      <c r="L1133" s="31"/>
      <c r="M1133" s="28"/>
      <c r="N1133" s="30"/>
      <c r="O1133" s="27"/>
      <c r="P1133" s="137"/>
    </row>
    <row r="1134" spans="1:16" x14ac:dyDescent="0.3">
      <c r="A1134" s="27"/>
      <c r="B1134" s="27"/>
      <c r="C1134" s="27"/>
      <c r="D1134" s="27"/>
      <c r="E1134" s="27"/>
      <c r="F1134" s="27"/>
      <c r="G1134" s="27"/>
      <c r="H1134" s="27"/>
      <c r="I1134" s="28"/>
      <c r="J1134" s="27"/>
      <c r="K1134" s="29"/>
      <c r="L1134" s="31"/>
      <c r="M1134" s="28"/>
      <c r="N1134" s="30"/>
      <c r="O1134" s="27"/>
      <c r="P1134" s="137"/>
    </row>
    <row r="1135" spans="1:16" x14ac:dyDescent="0.3">
      <c r="A1135" s="27"/>
      <c r="B1135" s="27"/>
      <c r="C1135" s="27"/>
      <c r="D1135" s="27"/>
      <c r="E1135" s="27"/>
      <c r="F1135" s="27"/>
      <c r="G1135" s="27"/>
      <c r="H1135" s="27"/>
      <c r="I1135" s="28"/>
      <c r="J1135" s="27"/>
      <c r="K1135" s="29"/>
      <c r="L1135" s="31"/>
      <c r="M1135" s="28"/>
      <c r="N1135" s="30"/>
      <c r="O1135" s="27"/>
      <c r="P1135" s="137"/>
    </row>
    <row r="1136" spans="1:16" x14ac:dyDescent="0.3">
      <c r="A1136" s="27"/>
      <c r="B1136" s="27"/>
      <c r="C1136" s="27"/>
      <c r="D1136" s="27"/>
      <c r="E1136" s="27"/>
      <c r="F1136" s="27"/>
      <c r="G1136" s="27"/>
      <c r="H1136" s="27"/>
      <c r="I1136" s="28"/>
      <c r="J1136" s="27"/>
      <c r="K1136" s="29"/>
      <c r="L1136" s="31"/>
      <c r="M1136" s="28"/>
      <c r="N1136" s="30"/>
      <c r="O1136" s="27"/>
      <c r="P1136" s="137"/>
    </row>
    <row r="1137" spans="1:16" x14ac:dyDescent="0.3">
      <c r="A1137" s="27"/>
      <c r="B1137" s="27"/>
      <c r="C1137" s="27"/>
      <c r="D1137" s="27"/>
      <c r="E1137" s="27"/>
      <c r="F1137" s="27"/>
      <c r="G1137" s="27"/>
      <c r="H1137" s="27"/>
      <c r="I1137" s="28"/>
      <c r="J1137" s="27"/>
      <c r="K1137" s="29"/>
      <c r="L1137" s="31"/>
      <c r="M1137" s="28"/>
      <c r="N1137" s="30"/>
      <c r="O1137" s="27"/>
      <c r="P1137" s="137"/>
    </row>
    <row r="1138" spans="1:16" x14ac:dyDescent="0.3">
      <c r="A1138" s="27"/>
      <c r="B1138" s="27"/>
      <c r="C1138" s="27"/>
      <c r="D1138" s="27"/>
      <c r="E1138" s="27"/>
      <c r="F1138" s="27"/>
      <c r="G1138" s="27"/>
      <c r="H1138" s="27"/>
      <c r="I1138" s="28"/>
      <c r="J1138" s="27"/>
      <c r="K1138" s="29"/>
      <c r="L1138" s="31"/>
      <c r="M1138" s="28"/>
      <c r="N1138" s="30"/>
      <c r="O1138" s="27"/>
      <c r="P1138" s="137"/>
    </row>
    <row r="1139" spans="1:16" x14ac:dyDescent="0.3">
      <c r="A1139" s="27"/>
      <c r="B1139" s="27"/>
      <c r="C1139" s="27"/>
      <c r="D1139" s="27"/>
      <c r="E1139" s="27"/>
      <c r="F1139" s="27"/>
      <c r="G1139" s="27"/>
      <c r="H1139" s="27"/>
      <c r="I1139" s="28"/>
      <c r="J1139" s="27"/>
      <c r="K1139" s="29"/>
      <c r="L1139" s="31"/>
      <c r="M1139" s="28"/>
      <c r="N1139" s="30"/>
      <c r="O1139" s="27"/>
      <c r="P1139" s="137"/>
    </row>
    <row r="1140" spans="1:16" x14ac:dyDescent="0.3">
      <c r="A1140" s="27"/>
      <c r="B1140" s="27"/>
      <c r="C1140" s="27"/>
      <c r="D1140" s="27"/>
      <c r="E1140" s="27"/>
      <c r="F1140" s="27"/>
      <c r="G1140" s="27"/>
      <c r="H1140" s="27"/>
      <c r="I1140" s="28"/>
      <c r="J1140" s="27"/>
      <c r="K1140" s="29"/>
      <c r="L1140" s="31"/>
      <c r="M1140" s="28"/>
      <c r="N1140" s="30"/>
      <c r="O1140" s="27"/>
      <c r="P1140" s="137"/>
    </row>
    <row r="1141" spans="1:16" x14ac:dyDescent="0.3">
      <c r="A1141" s="27"/>
      <c r="B1141" s="27"/>
      <c r="C1141" s="27"/>
      <c r="D1141" s="27"/>
      <c r="E1141" s="27"/>
      <c r="F1141" s="27"/>
      <c r="G1141" s="27"/>
      <c r="H1141" s="27"/>
      <c r="I1141" s="28"/>
      <c r="J1141" s="27"/>
      <c r="K1141" s="29"/>
      <c r="L1141" s="31"/>
      <c r="M1141" s="28"/>
      <c r="N1141" s="30"/>
      <c r="O1141" s="27"/>
      <c r="P1141" s="137"/>
    </row>
    <row r="1142" spans="1:16" x14ac:dyDescent="0.3">
      <c r="A1142" s="27"/>
      <c r="B1142" s="27"/>
      <c r="C1142" s="27"/>
      <c r="D1142" s="27"/>
      <c r="E1142" s="27"/>
      <c r="F1142" s="27"/>
      <c r="G1142" s="27"/>
      <c r="H1142" s="27"/>
      <c r="I1142" s="28"/>
      <c r="J1142" s="27"/>
      <c r="K1142" s="29"/>
      <c r="L1142" s="31"/>
      <c r="M1142" s="28"/>
      <c r="N1142" s="30"/>
      <c r="O1142" s="27"/>
      <c r="P1142" s="137"/>
    </row>
    <row r="1143" spans="1:16" x14ac:dyDescent="0.3">
      <c r="A1143" s="27"/>
      <c r="B1143" s="27"/>
      <c r="C1143" s="27"/>
      <c r="D1143" s="27"/>
      <c r="E1143" s="27"/>
      <c r="F1143" s="27"/>
      <c r="G1143" s="27"/>
      <c r="H1143" s="27"/>
      <c r="I1143" s="28"/>
      <c r="J1143" s="27"/>
      <c r="K1143" s="29"/>
      <c r="L1143" s="31"/>
      <c r="M1143" s="28"/>
      <c r="N1143" s="30"/>
      <c r="O1143" s="27"/>
      <c r="P1143" s="137"/>
    </row>
    <row r="1144" spans="1:16" x14ac:dyDescent="0.3">
      <c r="A1144" s="27"/>
      <c r="B1144" s="27"/>
      <c r="C1144" s="27"/>
      <c r="D1144" s="27"/>
      <c r="E1144" s="27"/>
      <c r="F1144" s="27"/>
      <c r="G1144" s="27"/>
      <c r="H1144" s="27"/>
      <c r="I1144" s="28"/>
      <c r="J1144" s="27"/>
      <c r="K1144" s="29"/>
      <c r="L1144" s="31"/>
      <c r="M1144" s="28"/>
      <c r="N1144" s="30"/>
      <c r="O1144" s="27"/>
      <c r="P1144" s="137"/>
    </row>
    <row r="1145" spans="1:16" x14ac:dyDescent="0.3">
      <c r="A1145" s="27"/>
      <c r="B1145" s="27"/>
      <c r="C1145" s="27"/>
      <c r="D1145" s="27"/>
      <c r="E1145" s="27"/>
      <c r="F1145" s="27"/>
      <c r="G1145" s="27"/>
      <c r="H1145" s="27"/>
      <c r="I1145" s="28"/>
      <c r="J1145" s="27"/>
      <c r="K1145" s="29"/>
      <c r="L1145" s="31"/>
      <c r="M1145" s="28"/>
      <c r="N1145" s="30"/>
      <c r="O1145" s="27"/>
      <c r="P1145" s="137"/>
    </row>
    <row r="1146" spans="1:16" x14ac:dyDescent="0.3">
      <c r="A1146" s="27"/>
      <c r="B1146" s="27"/>
      <c r="C1146" s="27"/>
      <c r="D1146" s="27"/>
      <c r="E1146" s="27"/>
      <c r="F1146" s="27"/>
      <c r="G1146" s="27"/>
      <c r="H1146" s="27"/>
      <c r="I1146" s="28"/>
      <c r="J1146" s="27"/>
      <c r="K1146" s="29"/>
      <c r="L1146" s="31"/>
      <c r="M1146" s="28"/>
      <c r="N1146" s="30"/>
      <c r="O1146" s="27"/>
      <c r="P1146" s="137"/>
    </row>
    <row r="1147" spans="1:16" x14ac:dyDescent="0.3">
      <c r="A1147" s="27"/>
      <c r="B1147" s="27"/>
      <c r="C1147" s="27"/>
      <c r="D1147" s="27"/>
      <c r="E1147" s="27"/>
      <c r="F1147" s="27"/>
      <c r="G1147" s="27"/>
      <c r="H1147" s="27"/>
      <c r="I1147" s="28"/>
      <c r="J1147" s="27"/>
      <c r="K1147" s="29"/>
      <c r="L1147" s="31"/>
      <c r="M1147" s="28"/>
      <c r="N1147" s="30"/>
      <c r="O1147" s="27"/>
      <c r="P1147" s="137"/>
    </row>
    <row r="1148" spans="1:16" x14ac:dyDescent="0.3">
      <c r="A1148" s="27"/>
      <c r="B1148" s="27"/>
      <c r="C1148" s="27"/>
      <c r="D1148" s="27"/>
      <c r="E1148" s="27"/>
      <c r="F1148" s="27"/>
      <c r="G1148" s="27"/>
      <c r="H1148" s="27"/>
      <c r="I1148" s="28"/>
      <c r="J1148" s="27"/>
      <c r="K1148" s="29"/>
      <c r="L1148" s="31"/>
      <c r="M1148" s="28"/>
      <c r="N1148" s="30"/>
      <c r="O1148" s="27"/>
      <c r="P1148" s="137"/>
    </row>
    <row r="1149" spans="1:16" x14ac:dyDescent="0.3">
      <c r="A1149" s="27"/>
      <c r="B1149" s="27"/>
      <c r="C1149" s="27"/>
      <c r="D1149" s="27"/>
      <c r="E1149" s="27"/>
      <c r="F1149" s="27"/>
      <c r="G1149" s="27"/>
      <c r="H1149" s="27"/>
      <c r="I1149" s="28"/>
      <c r="J1149" s="27"/>
      <c r="K1149" s="29"/>
      <c r="L1149" s="31"/>
      <c r="M1149" s="28"/>
      <c r="N1149" s="30"/>
      <c r="O1149" s="27"/>
      <c r="P1149" s="137"/>
    </row>
    <row r="1150" spans="1:16" x14ac:dyDescent="0.3">
      <c r="A1150" s="27"/>
      <c r="B1150" s="27"/>
      <c r="C1150" s="27"/>
      <c r="D1150" s="27"/>
      <c r="E1150" s="27"/>
      <c r="F1150" s="27"/>
      <c r="G1150" s="27"/>
      <c r="H1150" s="27"/>
      <c r="I1150" s="28"/>
      <c r="J1150" s="27"/>
      <c r="K1150" s="29"/>
      <c r="L1150" s="31"/>
      <c r="M1150" s="28"/>
      <c r="N1150" s="30"/>
      <c r="O1150" s="27"/>
      <c r="P1150" s="137"/>
    </row>
    <row r="1151" spans="1:16" x14ac:dyDescent="0.3">
      <c r="A1151" s="27"/>
      <c r="B1151" s="27"/>
      <c r="C1151" s="27"/>
      <c r="D1151" s="27"/>
      <c r="E1151" s="27"/>
      <c r="F1151" s="27"/>
      <c r="G1151" s="27"/>
      <c r="H1151" s="27"/>
      <c r="I1151" s="28"/>
      <c r="J1151" s="27"/>
      <c r="K1151" s="29"/>
      <c r="L1151" s="31"/>
      <c r="M1151" s="28"/>
      <c r="N1151" s="30"/>
      <c r="O1151" s="27"/>
      <c r="P1151" s="137"/>
    </row>
    <row r="1152" spans="1:16" x14ac:dyDescent="0.3">
      <c r="A1152" s="27"/>
      <c r="B1152" s="27"/>
      <c r="C1152" s="27"/>
      <c r="D1152" s="27"/>
      <c r="E1152" s="27"/>
      <c r="F1152" s="27"/>
      <c r="G1152" s="27"/>
      <c r="H1152" s="27"/>
      <c r="I1152" s="28"/>
      <c r="J1152" s="27"/>
      <c r="K1152" s="29"/>
      <c r="L1152" s="31"/>
      <c r="M1152" s="28"/>
      <c r="N1152" s="30"/>
      <c r="O1152" s="27"/>
      <c r="P1152" s="137"/>
    </row>
    <row r="1153" spans="1:16" x14ac:dyDescent="0.3">
      <c r="A1153" s="27"/>
      <c r="B1153" s="27"/>
      <c r="C1153" s="27"/>
      <c r="D1153" s="27"/>
      <c r="E1153" s="27"/>
      <c r="F1153" s="27"/>
      <c r="G1153" s="27"/>
      <c r="H1153" s="27"/>
      <c r="I1153" s="28"/>
      <c r="J1153" s="27"/>
      <c r="K1153" s="29"/>
      <c r="L1153" s="31"/>
      <c r="M1153" s="28"/>
      <c r="N1153" s="30"/>
      <c r="O1153" s="27"/>
      <c r="P1153" s="137"/>
    </row>
    <row r="1154" spans="1:16" x14ac:dyDescent="0.3">
      <c r="A1154" s="27"/>
      <c r="B1154" s="27"/>
      <c r="C1154" s="27"/>
      <c r="D1154" s="27"/>
      <c r="E1154" s="27"/>
      <c r="F1154" s="27"/>
      <c r="G1154" s="27"/>
      <c r="H1154" s="27"/>
      <c r="I1154" s="28"/>
      <c r="J1154" s="27"/>
      <c r="K1154" s="29"/>
      <c r="L1154" s="31"/>
      <c r="M1154" s="28"/>
      <c r="N1154" s="30"/>
      <c r="O1154" s="27"/>
      <c r="P1154" s="137"/>
    </row>
    <row r="1155" spans="1:16" x14ac:dyDescent="0.3">
      <c r="A1155" s="27"/>
      <c r="B1155" s="27"/>
      <c r="C1155" s="27"/>
      <c r="D1155" s="27"/>
      <c r="E1155" s="27"/>
      <c r="F1155" s="27"/>
      <c r="G1155" s="27"/>
      <c r="H1155" s="27"/>
      <c r="I1155" s="28"/>
      <c r="J1155" s="27"/>
      <c r="K1155" s="29"/>
      <c r="L1155" s="31"/>
      <c r="M1155" s="28"/>
      <c r="N1155" s="30"/>
      <c r="O1155" s="27"/>
      <c r="P1155" s="137"/>
    </row>
    <row r="1156" spans="1:16" x14ac:dyDescent="0.3">
      <c r="A1156" s="27"/>
      <c r="B1156" s="27"/>
      <c r="C1156" s="27"/>
      <c r="D1156" s="27"/>
      <c r="E1156" s="27"/>
      <c r="F1156" s="27"/>
      <c r="G1156" s="27"/>
      <c r="H1156" s="27"/>
      <c r="I1156" s="28"/>
      <c r="J1156" s="27"/>
      <c r="K1156" s="29"/>
      <c r="L1156" s="31"/>
      <c r="M1156" s="28"/>
      <c r="N1156" s="30"/>
      <c r="O1156" s="27"/>
      <c r="P1156" s="137"/>
    </row>
    <row r="1157" spans="1:16" x14ac:dyDescent="0.3">
      <c r="A1157" s="27"/>
      <c r="B1157" s="27"/>
      <c r="C1157" s="27"/>
      <c r="D1157" s="27"/>
      <c r="E1157" s="27"/>
      <c r="F1157" s="27"/>
      <c r="G1157" s="27"/>
      <c r="H1157" s="27"/>
      <c r="I1157" s="28"/>
      <c r="J1157" s="27"/>
      <c r="K1157" s="29"/>
      <c r="L1157" s="31"/>
      <c r="M1157" s="28"/>
      <c r="N1157" s="30"/>
      <c r="O1157" s="27"/>
      <c r="P1157" s="137"/>
    </row>
    <row r="1158" spans="1:16" x14ac:dyDescent="0.3">
      <c r="A1158" s="27"/>
      <c r="B1158" s="27"/>
      <c r="C1158" s="27"/>
      <c r="D1158" s="27"/>
      <c r="E1158" s="27"/>
      <c r="F1158" s="27"/>
      <c r="G1158" s="27"/>
      <c r="H1158" s="27"/>
      <c r="I1158" s="28"/>
      <c r="J1158" s="27"/>
      <c r="K1158" s="29"/>
      <c r="L1158" s="31"/>
      <c r="M1158" s="28"/>
      <c r="N1158" s="30"/>
      <c r="O1158" s="27"/>
      <c r="P1158" s="137"/>
    </row>
    <row r="1159" spans="1:16" x14ac:dyDescent="0.3">
      <c r="A1159" s="27"/>
      <c r="B1159" s="27"/>
      <c r="C1159" s="27"/>
      <c r="D1159" s="27"/>
      <c r="E1159" s="27"/>
      <c r="F1159" s="27"/>
      <c r="G1159" s="27"/>
      <c r="H1159" s="27"/>
      <c r="I1159" s="28"/>
      <c r="J1159" s="27"/>
      <c r="K1159" s="29"/>
      <c r="L1159" s="31"/>
      <c r="M1159" s="28"/>
      <c r="N1159" s="30"/>
      <c r="O1159" s="27"/>
      <c r="P1159" s="137"/>
    </row>
    <row r="1160" spans="1:16" x14ac:dyDescent="0.3">
      <c r="A1160" s="27"/>
      <c r="B1160" s="27"/>
      <c r="C1160" s="27"/>
      <c r="D1160" s="27"/>
      <c r="E1160" s="27"/>
      <c r="F1160" s="27"/>
      <c r="G1160" s="27"/>
      <c r="H1160" s="27"/>
      <c r="I1160" s="28"/>
      <c r="J1160" s="27"/>
      <c r="K1160" s="29"/>
      <c r="L1160" s="31"/>
      <c r="M1160" s="28"/>
      <c r="N1160" s="30"/>
      <c r="O1160" s="27"/>
      <c r="P1160" s="137"/>
    </row>
    <row r="1161" spans="1:16" x14ac:dyDescent="0.3">
      <c r="A1161" s="27"/>
      <c r="B1161" s="27"/>
      <c r="C1161" s="27"/>
      <c r="D1161" s="27"/>
      <c r="E1161" s="27"/>
      <c r="F1161" s="27"/>
      <c r="G1161" s="27"/>
      <c r="H1161" s="27"/>
      <c r="I1161" s="28"/>
      <c r="J1161" s="27"/>
      <c r="K1161" s="29"/>
      <c r="L1161" s="31"/>
      <c r="M1161" s="28"/>
      <c r="N1161" s="30"/>
      <c r="O1161" s="27"/>
      <c r="P1161" s="137"/>
    </row>
    <row r="1162" spans="1:16" x14ac:dyDescent="0.3">
      <c r="A1162" s="27"/>
      <c r="B1162" s="27"/>
      <c r="C1162" s="27"/>
      <c r="D1162" s="27"/>
      <c r="E1162" s="27"/>
      <c r="F1162" s="27"/>
      <c r="G1162" s="27"/>
      <c r="H1162" s="27"/>
      <c r="I1162" s="28"/>
      <c r="J1162" s="27"/>
      <c r="K1162" s="29"/>
      <c r="L1162" s="31"/>
      <c r="M1162" s="28"/>
      <c r="N1162" s="30"/>
      <c r="O1162" s="27"/>
      <c r="P1162" s="137"/>
    </row>
    <row r="1163" spans="1:16" x14ac:dyDescent="0.3">
      <c r="A1163" s="27"/>
      <c r="B1163" s="27"/>
      <c r="C1163" s="27"/>
      <c r="D1163" s="27"/>
      <c r="E1163" s="27"/>
      <c r="F1163" s="27"/>
      <c r="G1163" s="27"/>
      <c r="H1163" s="27"/>
      <c r="I1163" s="28"/>
      <c r="J1163" s="27"/>
      <c r="K1163" s="29"/>
      <c r="L1163" s="31"/>
      <c r="M1163" s="28"/>
      <c r="N1163" s="30"/>
      <c r="O1163" s="27"/>
      <c r="P1163" s="137"/>
    </row>
    <row r="1164" spans="1:16" x14ac:dyDescent="0.3">
      <c r="A1164" s="27"/>
      <c r="B1164" s="27"/>
      <c r="C1164" s="27"/>
      <c r="D1164" s="27"/>
      <c r="E1164" s="27"/>
      <c r="F1164" s="27"/>
      <c r="G1164" s="27"/>
      <c r="H1164" s="27"/>
      <c r="I1164" s="28"/>
      <c r="J1164" s="27"/>
      <c r="K1164" s="29"/>
      <c r="L1164" s="31"/>
      <c r="M1164" s="28"/>
      <c r="N1164" s="30"/>
      <c r="O1164" s="27"/>
      <c r="P1164" s="137"/>
    </row>
    <row r="1165" spans="1:16" x14ac:dyDescent="0.3">
      <c r="A1165" s="27"/>
      <c r="B1165" s="27"/>
      <c r="C1165" s="27"/>
      <c r="D1165" s="27"/>
      <c r="E1165" s="27"/>
      <c r="F1165" s="27"/>
      <c r="G1165" s="27"/>
      <c r="H1165" s="27"/>
      <c r="I1165" s="28"/>
      <c r="J1165" s="27"/>
      <c r="K1165" s="29"/>
      <c r="L1165" s="31"/>
      <c r="M1165" s="28"/>
      <c r="N1165" s="30"/>
      <c r="O1165" s="27"/>
      <c r="P1165" s="137"/>
    </row>
    <row r="1166" spans="1:16" x14ac:dyDescent="0.3">
      <c r="A1166" s="27"/>
      <c r="B1166" s="27"/>
      <c r="C1166" s="27"/>
      <c r="D1166" s="27"/>
      <c r="E1166" s="27"/>
      <c r="F1166" s="27"/>
      <c r="G1166" s="27"/>
      <c r="H1166" s="27"/>
      <c r="I1166" s="28"/>
      <c r="J1166" s="27"/>
      <c r="K1166" s="29"/>
      <c r="L1166" s="31"/>
      <c r="M1166" s="28"/>
      <c r="N1166" s="30"/>
      <c r="O1166" s="27"/>
      <c r="P1166" s="137"/>
    </row>
    <row r="1167" spans="1:16" x14ac:dyDescent="0.3">
      <c r="A1167" s="27"/>
      <c r="B1167" s="27"/>
      <c r="C1167" s="27"/>
      <c r="D1167" s="27"/>
      <c r="E1167" s="27"/>
      <c r="F1167" s="27"/>
      <c r="G1167" s="27"/>
      <c r="H1167" s="27"/>
      <c r="I1167" s="28"/>
      <c r="J1167" s="27"/>
      <c r="K1167" s="29"/>
      <c r="L1167" s="31"/>
      <c r="M1167" s="28"/>
      <c r="N1167" s="30"/>
      <c r="O1167" s="27"/>
      <c r="P1167" s="137"/>
    </row>
    <row r="1168" spans="1:16" x14ac:dyDescent="0.3">
      <c r="A1168" s="27"/>
      <c r="B1168" s="27"/>
      <c r="C1168" s="27"/>
      <c r="D1168" s="27"/>
      <c r="E1168" s="27"/>
      <c r="F1168" s="27"/>
      <c r="G1168" s="27"/>
      <c r="H1168" s="27"/>
      <c r="I1168" s="28"/>
      <c r="J1168" s="27"/>
      <c r="K1168" s="29"/>
      <c r="L1168" s="31"/>
      <c r="M1168" s="28"/>
      <c r="N1168" s="30"/>
      <c r="O1168" s="27"/>
      <c r="P1168" s="137"/>
    </row>
    <row r="1169" spans="1:16" x14ac:dyDescent="0.3">
      <c r="A1169" s="27"/>
      <c r="B1169" s="27"/>
      <c r="C1169" s="27"/>
      <c r="D1169" s="27"/>
      <c r="E1169" s="27"/>
      <c r="F1169" s="27"/>
      <c r="G1169" s="27"/>
      <c r="H1169" s="27"/>
      <c r="I1169" s="28"/>
      <c r="J1169" s="27"/>
      <c r="K1169" s="29"/>
      <c r="L1169" s="31"/>
      <c r="M1169" s="28"/>
      <c r="N1169" s="30"/>
      <c r="O1169" s="27"/>
      <c r="P1169" s="137"/>
    </row>
    <row r="1170" spans="1:16" x14ac:dyDescent="0.3">
      <c r="A1170" s="27"/>
      <c r="B1170" s="27"/>
      <c r="C1170" s="27"/>
      <c r="D1170" s="27"/>
      <c r="E1170" s="27"/>
      <c r="F1170" s="27"/>
      <c r="G1170" s="27"/>
      <c r="H1170" s="27"/>
      <c r="I1170" s="28"/>
      <c r="J1170" s="27"/>
      <c r="K1170" s="29"/>
      <c r="L1170" s="31"/>
      <c r="M1170" s="28"/>
      <c r="N1170" s="30"/>
      <c r="O1170" s="27"/>
      <c r="P1170" s="137"/>
    </row>
    <row r="1171" spans="1:16" x14ac:dyDescent="0.3">
      <c r="A1171" s="27"/>
      <c r="B1171" s="27"/>
      <c r="C1171" s="27"/>
      <c r="D1171" s="27"/>
      <c r="E1171" s="27"/>
      <c r="F1171" s="27"/>
      <c r="G1171" s="27"/>
      <c r="H1171" s="27"/>
      <c r="I1171" s="28"/>
      <c r="J1171" s="27"/>
      <c r="K1171" s="29"/>
      <c r="L1171" s="31"/>
      <c r="M1171" s="28"/>
      <c r="N1171" s="30"/>
      <c r="O1171" s="27"/>
      <c r="P1171" s="137"/>
    </row>
    <row r="1172" spans="1:16" x14ac:dyDescent="0.3">
      <c r="A1172" s="27"/>
      <c r="B1172" s="27"/>
      <c r="C1172" s="27"/>
      <c r="D1172" s="27"/>
      <c r="E1172" s="27"/>
      <c r="F1172" s="27"/>
      <c r="G1172" s="27"/>
      <c r="H1172" s="27"/>
      <c r="I1172" s="28"/>
      <c r="J1172" s="27"/>
      <c r="K1172" s="29"/>
      <c r="L1172" s="31"/>
      <c r="M1172" s="28"/>
      <c r="N1172" s="30"/>
      <c r="O1172" s="27"/>
      <c r="P1172" s="137"/>
    </row>
    <row r="1173" spans="1:16" x14ac:dyDescent="0.3">
      <c r="A1173" s="27"/>
      <c r="B1173" s="27"/>
      <c r="C1173" s="27"/>
      <c r="D1173" s="27"/>
      <c r="E1173" s="27"/>
      <c r="F1173" s="27"/>
      <c r="G1173" s="27"/>
      <c r="H1173" s="27"/>
      <c r="I1173" s="28"/>
      <c r="J1173" s="27"/>
      <c r="K1173" s="29"/>
      <c r="L1173" s="31"/>
      <c r="M1173" s="28"/>
      <c r="N1173" s="30"/>
      <c r="O1173" s="27"/>
      <c r="P1173" s="137"/>
    </row>
    <row r="1174" spans="1:16" x14ac:dyDescent="0.3">
      <c r="A1174" s="27"/>
      <c r="B1174" s="27"/>
      <c r="C1174" s="27"/>
      <c r="D1174" s="27"/>
      <c r="E1174" s="27"/>
      <c r="F1174" s="27"/>
      <c r="G1174" s="27"/>
      <c r="H1174" s="27"/>
      <c r="I1174" s="28"/>
      <c r="J1174" s="27"/>
      <c r="K1174" s="29"/>
      <c r="L1174" s="31"/>
      <c r="M1174" s="28"/>
      <c r="N1174" s="30"/>
      <c r="O1174" s="27"/>
      <c r="P1174" s="137"/>
    </row>
    <row r="1175" spans="1:16" x14ac:dyDescent="0.3">
      <c r="A1175" s="27"/>
      <c r="B1175" s="27"/>
      <c r="C1175" s="27"/>
      <c r="D1175" s="27"/>
      <c r="E1175" s="27"/>
      <c r="F1175" s="27"/>
      <c r="G1175" s="27"/>
      <c r="H1175" s="27"/>
      <c r="I1175" s="28"/>
      <c r="J1175" s="27"/>
      <c r="K1175" s="29"/>
      <c r="L1175" s="31"/>
      <c r="M1175" s="28"/>
      <c r="N1175" s="30"/>
      <c r="O1175" s="27"/>
      <c r="P1175" s="137"/>
    </row>
    <row r="1176" spans="1:16" x14ac:dyDescent="0.3">
      <c r="A1176" s="27"/>
      <c r="B1176" s="27"/>
      <c r="C1176" s="27"/>
      <c r="D1176" s="27"/>
      <c r="E1176" s="27"/>
      <c r="F1176" s="27"/>
      <c r="G1176" s="27"/>
      <c r="H1176" s="27"/>
      <c r="I1176" s="28"/>
      <c r="J1176" s="27"/>
      <c r="K1176" s="29"/>
      <c r="L1176" s="31"/>
      <c r="M1176" s="28"/>
      <c r="N1176" s="30"/>
      <c r="O1176" s="27"/>
      <c r="P1176" s="137"/>
    </row>
    <row r="1177" spans="1:16" x14ac:dyDescent="0.3">
      <c r="A1177" s="27"/>
      <c r="B1177" s="27"/>
      <c r="C1177" s="27"/>
      <c r="D1177" s="27"/>
      <c r="E1177" s="27"/>
      <c r="F1177" s="27"/>
      <c r="G1177" s="27"/>
      <c r="H1177" s="27"/>
      <c r="I1177" s="28"/>
      <c r="J1177" s="27"/>
      <c r="K1177" s="29"/>
      <c r="L1177" s="31"/>
      <c r="M1177" s="28"/>
      <c r="N1177" s="30"/>
      <c r="O1177" s="27"/>
      <c r="P1177" s="137"/>
    </row>
    <row r="1178" spans="1:16" x14ac:dyDescent="0.3">
      <c r="A1178" s="27"/>
      <c r="B1178" s="27"/>
      <c r="C1178" s="27"/>
      <c r="D1178" s="27"/>
      <c r="E1178" s="27"/>
      <c r="F1178" s="27"/>
      <c r="G1178" s="27"/>
      <c r="H1178" s="27"/>
      <c r="I1178" s="28"/>
      <c r="J1178" s="27"/>
      <c r="K1178" s="29"/>
      <c r="L1178" s="31"/>
      <c r="M1178" s="28"/>
      <c r="N1178" s="30"/>
      <c r="O1178" s="27"/>
      <c r="P1178" s="137"/>
    </row>
    <row r="1179" spans="1:16" x14ac:dyDescent="0.3">
      <c r="A1179" s="27"/>
      <c r="B1179" s="27"/>
      <c r="C1179" s="27"/>
      <c r="D1179" s="27"/>
      <c r="E1179" s="27"/>
      <c r="F1179" s="27"/>
      <c r="G1179" s="27"/>
      <c r="H1179" s="27"/>
      <c r="I1179" s="28"/>
      <c r="J1179" s="27"/>
      <c r="K1179" s="29"/>
      <c r="L1179" s="31"/>
      <c r="M1179" s="28"/>
      <c r="N1179" s="30"/>
      <c r="O1179" s="27"/>
      <c r="P1179" s="137"/>
    </row>
    <row r="1180" spans="1:16" x14ac:dyDescent="0.3">
      <c r="A1180" s="27"/>
      <c r="B1180" s="27"/>
      <c r="C1180" s="27"/>
      <c r="D1180" s="27"/>
      <c r="E1180" s="27"/>
      <c r="F1180" s="27"/>
      <c r="G1180" s="27"/>
      <c r="H1180" s="27"/>
      <c r="I1180" s="28"/>
      <c r="J1180" s="27"/>
      <c r="K1180" s="29"/>
      <c r="L1180" s="31"/>
      <c r="M1180" s="28"/>
      <c r="N1180" s="30"/>
      <c r="O1180" s="27"/>
      <c r="P1180" s="137"/>
    </row>
    <row r="1181" spans="1:16" x14ac:dyDescent="0.3">
      <c r="A1181" s="27"/>
      <c r="B1181" s="27"/>
      <c r="C1181" s="27"/>
      <c r="D1181" s="27"/>
      <c r="E1181" s="27"/>
      <c r="F1181" s="27"/>
      <c r="G1181" s="27"/>
      <c r="H1181" s="27"/>
      <c r="I1181" s="28"/>
      <c r="J1181" s="27"/>
      <c r="K1181" s="29"/>
      <c r="L1181" s="31"/>
      <c r="M1181" s="28"/>
      <c r="N1181" s="30"/>
      <c r="O1181" s="27"/>
      <c r="P1181" s="137"/>
    </row>
    <row r="1182" spans="1:16" x14ac:dyDescent="0.3">
      <c r="A1182" s="27"/>
      <c r="B1182" s="27"/>
      <c r="C1182" s="27"/>
      <c r="D1182" s="27"/>
      <c r="E1182" s="27"/>
      <c r="F1182" s="27"/>
      <c r="G1182" s="27"/>
      <c r="H1182" s="27"/>
      <c r="I1182" s="28"/>
      <c r="J1182" s="27"/>
      <c r="K1182" s="29"/>
      <c r="L1182" s="31"/>
      <c r="M1182" s="28"/>
      <c r="N1182" s="30"/>
      <c r="O1182" s="27"/>
      <c r="P1182" s="137"/>
    </row>
    <row r="1183" spans="1:16" x14ac:dyDescent="0.3">
      <c r="A1183" s="27"/>
      <c r="B1183" s="27"/>
      <c r="C1183" s="27"/>
      <c r="D1183" s="27"/>
      <c r="E1183" s="27"/>
      <c r="F1183" s="27"/>
      <c r="G1183" s="27"/>
      <c r="H1183" s="27"/>
      <c r="I1183" s="28"/>
      <c r="J1183" s="27"/>
      <c r="K1183" s="29"/>
      <c r="L1183" s="31"/>
      <c r="M1183" s="28"/>
      <c r="N1183" s="30"/>
      <c r="O1183" s="27"/>
      <c r="P1183" s="137"/>
    </row>
    <row r="1184" spans="1:16" x14ac:dyDescent="0.3">
      <c r="A1184" s="27"/>
      <c r="B1184" s="27"/>
      <c r="C1184" s="27"/>
      <c r="D1184" s="27"/>
      <c r="E1184" s="27"/>
      <c r="F1184" s="27"/>
      <c r="G1184" s="27"/>
      <c r="H1184" s="27"/>
      <c r="I1184" s="28"/>
      <c r="J1184" s="27"/>
      <c r="K1184" s="29"/>
      <c r="L1184" s="31"/>
      <c r="M1184" s="28"/>
      <c r="N1184" s="30"/>
      <c r="O1184" s="27"/>
      <c r="P1184" s="137"/>
    </row>
    <row r="1185" spans="1:16" x14ac:dyDescent="0.3">
      <c r="A1185" s="27"/>
      <c r="B1185" s="27"/>
      <c r="C1185" s="27"/>
      <c r="D1185" s="27"/>
      <c r="E1185" s="27"/>
      <c r="F1185" s="27"/>
      <c r="G1185" s="27"/>
      <c r="H1185" s="27"/>
      <c r="I1185" s="28"/>
      <c r="J1185" s="27"/>
      <c r="K1185" s="29"/>
      <c r="L1185" s="31"/>
      <c r="M1185" s="28"/>
      <c r="N1185" s="30"/>
      <c r="O1185" s="27"/>
      <c r="P1185" s="137"/>
    </row>
    <row r="1186" spans="1:16" x14ac:dyDescent="0.3">
      <c r="A1186" s="27"/>
      <c r="B1186" s="27"/>
      <c r="C1186" s="27"/>
      <c r="D1186" s="27"/>
      <c r="E1186" s="27"/>
      <c r="F1186" s="27"/>
      <c r="G1186" s="27"/>
      <c r="H1186" s="27"/>
      <c r="I1186" s="28"/>
      <c r="J1186" s="27"/>
      <c r="K1186" s="29"/>
      <c r="L1186" s="31"/>
      <c r="M1186" s="28"/>
      <c r="N1186" s="30"/>
      <c r="O1186" s="27"/>
      <c r="P1186" s="137"/>
    </row>
    <row r="1187" spans="1:16" x14ac:dyDescent="0.3">
      <c r="A1187" s="27"/>
      <c r="B1187" s="27"/>
      <c r="C1187" s="27"/>
      <c r="D1187" s="27"/>
      <c r="E1187" s="27"/>
      <c r="F1187" s="27"/>
      <c r="G1187" s="27"/>
      <c r="H1187" s="27"/>
      <c r="I1187" s="28"/>
      <c r="J1187" s="27"/>
      <c r="K1187" s="29"/>
      <c r="L1187" s="31"/>
      <c r="M1187" s="28"/>
      <c r="N1187" s="30"/>
      <c r="O1187" s="27"/>
      <c r="P1187" s="137"/>
    </row>
    <row r="1188" spans="1:16" x14ac:dyDescent="0.3">
      <c r="A1188" s="27"/>
      <c r="B1188" s="27"/>
      <c r="C1188" s="27"/>
      <c r="D1188" s="27"/>
      <c r="E1188" s="27"/>
      <c r="F1188" s="27"/>
      <c r="G1188" s="27"/>
      <c r="H1188" s="27"/>
      <c r="I1188" s="28"/>
      <c r="J1188" s="27"/>
      <c r="K1188" s="29"/>
      <c r="L1188" s="31"/>
      <c r="M1188" s="28"/>
      <c r="N1188" s="30"/>
      <c r="O1188" s="27"/>
      <c r="P1188" s="137"/>
    </row>
    <row r="1189" spans="1:16" x14ac:dyDescent="0.3">
      <c r="A1189" s="27"/>
      <c r="B1189" s="27"/>
      <c r="C1189" s="27"/>
      <c r="D1189" s="27"/>
      <c r="E1189" s="27"/>
      <c r="F1189" s="27"/>
      <c r="G1189" s="27"/>
      <c r="H1189" s="27"/>
      <c r="I1189" s="28"/>
      <c r="J1189" s="27"/>
      <c r="K1189" s="29"/>
      <c r="L1189" s="31"/>
      <c r="M1189" s="28"/>
      <c r="N1189" s="30"/>
      <c r="O1189" s="27"/>
      <c r="P1189" s="137"/>
    </row>
    <row r="1190" spans="1:16" x14ac:dyDescent="0.3">
      <c r="A1190" s="27"/>
      <c r="B1190" s="27"/>
      <c r="C1190" s="27"/>
      <c r="D1190" s="27"/>
      <c r="E1190" s="27"/>
      <c r="F1190" s="27"/>
      <c r="G1190" s="27"/>
      <c r="H1190" s="27"/>
      <c r="I1190" s="28"/>
      <c r="J1190" s="27"/>
      <c r="K1190" s="29"/>
      <c r="L1190" s="31"/>
      <c r="M1190" s="28"/>
      <c r="N1190" s="30"/>
      <c r="O1190" s="27"/>
      <c r="P1190" s="137"/>
    </row>
    <row r="1191" spans="1:16" x14ac:dyDescent="0.3">
      <c r="A1191" s="27"/>
      <c r="B1191" s="27"/>
      <c r="C1191" s="27"/>
      <c r="D1191" s="27"/>
      <c r="E1191" s="27"/>
      <c r="F1191" s="27"/>
      <c r="G1191" s="27"/>
      <c r="H1191" s="27"/>
      <c r="I1191" s="28"/>
      <c r="J1191" s="27"/>
      <c r="K1191" s="29"/>
      <c r="L1191" s="31"/>
      <c r="M1191" s="28"/>
      <c r="N1191" s="30"/>
      <c r="O1191" s="27"/>
      <c r="P1191" s="137"/>
    </row>
    <row r="1192" spans="1:16" x14ac:dyDescent="0.3">
      <c r="A1192" s="27"/>
      <c r="B1192" s="27"/>
      <c r="C1192" s="27"/>
      <c r="D1192" s="27"/>
      <c r="E1192" s="27"/>
      <c r="F1192" s="27"/>
      <c r="G1192" s="27"/>
      <c r="H1192" s="27"/>
      <c r="I1192" s="28"/>
      <c r="J1192" s="27"/>
      <c r="K1192" s="29"/>
      <c r="L1192" s="31"/>
      <c r="M1192" s="28"/>
      <c r="N1192" s="30"/>
      <c r="O1192" s="27"/>
      <c r="P1192" s="137"/>
    </row>
    <row r="1193" spans="1:16" x14ac:dyDescent="0.3">
      <c r="A1193" s="27"/>
      <c r="B1193" s="27"/>
      <c r="C1193" s="27"/>
      <c r="D1193" s="27"/>
      <c r="E1193" s="27"/>
      <c r="F1193" s="27"/>
      <c r="G1193" s="27"/>
      <c r="H1193" s="27"/>
      <c r="I1193" s="28"/>
      <c r="J1193" s="27"/>
      <c r="K1193" s="29"/>
      <c r="L1193" s="31"/>
      <c r="M1193" s="28"/>
      <c r="N1193" s="30"/>
      <c r="O1193" s="27"/>
      <c r="P1193" s="137"/>
    </row>
    <row r="1194" spans="1:16" x14ac:dyDescent="0.3">
      <c r="A1194" s="27"/>
      <c r="B1194" s="27"/>
      <c r="C1194" s="27"/>
      <c r="D1194" s="27"/>
      <c r="E1194" s="27"/>
      <c r="F1194" s="27"/>
      <c r="G1194" s="27"/>
      <c r="H1194" s="27"/>
      <c r="I1194" s="28"/>
      <c r="J1194" s="27"/>
      <c r="K1194" s="29"/>
      <c r="L1194" s="31"/>
      <c r="M1194" s="28"/>
      <c r="N1194" s="30"/>
      <c r="O1194" s="27"/>
      <c r="P1194" s="137"/>
    </row>
    <row r="1195" spans="1:16" x14ac:dyDescent="0.3">
      <c r="A1195" s="27"/>
      <c r="B1195" s="27"/>
      <c r="C1195" s="27"/>
      <c r="D1195" s="27"/>
      <c r="E1195" s="27"/>
      <c r="F1195" s="27"/>
      <c r="G1195" s="27"/>
      <c r="H1195" s="27"/>
      <c r="I1195" s="28"/>
      <c r="J1195" s="27"/>
      <c r="K1195" s="29"/>
      <c r="L1195" s="31"/>
      <c r="M1195" s="28"/>
      <c r="N1195" s="30"/>
      <c r="O1195" s="27"/>
      <c r="P1195" s="137"/>
    </row>
    <row r="1196" spans="1:16" x14ac:dyDescent="0.3">
      <c r="A1196" s="27"/>
      <c r="B1196" s="27"/>
      <c r="C1196" s="27"/>
      <c r="D1196" s="27"/>
      <c r="E1196" s="27"/>
      <c r="F1196" s="27"/>
      <c r="G1196" s="27"/>
      <c r="H1196" s="27"/>
      <c r="I1196" s="28"/>
      <c r="J1196" s="27"/>
      <c r="K1196" s="29"/>
      <c r="L1196" s="31"/>
      <c r="M1196" s="28"/>
      <c r="N1196" s="30"/>
      <c r="O1196" s="27"/>
      <c r="P1196" s="137"/>
    </row>
    <row r="1197" spans="1:16" x14ac:dyDescent="0.3">
      <c r="A1197" s="27"/>
      <c r="B1197" s="27"/>
      <c r="C1197" s="27"/>
      <c r="D1197" s="27"/>
      <c r="E1197" s="27"/>
      <c r="F1197" s="27"/>
      <c r="G1197" s="27"/>
      <c r="H1197" s="27"/>
      <c r="I1197" s="28"/>
      <c r="J1197" s="27"/>
      <c r="K1197" s="29"/>
      <c r="L1197" s="31"/>
      <c r="M1197" s="28"/>
      <c r="N1197" s="30"/>
      <c r="O1197" s="27"/>
      <c r="P1197" s="137"/>
    </row>
    <row r="1198" spans="1:16" x14ac:dyDescent="0.3">
      <c r="A1198" s="27"/>
      <c r="B1198" s="27"/>
      <c r="C1198" s="27"/>
      <c r="D1198" s="27"/>
      <c r="E1198" s="27"/>
      <c r="F1198" s="27"/>
      <c r="G1198" s="27"/>
      <c r="H1198" s="27"/>
      <c r="I1198" s="28"/>
      <c r="J1198" s="27"/>
      <c r="K1198" s="29"/>
      <c r="L1198" s="31"/>
      <c r="M1198" s="28"/>
      <c r="N1198" s="30"/>
      <c r="O1198" s="27"/>
      <c r="P1198" s="137"/>
    </row>
    <row r="1199" spans="1:16" x14ac:dyDescent="0.3">
      <c r="A1199" s="27"/>
      <c r="B1199" s="27"/>
      <c r="C1199" s="27"/>
      <c r="D1199" s="27"/>
      <c r="E1199" s="27"/>
      <c r="F1199" s="27"/>
      <c r="G1199" s="27"/>
      <c r="H1199" s="27"/>
      <c r="I1199" s="28"/>
      <c r="J1199" s="27"/>
      <c r="K1199" s="29"/>
      <c r="L1199" s="31"/>
      <c r="M1199" s="28"/>
      <c r="N1199" s="30"/>
      <c r="O1199" s="27"/>
      <c r="P1199" s="137"/>
    </row>
    <row r="1200" spans="1:16" x14ac:dyDescent="0.3">
      <c r="A1200" s="27"/>
      <c r="B1200" s="27"/>
      <c r="C1200" s="27"/>
      <c r="D1200" s="27"/>
      <c r="E1200" s="27"/>
      <c r="F1200" s="27"/>
      <c r="G1200" s="27"/>
      <c r="H1200" s="27"/>
      <c r="I1200" s="28"/>
      <c r="J1200" s="27"/>
      <c r="K1200" s="29"/>
      <c r="L1200" s="31"/>
      <c r="M1200" s="28"/>
      <c r="N1200" s="30"/>
      <c r="O1200" s="27"/>
      <c r="P1200" s="137"/>
    </row>
    <row r="1201" spans="1:16" x14ac:dyDescent="0.3">
      <c r="A1201" s="27"/>
      <c r="B1201" s="27"/>
      <c r="C1201" s="27"/>
      <c r="D1201" s="27"/>
      <c r="E1201" s="27"/>
      <c r="F1201" s="27"/>
      <c r="G1201" s="27"/>
      <c r="H1201" s="27"/>
      <c r="I1201" s="28"/>
      <c r="J1201" s="27"/>
      <c r="K1201" s="29"/>
      <c r="L1201" s="31"/>
      <c r="M1201" s="28"/>
      <c r="N1201" s="30"/>
      <c r="O1201" s="27"/>
      <c r="P1201" s="137"/>
    </row>
    <row r="1202" spans="1:16" x14ac:dyDescent="0.3">
      <c r="A1202" s="27"/>
      <c r="B1202" s="27"/>
      <c r="C1202" s="27"/>
      <c r="D1202" s="27"/>
      <c r="E1202" s="27"/>
      <c r="F1202" s="27"/>
      <c r="G1202" s="27"/>
      <c r="H1202" s="27"/>
      <c r="I1202" s="28"/>
      <c r="J1202" s="27"/>
      <c r="K1202" s="29"/>
      <c r="L1202" s="31"/>
      <c r="M1202" s="28"/>
      <c r="N1202" s="30"/>
      <c r="O1202" s="27"/>
      <c r="P1202" s="137"/>
    </row>
    <row r="1203" spans="1:16" x14ac:dyDescent="0.3">
      <c r="A1203" s="27"/>
      <c r="B1203" s="27"/>
      <c r="C1203" s="27"/>
      <c r="D1203" s="27"/>
      <c r="E1203" s="27"/>
      <c r="F1203" s="27"/>
      <c r="G1203" s="27"/>
      <c r="H1203" s="27"/>
      <c r="I1203" s="28"/>
      <c r="J1203" s="27"/>
      <c r="K1203" s="29"/>
      <c r="L1203" s="31"/>
      <c r="M1203" s="28"/>
      <c r="N1203" s="30"/>
      <c r="O1203" s="27"/>
      <c r="P1203" s="137"/>
    </row>
    <row r="1204" spans="1:16" x14ac:dyDescent="0.3">
      <c r="A1204" s="27"/>
      <c r="B1204" s="27"/>
      <c r="C1204" s="27"/>
      <c r="D1204" s="27"/>
      <c r="E1204" s="27"/>
      <c r="F1204" s="27"/>
      <c r="G1204" s="27"/>
      <c r="H1204" s="27"/>
      <c r="I1204" s="28"/>
      <c r="J1204" s="27"/>
      <c r="K1204" s="29"/>
      <c r="L1204" s="31"/>
      <c r="M1204" s="28"/>
      <c r="N1204" s="30"/>
      <c r="O1204" s="27"/>
      <c r="P1204" s="137"/>
    </row>
    <row r="1205" spans="1:16" x14ac:dyDescent="0.3">
      <c r="A1205" s="27"/>
      <c r="B1205" s="27"/>
      <c r="C1205" s="27"/>
      <c r="D1205" s="27"/>
      <c r="E1205" s="27"/>
      <c r="F1205" s="27"/>
      <c r="G1205" s="27"/>
      <c r="H1205" s="27"/>
      <c r="I1205" s="28"/>
      <c r="J1205" s="27"/>
      <c r="K1205" s="29"/>
      <c r="L1205" s="31"/>
      <c r="M1205" s="28"/>
      <c r="N1205" s="30"/>
      <c r="O1205" s="27"/>
      <c r="P1205" s="137"/>
    </row>
    <row r="1206" spans="1:16" x14ac:dyDescent="0.3">
      <c r="A1206" s="27"/>
      <c r="B1206" s="27"/>
      <c r="C1206" s="27"/>
      <c r="D1206" s="27"/>
      <c r="E1206" s="27"/>
      <c r="F1206" s="27"/>
      <c r="G1206" s="27"/>
      <c r="H1206" s="27"/>
      <c r="I1206" s="28"/>
      <c r="J1206" s="27"/>
      <c r="K1206" s="29"/>
      <c r="L1206" s="31"/>
      <c r="M1206" s="28"/>
      <c r="N1206" s="30"/>
      <c r="O1206" s="27"/>
      <c r="P1206" s="137"/>
    </row>
    <row r="1207" spans="1:16" x14ac:dyDescent="0.3">
      <c r="A1207" s="27"/>
      <c r="B1207" s="27"/>
      <c r="C1207" s="27"/>
      <c r="D1207" s="27"/>
      <c r="E1207" s="27"/>
      <c r="F1207" s="27"/>
      <c r="G1207" s="27"/>
      <c r="H1207" s="27"/>
      <c r="I1207" s="28"/>
      <c r="J1207" s="27"/>
      <c r="K1207" s="29"/>
      <c r="L1207" s="31"/>
      <c r="M1207" s="28"/>
      <c r="N1207" s="30"/>
      <c r="O1207" s="27"/>
      <c r="P1207" s="137"/>
    </row>
    <row r="1208" spans="1:16" x14ac:dyDescent="0.3">
      <c r="A1208" s="27"/>
      <c r="B1208" s="27"/>
      <c r="C1208" s="27"/>
      <c r="D1208" s="27"/>
      <c r="E1208" s="27"/>
      <c r="F1208" s="27"/>
      <c r="G1208" s="27"/>
      <c r="H1208" s="27"/>
      <c r="I1208" s="28"/>
      <c r="J1208" s="27"/>
      <c r="K1208" s="29"/>
      <c r="L1208" s="31"/>
      <c r="M1208" s="28"/>
      <c r="N1208" s="30"/>
      <c r="O1208" s="27"/>
      <c r="P1208" s="137"/>
    </row>
    <row r="1209" spans="1:16" x14ac:dyDescent="0.3">
      <c r="A1209" s="27"/>
      <c r="B1209" s="27"/>
      <c r="C1209" s="27"/>
      <c r="D1209" s="27"/>
      <c r="E1209" s="27"/>
      <c r="F1209" s="27"/>
      <c r="G1209" s="27"/>
      <c r="H1209" s="27"/>
      <c r="I1209" s="28"/>
      <c r="J1209" s="27"/>
      <c r="K1209" s="29"/>
      <c r="L1209" s="31"/>
      <c r="M1209" s="28"/>
      <c r="N1209" s="30"/>
      <c r="O1209" s="27"/>
      <c r="P1209" s="137"/>
    </row>
    <row r="1210" spans="1:16" x14ac:dyDescent="0.3">
      <c r="A1210" s="27"/>
      <c r="B1210" s="27"/>
      <c r="C1210" s="27"/>
      <c r="D1210" s="27"/>
      <c r="E1210" s="27"/>
      <c r="F1210" s="27"/>
      <c r="G1210" s="27"/>
      <c r="H1210" s="27"/>
      <c r="I1210" s="28"/>
      <c r="J1210" s="27"/>
      <c r="K1210" s="29"/>
      <c r="L1210" s="31"/>
      <c r="M1210" s="28"/>
      <c r="N1210" s="30"/>
      <c r="O1210" s="27"/>
      <c r="P1210" s="137"/>
    </row>
    <row r="1211" spans="1:16" x14ac:dyDescent="0.3">
      <c r="A1211" s="27"/>
      <c r="B1211" s="27"/>
      <c r="C1211" s="27"/>
      <c r="D1211" s="27"/>
      <c r="E1211" s="27"/>
      <c r="F1211" s="27"/>
      <c r="G1211" s="27"/>
      <c r="H1211" s="27"/>
      <c r="I1211" s="28"/>
      <c r="J1211" s="27"/>
      <c r="K1211" s="29"/>
      <c r="L1211" s="31"/>
      <c r="M1211" s="28"/>
      <c r="N1211" s="30"/>
      <c r="O1211" s="27"/>
      <c r="P1211" s="137"/>
    </row>
    <row r="1212" spans="1:16" x14ac:dyDescent="0.3">
      <c r="A1212" s="27"/>
      <c r="B1212" s="27"/>
      <c r="C1212" s="27"/>
      <c r="D1212" s="27"/>
      <c r="E1212" s="27"/>
      <c r="F1212" s="27"/>
      <c r="G1212" s="27"/>
      <c r="H1212" s="27"/>
      <c r="I1212" s="28"/>
      <c r="J1212" s="27"/>
      <c r="K1212" s="29"/>
      <c r="L1212" s="31"/>
      <c r="M1212" s="28"/>
      <c r="N1212" s="30"/>
      <c r="O1212" s="27"/>
      <c r="P1212" s="137"/>
    </row>
    <row r="1213" spans="1:16" x14ac:dyDescent="0.3">
      <c r="A1213" s="27"/>
      <c r="B1213" s="27"/>
      <c r="C1213" s="27"/>
      <c r="D1213" s="27"/>
      <c r="E1213" s="27"/>
      <c r="F1213" s="27"/>
      <c r="G1213" s="27"/>
      <c r="H1213" s="27"/>
      <c r="I1213" s="28"/>
      <c r="J1213" s="27"/>
      <c r="K1213" s="29"/>
      <c r="L1213" s="31"/>
      <c r="M1213" s="28"/>
      <c r="N1213" s="30"/>
      <c r="O1213" s="27"/>
      <c r="P1213" s="137"/>
    </row>
    <row r="1214" spans="1:16" x14ac:dyDescent="0.3">
      <c r="A1214" s="27"/>
      <c r="B1214" s="27"/>
      <c r="C1214" s="27"/>
      <c r="D1214" s="27"/>
      <c r="E1214" s="27"/>
      <c r="F1214" s="27"/>
      <c r="G1214" s="27"/>
      <c r="H1214" s="27"/>
      <c r="I1214" s="28"/>
      <c r="J1214" s="27"/>
      <c r="K1214" s="29"/>
      <c r="L1214" s="31"/>
      <c r="M1214" s="28"/>
      <c r="N1214" s="30"/>
      <c r="O1214" s="27"/>
      <c r="P1214" s="137"/>
    </row>
    <row r="1215" spans="1:16" x14ac:dyDescent="0.3">
      <c r="A1215" s="27"/>
      <c r="B1215" s="27"/>
      <c r="C1215" s="27"/>
      <c r="D1215" s="27"/>
      <c r="E1215" s="27"/>
      <c r="F1215" s="27"/>
      <c r="G1215" s="27"/>
      <c r="H1215" s="27"/>
      <c r="I1215" s="28"/>
      <c r="J1215" s="27"/>
      <c r="K1215" s="29"/>
      <c r="L1215" s="31"/>
      <c r="M1215" s="28"/>
      <c r="N1215" s="30"/>
      <c r="O1215" s="27"/>
      <c r="P1215" s="137"/>
    </row>
    <row r="1216" spans="1:16" x14ac:dyDescent="0.3">
      <c r="A1216" s="27"/>
      <c r="B1216" s="27"/>
      <c r="C1216" s="27"/>
      <c r="D1216" s="27"/>
      <c r="E1216" s="27"/>
      <c r="F1216" s="27"/>
      <c r="G1216" s="27"/>
      <c r="H1216" s="27"/>
      <c r="I1216" s="28"/>
      <c r="J1216" s="27"/>
      <c r="K1216" s="29"/>
      <c r="L1216" s="31"/>
      <c r="M1216" s="28"/>
      <c r="N1216" s="30"/>
      <c r="O1216" s="27"/>
      <c r="P1216" s="137"/>
    </row>
    <row r="1217" spans="1:16" x14ac:dyDescent="0.3">
      <c r="A1217" s="27"/>
      <c r="B1217" s="27"/>
      <c r="C1217" s="27"/>
      <c r="D1217" s="27"/>
      <c r="E1217" s="27"/>
      <c r="F1217" s="27"/>
      <c r="G1217" s="27"/>
      <c r="H1217" s="27"/>
      <c r="I1217" s="28"/>
      <c r="J1217" s="27"/>
      <c r="K1217" s="29"/>
      <c r="L1217" s="31"/>
      <c r="M1217" s="28"/>
      <c r="N1217" s="30"/>
      <c r="O1217" s="27"/>
      <c r="P1217" s="137"/>
    </row>
    <row r="1218" spans="1:16" x14ac:dyDescent="0.3">
      <c r="A1218" s="27"/>
      <c r="B1218" s="27"/>
      <c r="C1218" s="27"/>
      <c r="D1218" s="27"/>
      <c r="E1218" s="27"/>
      <c r="F1218" s="27"/>
      <c r="G1218" s="27"/>
      <c r="H1218" s="27"/>
      <c r="I1218" s="28"/>
      <c r="J1218" s="27"/>
      <c r="K1218" s="29"/>
      <c r="L1218" s="31"/>
      <c r="M1218" s="28"/>
      <c r="N1218" s="30"/>
      <c r="O1218" s="27"/>
      <c r="P1218" s="137"/>
    </row>
    <row r="1219" spans="1:16" x14ac:dyDescent="0.3">
      <c r="A1219" s="27"/>
      <c r="B1219" s="27"/>
      <c r="C1219" s="27"/>
      <c r="D1219" s="27"/>
      <c r="E1219" s="27"/>
      <c r="F1219" s="27"/>
      <c r="G1219" s="27"/>
      <c r="H1219" s="27"/>
      <c r="I1219" s="28"/>
      <c r="J1219" s="27"/>
      <c r="K1219" s="29"/>
      <c r="L1219" s="31"/>
      <c r="M1219" s="28"/>
      <c r="N1219" s="30"/>
      <c r="O1219" s="27"/>
      <c r="P1219" s="137"/>
    </row>
    <row r="1220" spans="1:16" x14ac:dyDescent="0.3">
      <c r="A1220" s="27"/>
      <c r="B1220" s="27"/>
      <c r="C1220" s="27"/>
      <c r="D1220" s="27"/>
      <c r="E1220" s="27"/>
      <c r="F1220" s="27"/>
      <c r="G1220" s="27"/>
      <c r="H1220" s="27"/>
      <c r="I1220" s="28"/>
      <c r="J1220" s="27"/>
      <c r="K1220" s="29"/>
      <c r="L1220" s="31"/>
      <c r="M1220" s="28"/>
      <c r="N1220" s="30"/>
      <c r="O1220" s="27"/>
      <c r="P1220" s="137"/>
    </row>
    <row r="1221" spans="1:16" x14ac:dyDescent="0.3">
      <c r="A1221" s="27"/>
      <c r="B1221" s="27"/>
      <c r="C1221" s="27"/>
      <c r="D1221" s="27"/>
      <c r="E1221" s="27"/>
      <c r="F1221" s="27"/>
      <c r="G1221" s="27"/>
      <c r="H1221" s="27"/>
      <c r="I1221" s="28"/>
      <c r="J1221" s="27"/>
      <c r="K1221" s="29"/>
      <c r="L1221" s="31"/>
      <c r="M1221" s="28"/>
      <c r="N1221" s="30"/>
      <c r="O1221" s="27"/>
      <c r="P1221" s="137"/>
    </row>
    <row r="1222" spans="1:16" x14ac:dyDescent="0.3">
      <c r="A1222" s="27"/>
      <c r="B1222" s="27"/>
      <c r="C1222" s="27"/>
      <c r="D1222" s="27"/>
      <c r="E1222" s="27"/>
      <c r="F1222" s="27"/>
      <c r="G1222" s="27"/>
      <c r="H1222" s="27"/>
      <c r="I1222" s="28"/>
      <c r="J1222" s="27"/>
      <c r="K1222" s="29"/>
      <c r="L1222" s="31"/>
      <c r="M1222" s="28"/>
      <c r="N1222" s="30"/>
      <c r="O1222" s="27"/>
      <c r="P1222" s="137"/>
    </row>
    <row r="1223" spans="1:16" x14ac:dyDescent="0.3">
      <c r="A1223" s="27"/>
      <c r="B1223" s="27"/>
      <c r="C1223" s="27"/>
      <c r="D1223" s="27"/>
      <c r="E1223" s="27"/>
      <c r="F1223" s="27"/>
      <c r="G1223" s="27"/>
      <c r="H1223" s="27"/>
      <c r="I1223" s="28"/>
      <c r="J1223" s="27"/>
      <c r="K1223" s="29"/>
      <c r="L1223" s="31"/>
      <c r="M1223" s="28"/>
      <c r="N1223" s="30"/>
      <c r="O1223" s="27"/>
      <c r="P1223" s="137"/>
    </row>
    <row r="1224" spans="1:16" x14ac:dyDescent="0.3">
      <c r="A1224" s="27"/>
      <c r="B1224" s="27"/>
      <c r="C1224" s="27"/>
      <c r="D1224" s="27"/>
      <c r="E1224" s="27"/>
      <c r="F1224" s="27"/>
      <c r="G1224" s="27"/>
      <c r="H1224" s="27"/>
      <c r="I1224" s="28"/>
      <c r="J1224" s="27"/>
      <c r="K1224" s="29"/>
      <c r="L1224" s="31"/>
      <c r="M1224" s="28"/>
      <c r="N1224" s="30"/>
      <c r="O1224" s="27"/>
      <c r="P1224" s="137"/>
    </row>
    <row r="1225" spans="1:16" x14ac:dyDescent="0.3">
      <c r="A1225" s="27"/>
      <c r="B1225" s="27"/>
      <c r="C1225" s="27"/>
      <c r="D1225" s="27"/>
      <c r="E1225" s="27"/>
      <c r="F1225" s="27"/>
      <c r="G1225" s="27"/>
      <c r="H1225" s="27"/>
      <c r="I1225" s="28"/>
      <c r="J1225" s="27"/>
      <c r="K1225" s="29"/>
      <c r="L1225" s="31"/>
      <c r="M1225" s="28"/>
      <c r="N1225" s="30"/>
      <c r="O1225" s="27"/>
      <c r="P1225" s="137"/>
    </row>
    <row r="1226" spans="1:16" x14ac:dyDescent="0.3">
      <c r="A1226" s="27"/>
      <c r="B1226" s="27"/>
      <c r="C1226" s="27"/>
      <c r="D1226" s="27"/>
      <c r="E1226" s="27"/>
      <c r="F1226" s="27"/>
      <c r="G1226" s="27"/>
      <c r="H1226" s="27"/>
      <c r="I1226" s="28"/>
      <c r="J1226" s="27"/>
      <c r="K1226" s="29"/>
      <c r="L1226" s="31"/>
      <c r="M1226" s="28"/>
      <c r="N1226" s="30"/>
      <c r="O1226" s="27"/>
      <c r="P1226" s="137"/>
    </row>
    <row r="1227" spans="1:16" x14ac:dyDescent="0.3">
      <c r="A1227" s="27"/>
      <c r="B1227" s="27"/>
      <c r="C1227" s="27"/>
      <c r="D1227" s="27"/>
      <c r="E1227" s="27"/>
      <c r="F1227" s="27"/>
      <c r="G1227" s="27"/>
      <c r="H1227" s="27"/>
      <c r="I1227" s="28"/>
      <c r="J1227" s="27"/>
      <c r="K1227" s="29"/>
      <c r="L1227" s="31"/>
      <c r="M1227" s="28"/>
      <c r="N1227" s="30"/>
      <c r="O1227" s="27"/>
      <c r="P1227" s="137"/>
    </row>
    <row r="1228" spans="1:16" x14ac:dyDescent="0.3">
      <c r="A1228" s="27"/>
      <c r="B1228" s="27"/>
      <c r="C1228" s="27"/>
      <c r="D1228" s="27"/>
      <c r="E1228" s="27"/>
      <c r="F1228" s="27"/>
      <c r="G1228" s="27"/>
      <c r="H1228" s="27"/>
      <c r="I1228" s="28"/>
      <c r="J1228" s="27"/>
      <c r="K1228" s="29"/>
      <c r="L1228" s="31"/>
      <c r="M1228" s="28"/>
      <c r="N1228" s="30"/>
      <c r="O1228" s="27"/>
      <c r="P1228" s="137"/>
    </row>
    <row r="1229" spans="1:16" x14ac:dyDescent="0.3">
      <c r="A1229" s="27"/>
      <c r="B1229" s="27"/>
      <c r="C1229" s="27"/>
      <c r="D1229" s="27"/>
      <c r="E1229" s="27"/>
      <c r="F1229" s="27"/>
      <c r="G1229" s="27"/>
      <c r="H1229" s="27"/>
      <c r="I1229" s="28"/>
      <c r="J1229" s="27"/>
      <c r="K1229" s="29"/>
      <c r="L1229" s="31"/>
      <c r="M1229" s="28"/>
      <c r="N1229" s="30"/>
      <c r="O1229" s="27"/>
      <c r="P1229" s="137"/>
    </row>
    <row r="1230" spans="1:16" x14ac:dyDescent="0.3">
      <c r="A1230" s="27"/>
      <c r="B1230" s="27"/>
      <c r="C1230" s="27"/>
      <c r="D1230" s="27"/>
      <c r="E1230" s="27"/>
      <c r="F1230" s="27"/>
      <c r="G1230" s="27"/>
      <c r="H1230" s="27"/>
      <c r="I1230" s="28"/>
      <c r="J1230" s="27"/>
      <c r="K1230" s="29"/>
      <c r="L1230" s="31"/>
      <c r="M1230" s="28"/>
      <c r="N1230" s="30"/>
      <c r="O1230" s="27"/>
      <c r="P1230" s="137"/>
    </row>
    <row r="1231" spans="1:16" x14ac:dyDescent="0.3">
      <c r="A1231" s="27"/>
      <c r="B1231" s="27"/>
      <c r="C1231" s="27"/>
      <c r="D1231" s="27"/>
      <c r="E1231" s="27"/>
      <c r="F1231" s="27"/>
      <c r="G1231" s="27"/>
      <c r="H1231" s="27"/>
      <c r="I1231" s="28"/>
      <c r="J1231" s="27"/>
      <c r="K1231" s="29"/>
      <c r="L1231" s="31"/>
      <c r="M1231" s="28"/>
      <c r="N1231" s="30"/>
      <c r="O1231" s="27"/>
      <c r="P1231" s="137"/>
    </row>
    <row r="1232" spans="1:16" x14ac:dyDescent="0.3">
      <c r="A1232" s="27"/>
      <c r="B1232" s="27"/>
      <c r="C1232" s="27"/>
      <c r="D1232" s="27"/>
      <c r="E1232" s="27"/>
      <c r="F1232" s="27"/>
      <c r="G1232" s="27"/>
      <c r="H1232" s="27"/>
      <c r="I1232" s="28"/>
      <c r="J1232" s="27"/>
      <c r="K1232" s="29"/>
      <c r="L1232" s="31"/>
      <c r="M1232" s="28"/>
      <c r="N1232" s="30"/>
      <c r="O1232" s="27"/>
      <c r="P1232" s="137"/>
    </row>
    <row r="1233" spans="1:16" x14ac:dyDescent="0.3">
      <c r="A1233" s="27"/>
      <c r="B1233" s="27"/>
      <c r="C1233" s="27"/>
      <c r="D1233" s="27"/>
      <c r="E1233" s="27"/>
      <c r="F1233" s="27"/>
      <c r="G1233" s="27"/>
      <c r="H1233" s="27"/>
      <c r="I1233" s="28"/>
      <c r="J1233" s="27"/>
      <c r="K1233" s="29"/>
      <c r="L1233" s="31"/>
      <c r="M1233" s="28"/>
      <c r="N1233" s="30"/>
      <c r="O1233" s="27"/>
      <c r="P1233" s="137"/>
    </row>
    <row r="1234" spans="1:16" x14ac:dyDescent="0.3">
      <c r="A1234" s="27"/>
      <c r="B1234" s="27"/>
      <c r="C1234" s="27"/>
      <c r="D1234" s="27"/>
      <c r="E1234" s="27"/>
      <c r="F1234" s="27"/>
      <c r="G1234" s="27"/>
      <c r="H1234" s="27"/>
      <c r="I1234" s="28"/>
      <c r="J1234" s="27"/>
      <c r="K1234" s="29"/>
      <c r="L1234" s="31"/>
      <c r="M1234" s="28"/>
      <c r="N1234" s="30"/>
      <c r="O1234" s="27"/>
      <c r="P1234" s="137"/>
    </row>
    <row r="1235" spans="1:16" x14ac:dyDescent="0.3">
      <c r="A1235" s="27"/>
      <c r="B1235" s="27"/>
      <c r="C1235" s="27"/>
      <c r="D1235" s="27"/>
      <c r="E1235" s="27"/>
      <c r="F1235" s="27"/>
      <c r="G1235" s="27"/>
      <c r="H1235" s="27"/>
      <c r="I1235" s="28"/>
      <c r="J1235" s="27"/>
      <c r="K1235" s="29"/>
      <c r="L1235" s="31"/>
      <c r="M1235" s="28"/>
      <c r="N1235" s="30"/>
      <c r="O1235" s="27"/>
      <c r="P1235" s="137"/>
    </row>
    <row r="1236" spans="1:16" x14ac:dyDescent="0.3">
      <c r="A1236" s="27"/>
      <c r="B1236" s="27"/>
      <c r="C1236" s="27"/>
      <c r="D1236" s="27"/>
      <c r="E1236" s="27"/>
      <c r="F1236" s="27"/>
      <c r="G1236" s="27"/>
      <c r="H1236" s="27"/>
      <c r="I1236" s="28"/>
      <c r="J1236" s="27"/>
      <c r="K1236" s="29"/>
      <c r="L1236" s="31"/>
      <c r="M1236" s="28"/>
      <c r="N1236" s="30"/>
      <c r="O1236" s="27"/>
      <c r="P1236" s="137"/>
    </row>
    <row r="1237" spans="1:16" x14ac:dyDescent="0.3">
      <c r="A1237" s="27"/>
      <c r="B1237" s="27"/>
      <c r="C1237" s="27"/>
      <c r="D1237" s="27"/>
      <c r="E1237" s="27"/>
      <c r="F1237" s="27"/>
      <c r="G1237" s="27"/>
      <c r="H1237" s="27"/>
      <c r="I1237" s="28"/>
      <c r="J1237" s="27"/>
      <c r="K1237" s="29"/>
      <c r="L1237" s="31"/>
      <c r="M1237" s="28"/>
      <c r="N1237" s="30"/>
      <c r="O1237" s="27"/>
      <c r="P1237" s="137"/>
    </row>
    <row r="1238" spans="1:16" x14ac:dyDescent="0.3">
      <c r="A1238" s="27"/>
      <c r="B1238" s="27"/>
      <c r="C1238" s="27"/>
      <c r="D1238" s="27"/>
      <c r="E1238" s="27"/>
      <c r="F1238" s="27"/>
      <c r="G1238" s="27"/>
      <c r="H1238" s="27"/>
      <c r="I1238" s="28"/>
      <c r="J1238" s="27"/>
      <c r="K1238" s="29"/>
      <c r="L1238" s="31"/>
      <c r="M1238" s="28"/>
      <c r="N1238" s="30"/>
      <c r="O1238" s="27"/>
      <c r="P1238" s="137"/>
    </row>
    <row r="1239" spans="1:16" x14ac:dyDescent="0.3">
      <c r="A1239" s="27"/>
      <c r="B1239" s="27"/>
      <c r="C1239" s="27"/>
      <c r="D1239" s="27"/>
      <c r="E1239" s="27"/>
      <c r="F1239" s="27"/>
      <c r="G1239" s="27"/>
      <c r="H1239" s="27"/>
      <c r="I1239" s="28"/>
      <c r="J1239" s="27"/>
      <c r="K1239" s="29"/>
      <c r="L1239" s="31"/>
      <c r="M1239" s="28"/>
      <c r="N1239" s="30"/>
      <c r="O1239" s="27"/>
      <c r="P1239" s="137"/>
    </row>
    <row r="1240" spans="1:16" x14ac:dyDescent="0.3">
      <c r="A1240" s="27"/>
      <c r="B1240" s="27"/>
      <c r="C1240" s="27"/>
      <c r="D1240" s="27"/>
      <c r="E1240" s="27"/>
      <c r="F1240" s="27"/>
      <c r="G1240" s="27"/>
      <c r="H1240" s="27"/>
      <c r="I1240" s="28"/>
      <c r="J1240" s="27"/>
      <c r="K1240" s="29"/>
      <c r="L1240" s="31"/>
      <c r="M1240" s="28"/>
      <c r="N1240" s="30"/>
      <c r="O1240" s="27"/>
      <c r="P1240" s="137"/>
    </row>
    <row r="1241" spans="1:16" x14ac:dyDescent="0.3">
      <c r="A1241" s="27"/>
      <c r="B1241" s="27"/>
      <c r="C1241" s="27"/>
      <c r="D1241" s="27"/>
      <c r="E1241" s="27"/>
      <c r="F1241" s="27"/>
      <c r="G1241" s="27"/>
      <c r="H1241" s="27"/>
      <c r="I1241" s="28"/>
      <c r="J1241" s="27"/>
      <c r="K1241" s="29"/>
      <c r="L1241" s="31"/>
      <c r="M1241" s="28"/>
      <c r="N1241" s="30"/>
      <c r="O1241" s="27"/>
      <c r="P1241" s="137"/>
    </row>
    <row r="1242" spans="1:16" x14ac:dyDescent="0.3">
      <c r="A1242" s="27"/>
      <c r="B1242" s="27"/>
      <c r="C1242" s="27"/>
      <c r="D1242" s="27"/>
      <c r="E1242" s="27"/>
      <c r="F1242" s="27"/>
      <c r="G1242" s="27"/>
      <c r="H1242" s="27"/>
      <c r="I1242" s="28"/>
      <c r="J1242" s="27"/>
      <c r="K1242" s="29"/>
      <c r="L1242" s="31"/>
      <c r="M1242" s="28"/>
      <c r="N1242" s="30"/>
      <c r="O1242" s="27"/>
      <c r="P1242" s="137"/>
    </row>
    <row r="1243" spans="1:16" x14ac:dyDescent="0.3">
      <c r="A1243" s="27"/>
      <c r="B1243" s="27"/>
      <c r="C1243" s="27"/>
      <c r="D1243" s="27"/>
      <c r="E1243" s="27"/>
      <c r="F1243" s="27"/>
      <c r="G1243" s="27"/>
      <c r="H1243" s="27"/>
      <c r="I1243" s="28"/>
      <c r="J1243" s="27"/>
      <c r="K1243" s="29"/>
      <c r="L1243" s="31"/>
      <c r="M1243" s="28"/>
      <c r="N1243" s="30"/>
      <c r="O1243" s="27"/>
      <c r="P1243" s="137"/>
    </row>
    <row r="1244" spans="1:16" x14ac:dyDescent="0.3">
      <c r="A1244" s="27"/>
      <c r="B1244" s="27"/>
      <c r="C1244" s="27"/>
      <c r="D1244" s="27"/>
      <c r="E1244" s="27"/>
      <c r="F1244" s="27"/>
      <c r="G1244" s="27"/>
      <c r="H1244" s="27"/>
      <c r="I1244" s="28"/>
      <c r="J1244" s="27"/>
      <c r="K1244" s="29"/>
      <c r="L1244" s="31"/>
      <c r="M1244" s="28"/>
      <c r="N1244" s="30"/>
      <c r="O1244" s="27"/>
      <c r="P1244" s="137"/>
    </row>
    <row r="1245" spans="1:16" x14ac:dyDescent="0.3">
      <c r="A1245" s="27"/>
      <c r="B1245" s="27"/>
      <c r="C1245" s="27"/>
      <c r="D1245" s="27"/>
      <c r="E1245" s="27"/>
      <c r="F1245" s="27"/>
      <c r="G1245" s="27"/>
      <c r="H1245" s="27"/>
      <c r="I1245" s="28"/>
      <c r="J1245" s="27"/>
      <c r="K1245" s="29"/>
      <c r="L1245" s="31"/>
      <c r="M1245" s="28"/>
      <c r="N1245" s="30"/>
      <c r="O1245" s="27"/>
      <c r="P1245" s="137"/>
    </row>
    <row r="1246" spans="1:16" x14ac:dyDescent="0.3">
      <c r="A1246" s="27"/>
      <c r="B1246" s="27"/>
      <c r="C1246" s="27"/>
      <c r="D1246" s="27"/>
      <c r="E1246" s="27"/>
      <c r="F1246" s="27"/>
      <c r="G1246" s="27"/>
      <c r="H1246" s="27"/>
      <c r="I1246" s="28"/>
      <c r="J1246" s="27"/>
      <c r="K1246" s="29"/>
      <c r="L1246" s="31"/>
      <c r="M1246" s="28"/>
      <c r="N1246" s="30"/>
      <c r="O1246" s="27"/>
      <c r="P1246" s="137"/>
    </row>
    <row r="1247" spans="1:16" x14ac:dyDescent="0.3">
      <c r="A1247" s="27"/>
      <c r="B1247" s="27"/>
      <c r="C1247" s="27"/>
      <c r="D1247" s="27"/>
      <c r="E1247" s="27"/>
      <c r="F1247" s="27"/>
      <c r="G1247" s="27"/>
      <c r="H1247" s="27"/>
      <c r="I1247" s="28"/>
      <c r="J1247" s="27"/>
      <c r="K1247" s="29"/>
      <c r="L1247" s="31"/>
      <c r="M1247" s="28"/>
      <c r="N1247" s="30"/>
      <c r="O1247" s="27"/>
      <c r="P1247" s="137"/>
    </row>
    <row r="1248" spans="1:16" x14ac:dyDescent="0.3">
      <c r="A1248" s="27"/>
      <c r="B1248" s="27"/>
      <c r="C1248" s="27"/>
      <c r="D1248" s="27"/>
      <c r="E1248" s="27"/>
      <c r="F1248" s="27"/>
      <c r="G1248" s="27"/>
      <c r="H1248" s="27"/>
      <c r="I1248" s="28"/>
      <c r="J1248" s="27"/>
      <c r="K1248" s="29"/>
      <c r="L1248" s="31"/>
      <c r="M1248" s="28"/>
      <c r="N1248" s="30"/>
      <c r="O1248" s="27"/>
      <c r="P1248" s="137"/>
    </row>
    <row r="1249" spans="1:16" x14ac:dyDescent="0.3">
      <c r="A1249" s="27"/>
      <c r="B1249" s="27"/>
      <c r="C1249" s="27"/>
      <c r="D1249" s="27"/>
      <c r="E1249" s="27"/>
      <c r="F1249" s="27"/>
      <c r="G1249" s="27"/>
      <c r="H1249" s="27"/>
      <c r="I1249" s="28"/>
      <c r="J1249" s="27"/>
      <c r="K1249" s="29"/>
      <c r="L1249" s="31"/>
      <c r="M1249" s="28"/>
      <c r="N1249" s="30"/>
      <c r="O1249" s="27"/>
      <c r="P1249" s="137"/>
    </row>
    <row r="1250" spans="1:16" x14ac:dyDescent="0.3">
      <c r="A1250" s="27"/>
      <c r="B1250" s="27"/>
      <c r="C1250" s="27"/>
      <c r="D1250" s="27"/>
      <c r="E1250" s="27"/>
      <c r="F1250" s="27"/>
      <c r="G1250" s="27"/>
      <c r="H1250" s="27"/>
      <c r="I1250" s="28"/>
      <c r="J1250" s="27"/>
      <c r="K1250" s="29"/>
      <c r="L1250" s="31"/>
      <c r="M1250" s="28"/>
      <c r="N1250" s="30"/>
      <c r="O1250" s="27"/>
      <c r="P1250" s="137"/>
    </row>
    <row r="1251" spans="1:16" x14ac:dyDescent="0.3">
      <c r="A1251" s="27"/>
      <c r="B1251" s="27"/>
      <c r="C1251" s="27"/>
      <c r="D1251" s="27"/>
      <c r="E1251" s="27"/>
      <c r="F1251" s="27"/>
      <c r="G1251" s="27"/>
      <c r="H1251" s="27"/>
      <c r="I1251" s="28"/>
      <c r="J1251" s="27"/>
      <c r="K1251" s="29"/>
      <c r="L1251" s="31"/>
      <c r="M1251" s="28"/>
      <c r="N1251" s="30"/>
      <c r="O1251" s="27"/>
      <c r="P1251" s="137"/>
    </row>
    <row r="1252" spans="1:16" x14ac:dyDescent="0.3">
      <c r="A1252" s="27"/>
      <c r="B1252" s="27"/>
      <c r="C1252" s="27"/>
      <c r="D1252" s="27"/>
      <c r="E1252" s="27"/>
      <c r="F1252" s="27"/>
      <c r="G1252" s="27"/>
      <c r="H1252" s="27"/>
      <c r="I1252" s="28"/>
      <c r="J1252" s="27"/>
      <c r="K1252" s="29"/>
      <c r="L1252" s="31"/>
      <c r="M1252" s="28"/>
      <c r="N1252" s="30"/>
      <c r="O1252" s="27"/>
      <c r="P1252" s="137"/>
    </row>
    <row r="1253" spans="1:16" x14ac:dyDescent="0.3">
      <c r="A1253" s="27"/>
      <c r="B1253" s="27"/>
      <c r="C1253" s="27"/>
      <c r="D1253" s="27"/>
      <c r="E1253" s="27"/>
      <c r="F1253" s="27"/>
      <c r="G1253" s="27"/>
      <c r="H1253" s="27"/>
      <c r="I1253" s="28"/>
      <c r="J1253" s="27"/>
      <c r="K1253" s="29"/>
      <c r="L1253" s="31"/>
      <c r="M1253" s="28"/>
      <c r="N1253" s="30"/>
      <c r="O1253" s="27"/>
      <c r="P1253" s="137"/>
    </row>
    <row r="1254" spans="1:16" x14ac:dyDescent="0.3">
      <c r="A1254" s="27"/>
      <c r="B1254" s="27"/>
      <c r="C1254" s="27"/>
      <c r="D1254" s="27"/>
      <c r="E1254" s="27"/>
      <c r="F1254" s="27"/>
      <c r="G1254" s="27"/>
      <c r="H1254" s="27"/>
      <c r="I1254" s="28"/>
      <c r="J1254" s="27"/>
      <c r="K1254" s="29"/>
      <c r="L1254" s="31"/>
      <c r="M1254" s="28"/>
      <c r="N1254" s="30"/>
      <c r="O1254" s="27"/>
      <c r="P1254" s="137"/>
    </row>
    <row r="1255" spans="1:16" x14ac:dyDescent="0.3">
      <c r="A1255" s="27"/>
      <c r="B1255" s="27"/>
      <c r="C1255" s="27"/>
      <c r="D1255" s="27"/>
      <c r="E1255" s="27"/>
      <c r="F1255" s="27"/>
      <c r="G1255" s="27"/>
      <c r="H1255" s="27"/>
      <c r="I1255" s="28"/>
      <c r="J1255" s="27"/>
      <c r="K1255" s="29"/>
      <c r="L1255" s="31"/>
      <c r="M1255" s="28"/>
      <c r="N1255" s="30"/>
      <c r="O1255" s="27"/>
      <c r="P1255" s="137"/>
    </row>
    <row r="1256" spans="1:16" x14ac:dyDescent="0.3">
      <c r="A1256" s="27"/>
      <c r="B1256" s="27"/>
      <c r="C1256" s="27"/>
      <c r="D1256" s="27"/>
      <c r="E1256" s="27"/>
      <c r="F1256" s="27"/>
      <c r="G1256" s="27"/>
      <c r="H1256" s="27"/>
      <c r="I1256" s="28"/>
      <c r="J1256" s="27"/>
      <c r="K1256" s="29"/>
      <c r="L1256" s="31"/>
      <c r="M1256" s="28"/>
      <c r="N1256" s="30"/>
      <c r="O1256" s="27"/>
      <c r="P1256" s="137"/>
    </row>
    <row r="1257" spans="1:16" x14ac:dyDescent="0.3">
      <c r="A1257" s="27"/>
      <c r="B1257" s="27"/>
      <c r="C1257" s="27"/>
      <c r="D1257" s="27"/>
      <c r="E1257" s="27"/>
      <c r="F1257" s="27"/>
      <c r="G1257" s="27"/>
      <c r="H1257" s="27"/>
      <c r="I1257" s="28"/>
      <c r="J1257" s="27"/>
      <c r="K1257" s="29"/>
      <c r="L1257" s="31"/>
      <c r="M1257" s="28"/>
      <c r="N1257" s="30"/>
      <c r="O1257" s="27"/>
      <c r="P1257" s="137"/>
    </row>
    <row r="1258" spans="1:16" x14ac:dyDescent="0.3">
      <c r="A1258" s="27"/>
      <c r="B1258" s="27"/>
      <c r="C1258" s="27"/>
      <c r="D1258" s="27"/>
      <c r="E1258" s="27"/>
      <c r="F1258" s="27"/>
      <c r="G1258" s="27"/>
      <c r="H1258" s="27"/>
      <c r="I1258" s="28"/>
      <c r="J1258" s="27"/>
      <c r="K1258" s="29"/>
      <c r="L1258" s="31"/>
      <c r="M1258" s="28"/>
      <c r="N1258" s="30"/>
      <c r="O1258" s="27"/>
      <c r="P1258" s="137"/>
    </row>
    <row r="1259" spans="1:16" x14ac:dyDescent="0.3">
      <c r="A1259" s="27"/>
      <c r="B1259" s="27"/>
      <c r="C1259" s="27"/>
      <c r="D1259" s="27"/>
      <c r="E1259" s="27"/>
      <c r="F1259" s="27"/>
      <c r="G1259" s="27"/>
      <c r="H1259" s="27"/>
      <c r="I1259" s="28"/>
      <c r="J1259" s="27"/>
      <c r="K1259" s="29"/>
      <c r="L1259" s="31"/>
      <c r="M1259" s="28"/>
      <c r="N1259" s="30"/>
      <c r="O1259" s="27"/>
      <c r="P1259" s="137"/>
    </row>
    <row r="1260" spans="1:16" x14ac:dyDescent="0.3">
      <c r="A1260" s="27"/>
      <c r="B1260" s="27"/>
      <c r="C1260" s="27"/>
      <c r="D1260" s="27"/>
      <c r="E1260" s="27"/>
      <c r="F1260" s="27"/>
      <c r="G1260" s="27"/>
      <c r="H1260" s="27"/>
      <c r="I1260" s="28"/>
      <c r="J1260" s="27"/>
      <c r="K1260" s="29"/>
      <c r="L1260" s="31"/>
      <c r="M1260" s="28"/>
      <c r="N1260" s="30"/>
      <c r="O1260" s="27"/>
      <c r="P1260" s="137"/>
    </row>
    <row r="1261" spans="1:16" x14ac:dyDescent="0.3">
      <c r="A1261" s="27"/>
      <c r="B1261" s="27"/>
      <c r="C1261" s="27"/>
      <c r="D1261" s="27"/>
      <c r="E1261" s="27"/>
      <c r="F1261" s="27"/>
      <c r="G1261" s="27"/>
      <c r="H1261" s="27"/>
      <c r="I1261" s="28"/>
      <c r="J1261" s="27"/>
      <c r="K1261" s="29"/>
      <c r="L1261" s="31"/>
      <c r="M1261" s="28"/>
      <c r="N1261" s="30"/>
      <c r="O1261" s="27"/>
      <c r="P1261" s="137"/>
    </row>
    <row r="1262" spans="1:16" x14ac:dyDescent="0.3">
      <c r="A1262" s="27"/>
      <c r="B1262" s="27"/>
      <c r="C1262" s="27"/>
      <c r="D1262" s="27"/>
      <c r="E1262" s="27"/>
      <c r="F1262" s="27"/>
      <c r="G1262" s="27"/>
      <c r="H1262" s="27"/>
      <c r="I1262" s="28"/>
      <c r="J1262" s="27"/>
      <c r="K1262" s="29"/>
      <c r="L1262" s="31"/>
      <c r="M1262" s="28"/>
      <c r="N1262" s="30"/>
      <c r="O1262" s="27"/>
      <c r="P1262" s="137"/>
    </row>
    <row r="1263" spans="1:16" x14ac:dyDescent="0.3">
      <c r="A1263" s="27"/>
      <c r="B1263" s="27"/>
      <c r="C1263" s="27"/>
      <c r="D1263" s="27"/>
      <c r="E1263" s="27"/>
      <c r="F1263" s="27"/>
      <c r="G1263" s="27"/>
      <c r="H1263" s="27"/>
      <c r="I1263" s="28"/>
      <c r="J1263" s="27"/>
      <c r="K1263" s="29"/>
      <c r="L1263" s="31"/>
      <c r="M1263" s="28"/>
      <c r="N1263" s="30"/>
      <c r="O1263" s="27"/>
      <c r="P1263" s="137"/>
    </row>
    <row r="1264" spans="1:16" x14ac:dyDescent="0.3">
      <c r="A1264" s="27"/>
      <c r="B1264" s="27"/>
      <c r="C1264" s="27"/>
      <c r="D1264" s="27"/>
      <c r="E1264" s="27"/>
      <c r="F1264" s="27"/>
      <c r="G1264" s="27"/>
      <c r="H1264" s="27"/>
      <c r="I1264" s="28"/>
      <c r="J1264" s="27"/>
      <c r="K1264" s="29"/>
      <c r="L1264" s="31"/>
      <c r="M1264" s="28"/>
      <c r="N1264" s="30"/>
      <c r="O1264" s="27"/>
      <c r="P1264" s="137"/>
    </row>
    <row r="1265" spans="1:16" x14ac:dyDescent="0.3">
      <c r="A1265" s="27"/>
      <c r="B1265" s="27"/>
      <c r="C1265" s="27"/>
      <c r="D1265" s="27"/>
      <c r="E1265" s="27"/>
      <c r="F1265" s="27"/>
      <c r="G1265" s="27"/>
      <c r="H1265" s="27"/>
      <c r="I1265" s="28"/>
      <c r="J1265" s="27"/>
      <c r="K1265" s="29"/>
      <c r="L1265" s="31"/>
      <c r="M1265" s="28"/>
      <c r="N1265" s="30"/>
      <c r="O1265" s="27"/>
      <c r="P1265" s="137"/>
    </row>
    <row r="1266" spans="1:16" x14ac:dyDescent="0.3">
      <c r="A1266" s="27"/>
      <c r="B1266" s="27"/>
      <c r="C1266" s="27"/>
      <c r="D1266" s="27"/>
      <c r="E1266" s="27"/>
      <c r="F1266" s="27"/>
      <c r="G1266" s="27"/>
      <c r="H1266" s="27"/>
      <c r="I1266" s="28"/>
      <c r="J1266" s="27"/>
      <c r="K1266" s="29"/>
      <c r="L1266" s="31"/>
      <c r="M1266" s="28"/>
      <c r="N1266" s="30"/>
      <c r="O1266" s="27"/>
      <c r="P1266" s="137"/>
    </row>
    <row r="1267" spans="1:16" x14ac:dyDescent="0.3">
      <c r="A1267" s="27"/>
      <c r="B1267" s="27"/>
      <c r="C1267" s="27"/>
      <c r="D1267" s="27"/>
      <c r="E1267" s="27"/>
      <c r="F1267" s="27"/>
      <c r="G1267" s="27"/>
      <c r="H1267" s="27"/>
      <c r="I1267" s="28"/>
      <c r="J1267" s="27"/>
      <c r="K1267" s="29"/>
      <c r="L1267" s="31"/>
      <c r="M1267" s="28"/>
      <c r="N1267" s="30"/>
      <c r="O1267" s="27"/>
      <c r="P1267" s="137"/>
    </row>
    <row r="1268" spans="1:16" x14ac:dyDescent="0.3">
      <c r="A1268" s="27"/>
      <c r="B1268" s="27"/>
      <c r="C1268" s="27"/>
      <c r="D1268" s="27"/>
      <c r="E1268" s="27"/>
      <c r="F1268" s="27"/>
      <c r="G1268" s="27"/>
      <c r="H1268" s="27"/>
      <c r="I1268" s="28"/>
      <c r="J1268" s="27"/>
      <c r="K1268" s="29"/>
      <c r="L1268" s="31"/>
      <c r="M1268" s="28"/>
      <c r="N1268" s="30"/>
      <c r="O1268" s="27"/>
      <c r="P1268" s="137"/>
    </row>
    <row r="1269" spans="1:16" x14ac:dyDescent="0.3">
      <c r="A1269" s="27"/>
      <c r="B1269" s="27"/>
      <c r="C1269" s="27"/>
      <c r="D1269" s="27"/>
      <c r="E1269" s="27"/>
      <c r="F1269" s="27"/>
      <c r="G1269" s="27"/>
      <c r="H1269" s="27"/>
      <c r="I1269" s="28"/>
      <c r="J1269" s="27"/>
      <c r="K1269" s="29"/>
      <c r="L1269" s="31"/>
      <c r="M1269" s="28"/>
      <c r="N1269" s="30"/>
      <c r="O1269" s="27"/>
      <c r="P1269" s="137"/>
    </row>
    <row r="1270" spans="1:16" x14ac:dyDescent="0.3">
      <c r="A1270" s="27"/>
      <c r="B1270" s="27"/>
      <c r="C1270" s="27"/>
      <c r="D1270" s="27"/>
      <c r="E1270" s="27"/>
      <c r="F1270" s="27"/>
      <c r="G1270" s="27"/>
      <c r="H1270" s="27"/>
      <c r="I1270" s="28"/>
      <c r="J1270" s="27"/>
      <c r="K1270" s="29"/>
      <c r="L1270" s="31"/>
      <c r="M1270" s="28"/>
      <c r="N1270" s="30"/>
      <c r="O1270" s="27"/>
      <c r="P1270" s="137"/>
    </row>
    <row r="1271" spans="1:16" x14ac:dyDescent="0.3">
      <c r="A1271" s="27"/>
      <c r="B1271" s="27"/>
      <c r="C1271" s="27"/>
      <c r="D1271" s="27"/>
      <c r="E1271" s="27"/>
      <c r="F1271" s="27"/>
      <c r="G1271" s="27"/>
      <c r="H1271" s="27"/>
      <c r="I1271" s="28"/>
      <c r="J1271" s="27"/>
      <c r="K1271" s="29"/>
      <c r="L1271" s="31"/>
      <c r="M1271" s="28"/>
      <c r="N1271" s="30"/>
      <c r="O1271" s="27"/>
      <c r="P1271" s="137"/>
    </row>
    <row r="1272" spans="1:16" x14ac:dyDescent="0.3">
      <c r="A1272" s="27"/>
      <c r="B1272" s="27"/>
      <c r="C1272" s="27"/>
      <c r="D1272" s="27"/>
      <c r="E1272" s="27"/>
      <c r="F1272" s="27"/>
      <c r="G1272" s="27"/>
      <c r="H1272" s="27"/>
      <c r="I1272" s="28"/>
      <c r="J1272" s="27"/>
      <c r="K1272" s="29"/>
      <c r="L1272" s="31"/>
      <c r="M1272" s="28"/>
      <c r="N1272" s="30"/>
      <c r="O1272" s="27"/>
      <c r="P1272" s="137"/>
    </row>
    <row r="1273" spans="1:16" x14ac:dyDescent="0.3">
      <c r="A1273" s="27"/>
      <c r="B1273" s="27"/>
      <c r="C1273" s="27"/>
      <c r="D1273" s="27"/>
      <c r="E1273" s="27"/>
      <c r="F1273" s="27"/>
      <c r="G1273" s="27"/>
      <c r="H1273" s="27"/>
      <c r="I1273" s="28"/>
      <c r="J1273" s="27"/>
      <c r="K1273" s="29"/>
      <c r="L1273" s="31"/>
      <c r="M1273" s="28"/>
      <c r="N1273" s="30"/>
      <c r="O1273" s="27"/>
      <c r="P1273" s="137"/>
    </row>
    <row r="1274" spans="1:16" x14ac:dyDescent="0.3">
      <c r="A1274" s="27"/>
      <c r="B1274" s="27"/>
      <c r="C1274" s="27"/>
      <c r="D1274" s="27"/>
      <c r="E1274" s="27"/>
      <c r="F1274" s="27"/>
      <c r="G1274" s="27"/>
      <c r="H1274" s="27"/>
      <c r="I1274" s="28"/>
      <c r="J1274" s="27"/>
      <c r="K1274" s="29"/>
      <c r="L1274" s="31"/>
      <c r="M1274" s="28"/>
      <c r="N1274" s="30"/>
      <c r="O1274" s="27"/>
      <c r="P1274" s="137"/>
    </row>
    <row r="1275" spans="1:16" x14ac:dyDescent="0.3">
      <c r="A1275" s="27"/>
      <c r="B1275" s="27"/>
      <c r="C1275" s="27"/>
      <c r="D1275" s="27"/>
      <c r="E1275" s="27"/>
      <c r="F1275" s="27"/>
      <c r="G1275" s="27"/>
      <c r="H1275" s="27"/>
      <c r="I1275" s="28"/>
      <c r="J1275" s="27"/>
      <c r="K1275" s="29"/>
      <c r="L1275" s="31"/>
      <c r="M1275" s="28"/>
      <c r="N1275" s="30"/>
      <c r="O1275" s="27"/>
      <c r="P1275" s="137"/>
    </row>
    <row r="1276" spans="1:16" x14ac:dyDescent="0.3">
      <c r="A1276" s="27"/>
      <c r="B1276" s="27"/>
      <c r="C1276" s="27"/>
      <c r="D1276" s="27"/>
      <c r="E1276" s="27"/>
      <c r="F1276" s="27"/>
      <c r="G1276" s="27"/>
      <c r="H1276" s="27"/>
      <c r="I1276" s="28"/>
      <c r="J1276" s="27"/>
      <c r="K1276" s="29"/>
      <c r="L1276" s="31"/>
      <c r="M1276" s="28"/>
      <c r="N1276" s="30"/>
      <c r="O1276" s="27"/>
      <c r="P1276" s="137"/>
    </row>
    <row r="1277" spans="1:16" x14ac:dyDescent="0.3">
      <c r="A1277" s="27"/>
      <c r="B1277" s="27"/>
      <c r="C1277" s="27"/>
      <c r="D1277" s="27"/>
      <c r="E1277" s="27"/>
      <c r="F1277" s="27"/>
      <c r="G1277" s="27"/>
      <c r="H1277" s="27"/>
      <c r="I1277" s="28"/>
      <c r="J1277" s="27"/>
      <c r="K1277" s="29"/>
      <c r="L1277" s="31"/>
      <c r="M1277" s="28"/>
      <c r="N1277" s="30"/>
      <c r="O1277" s="27"/>
      <c r="P1277" s="137"/>
    </row>
    <row r="1278" spans="1:16" x14ac:dyDescent="0.3">
      <c r="A1278" s="27"/>
      <c r="B1278" s="27"/>
      <c r="C1278" s="27"/>
      <c r="D1278" s="27"/>
      <c r="E1278" s="27"/>
      <c r="F1278" s="27"/>
      <c r="G1278" s="27"/>
      <c r="H1278" s="27"/>
      <c r="I1278" s="28"/>
      <c r="J1278" s="27"/>
      <c r="K1278" s="29"/>
      <c r="L1278" s="31"/>
      <c r="M1278" s="28"/>
      <c r="N1278" s="30"/>
      <c r="O1278" s="27"/>
      <c r="P1278" s="137"/>
    </row>
    <row r="1279" spans="1:16" x14ac:dyDescent="0.3">
      <c r="A1279" s="27"/>
      <c r="B1279" s="27"/>
      <c r="C1279" s="27"/>
      <c r="D1279" s="27"/>
      <c r="E1279" s="27"/>
      <c r="F1279" s="27"/>
      <c r="G1279" s="27"/>
      <c r="H1279" s="27"/>
      <c r="I1279" s="28"/>
      <c r="J1279" s="27"/>
      <c r="K1279" s="29"/>
      <c r="L1279" s="31"/>
      <c r="M1279" s="28"/>
      <c r="N1279" s="30"/>
      <c r="O1279" s="27"/>
      <c r="P1279" s="137"/>
    </row>
    <row r="1280" spans="1:16" x14ac:dyDescent="0.3">
      <c r="A1280" s="27"/>
      <c r="B1280" s="27"/>
      <c r="C1280" s="27"/>
      <c r="D1280" s="27"/>
      <c r="E1280" s="27"/>
      <c r="F1280" s="27"/>
      <c r="G1280" s="27"/>
      <c r="H1280" s="27"/>
      <c r="I1280" s="28"/>
      <c r="J1280" s="27"/>
      <c r="K1280" s="29"/>
      <c r="L1280" s="31"/>
      <c r="M1280" s="28"/>
      <c r="N1280" s="30"/>
      <c r="O1280" s="27"/>
      <c r="P1280" s="137"/>
    </row>
    <row r="1281" spans="1:16" x14ac:dyDescent="0.3">
      <c r="A1281" s="27"/>
      <c r="B1281" s="27"/>
      <c r="C1281" s="27"/>
      <c r="D1281" s="27"/>
      <c r="E1281" s="27"/>
      <c r="F1281" s="27"/>
      <c r="G1281" s="27"/>
      <c r="H1281" s="27"/>
      <c r="I1281" s="28"/>
      <c r="J1281" s="27"/>
      <c r="K1281" s="29"/>
      <c r="L1281" s="31"/>
      <c r="M1281" s="28"/>
      <c r="N1281" s="30"/>
      <c r="O1281" s="27"/>
      <c r="P1281" s="137"/>
    </row>
    <row r="1282" spans="1:16" x14ac:dyDescent="0.3">
      <c r="A1282" s="27"/>
      <c r="B1282" s="27"/>
      <c r="C1282" s="27"/>
      <c r="D1282" s="27"/>
      <c r="E1282" s="27"/>
      <c r="F1282" s="27"/>
      <c r="G1282" s="27"/>
      <c r="H1282" s="27"/>
      <c r="I1282" s="28"/>
      <c r="J1282" s="27"/>
      <c r="K1282" s="29"/>
      <c r="L1282" s="31"/>
      <c r="M1282" s="28"/>
      <c r="N1282" s="30"/>
      <c r="O1282" s="27"/>
      <c r="P1282" s="137"/>
    </row>
    <row r="1283" spans="1:16" x14ac:dyDescent="0.3">
      <c r="A1283" s="27"/>
      <c r="B1283" s="27"/>
      <c r="C1283" s="27"/>
      <c r="D1283" s="27"/>
      <c r="E1283" s="27"/>
      <c r="F1283" s="27"/>
      <c r="G1283" s="27"/>
      <c r="H1283" s="27"/>
      <c r="I1283" s="28"/>
      <c r="J1283" s="27"/>
      <c r="K1283" s="29"/>
      <c r="L1283" s="31"/>
      <c r="M1283" s="28"/>
      <c r="N1283" s="30"/>
      <c r="O1283" s="27"/>
      <c r="P1283" s="137"/>
    </row>
    <row r="1284" spans="1:16" x14ac:dyDescent="0.3">
      <c r="A1284" s="27"/>
      <c r="B1284" s="27"/>
      <c r="C1284" s="27"/>
      <c r="D1284" s="27"/>
      <c r="E1284" s="27"/>
      <c r="F1284" s="27"/>
      <c r="G1284" s="27"/>
      <c r="H1284" s="27"/>
      <c r="I1284" s="28"/>
      <c r="J1284" s="27"/>
      <c r="K1284" s="29"/>
      <c r="L1284" s="31"/>
      <c r="M1284" s="28"/>
      <c r="N1284" s="30"/>
      <c r="O1284" s="27"/>
      <c r="P1284" s="137"/>
    </row>
    <row r="1285" spans="1:16" x14ac:dyDescent="0.3">
      <c r="A1285" s="27"/>
      <c r="B1285" s="27"/>
      <c r="C1285" s="27"/>
      <c r="D1285" s="27"/>
      <c r="E1285" s="27"/>
      <c r="F1285" s="27"/>
      <c r="G1285" s="27"/>
      <c r="H1285" s="27"/>
      <c r="I1285" s="28"/>
      <c r="J1285" s="27"/>
      <c r="K1285" s="29"/>
      <c r="L1285" s="31"/>
      <c r="M1285" s="28"/>
      <c r="N1285" s="30"/>
      <c r="O1285" s="27"/>
      <c r="P1285" s="137"/>
    </row>
    <row r="1286" spans="1:16" x14ac:dyDescent="0.3">
      <c r="A1286" s="27"/>
      <c r="B1286" s="27"/>
      <c r="C1286" s="27"/>
      <c r="D1286" s="27"/>
      <c r="E1286" s="27"/>
      <c r="F1286" s="27"/>
      <c r="G1286" s="27"/>
      <c r="H1286" s="27"/>
      <c r="I1286" s="28"/>
      <c r="J1286" s="27"/>
      <c r="K1286" s="29"/>
      <c r="L1286" s="31"/>
      <c r="M1286" s="28"/>
      <c r="N1286" s="30"/>
      <c r="O1286" s="27"/>
      <c r="P1286" s="137"/>
    </row>
    <row r="1287" spans="1:16" x14ac:dyDescent="0.3">
      <c r="A1287" s="27"/>
      <c r="B1287" s="27"/>
      <c r="C1287" s="27"/>
      <c r="D1287" s="27"/>
      <c r="E1287" s="27"/>
      <c r="F1287" s="27"/>
      <c r="G1287" s="27"/>
      <c r="H1287" s="27"/>
      <c r="I1287" s="28"/>
      <c r="J1287" s="27"/>
      <c r="K1287" s="29"/>
      <c r="L1287" s="31"/>
      <c r="M1287" s="28"/>
      <c r="N1287" s="30"/>
      <c r="O1287" s="27"/>
      <c r="P1287" s="137"/>
    </row>
    <row r="1288" spans="1:16" x14ac:dyDescent="0.3">
      <c r="A1288" s="27"/>
      <c r="B1288" s="27"/>
      <c r="C1288" s="27"/>
      <c r="D1288" s="27"/>
      <c r="E1288" s="27"/>
      <c r="F1288" s="27"/>
      <c r="G1288" s="27"/>
      <c r="H1288" s="27"/>
      <c r="I1288" s="28"/>
      <c r="J1288" s="27"/>
      <c r="K1288" s="29"/>
      <c r="L1288" s="31"/>
      <c r="M1288" s="28"/>
      <c r="N1288" s="30"/>
      <c r="O1288" s="27"/>
      <c r="P1288" s="137"/>
    </row>
    <row r="1289" spans="1:16" x14ac:dyDescent="0.3">
      <c r="A1289" s="27"/>
      <c r="B1289" s="27"/>
      <c r="C1289" s="27"/>
      <c r="D1289" s="27"/>
      <c r="E1289" s="27"/>
      <c r="F1289" s="27"/>
      <c r="G1289" s="27"/>
      <c r="H1289" s="27"/>
      <c r="I1289" s="28"/>
      <c r="J1289" s="27"/>
      <c r="K1289" s="29"/>
      <c r="L1289" s="31"/>
      <c r="M1289" s="28"/>
      <c r="N1289" s="30"/>
      <c r="O1289" s="27"/>
      <c r="P1289" s="137"/>
    </row>
    <row r="1290" spans="1:16" x14ac:dyDescent="0.3">
      <c r="A1290" s="27"/>
      <c r="B1290" s="27"/>
      <c r="C1290" s="27"/>
      <c r="D1290" s="27"/>
      <c r="E1290" s="27"/>
      <c r="F1290" s="27"/>
      <c r="G1290" s="27"/>
      <c r="H1290" s="27"/>
      <c r="I1290" s="28"/>
      <c r="J1290" s="27"/>
      <c r="K1290" s="29"/>
      <c r="L1290" s="31"/>
      <c r="M1290" s="28"/>
      <c r="N1290" s="30"/>
      <c r="O1290" s="27"/>
      <c r="P1290" s="137"/>
    </row>
    <row r="1291" spans="1:16" x14ac:dyDescent="0.3">
      <c r="A1291" s="27"/>
      <c r="B1291" s="27"/>
      <c r="C1291" s="27"/>
      <c r="D1291" s="27"/>
      <c r="E1291" s="27"/>
      <c r="F1291" s="27"/>
      <c r="G1291" s="27"/>
      <c r="H1291" s="27"/>
      <c r="I1291" s="28"/>
      <c r="J1291" s="27"/>
      <c r="K1291" s="29"/>
      <c r="L1291" s="31"/>
      <c r="M1291" s="28"/>
      <c r="N1291" s="30"/>
      <c r="O1291" s="27"/>
      <c r="P1291" s="137"/>
    </row>
    <row r="1292" spans="1:16" x14ac:dyDescent="0.3">
      <c r="A1292" s="27"/>
      <c r="B1292" s="27"/>
      <c r="C1292" s="27"/>
      <c r="D1292" s="27"/>
      <c r="E1292" s="27"/>
      <c r="F1292" s="27"/>
      <c r="G1292" s="27"/>
      <c r="H1292" s="27"/>
      <c r="I1292" s="28"/>
      <c r="J1292" s="27"/>
      <c r="K1292" s="29"/>
      <c r="L1292" s="31"/>
      <c r="M1292" s="28"/>
      <c r="N1292" s="30"/>
      <c r="O1292" s="27"/>
      <c r="P1292" s="137"/>
    </row>
    <row r="1293" spans="1:16" x14ac:dyDescent="0.3">
      <c r="A1293" s="27"/>
      <c r="B1293" s="27"/>
      <c r="C1293" s="27"/>
      <c r="D1293" s="27"/>
      <c r="E1293" s="27"/>
      <c r="F1293" s="27"/>
      <c r="G1293" s="27"/>
      <c r="H1293" s="27"/>
      <c r="I1293" s="28"/>
      <c r="J1293" s="27"/>
      <c r="K1293" s="29"/>
      <c r="L1293" s="31"/>
      <c r="M1293" s="28"/>
      <c r="N1293" s="30"/>
      <c r="O1293" s="27"/>
      <c r="P1293" s="137"/>
    </row>
    <row r="1294" spans="1:16" x14ac:dyDescent="0.3">
      <c r="A1294" s="27"/>
      <c r="B1294" s="27"/>
      <c r="C1294" s="27"/>
      <c r="D1294" s="27"/>
      <c r="E1294" s="27"/>
      <c r="F1294" s="27"/>
      <c r="G1294" s="27"/>
      <c r="H1294" s="27"/>
      <c r="I1294" s="28"/>
      <c r="J1294" s="27"/>
      <c r="K1294" s="29"/>
      <c r="L1294" s="31"/>
      <c r="M1294" s="28"/>
      <c r="N1294" s="30"/>
      <c r="O1294" s="27"/>
      <c r="P1294" s="137"/>
    </row>
    <row r="1295" spans="1:16" x14ac:dyDescent="0.3">
      <c r="A1295" s="27"/>
      <c r="B1295" s="27"/>
      <c r="C1295" s="27"/>
      <c r="D1295" s="27"/>
      <c r="E1295" s="27"/>
      <c r="F1295" s="27"/>
      <c r="G1295" s="27"/>
      <c r="H1295" s="27"/>
      <c r="I1295" s="28"/>
      <c r="J1295" s="27"/>
      <c r="K1295" s="29"/>
      <c r="L1295" s="31"/>
      <c r="M1295" s="28"/>
      <c r="N1295" s="30"/>
      <c r="O1295" s="27"/>
      <c r="P1295" s="137"/>
    </row>
    <row r="1296" spans="1:16" x14ac:dyDescent="0.3">
      <c r="A1296" s="27"/>
      <c r="B1296" s="27"/>
      <c r="C1296" s="27"/>
      <c r="D1296" s="27"/>
      <c r="E1296" s="27"/>
      <c r="F1296" s="27"/>
      <c r="G1296" s="27"/>
      <c r="H1296" s="27"/>
      <c r="I1296" s="28"/>
      <c r="J1296" s="27"/>
      <c r="K1296" s="29"/>
      <c r="L1296" s="31"/>
      <c r="M1296" s="28"/>
      <c r="N1296" s="30"/>
      <c r="O1296" s="27"/>
      <c r="P1296" s="137"/>
    </row>
    <row r="1297" spans="1:16" x14ac:dyDescent="0.3">
      <c r="A1297" s="27"/>
      <c r="B1297" s="27"/>
      <c r="C1297" s="27"/>
      <c r="D1297" s="27"/>
      <c r="E1297" s="27"/>
      <c r="F1297" s="27"/>
      <c r="G1297" s="27"/>
      <c r="H1297" s="27"/>
      <c r="I1297" s="28"/>
      <c r="J1297" s="27"/>
      <c r="K1297" s="29"/>
      <c r="L1297" s="31"/>
      <c r="M1297" s="28"/>
      <c r="N1297" s="30"/>
      <c r="O1297" s="27"/>
      <c r="P1297" s="137"/>
    </row>
    <row r="1298" spans="1:16" x14ac:dyDescent="0.3">
      <c r="A1298" s="27"/>
      <c r="B1298" s="27"/>
      <c r="C1298" s="27"/>
      <c r="D1298" s="27"/>
      <c r="E1298" s="27"/>
      <c r="F1298" s="27"/>
      <c r="G1298" s="27"/>
      <c r="H1298" s="27"/>
      <c r="I1298" s="28"/>
      <c r="J1298" s="27"/>
      <c r="K1298" s="29"/>
      <c r="L1298" s="31"/>
      <c r="M1298" s="28"/>
      <c r="N1298" s="30"/>
      <c r="O1298" s="27"/>
      <c r="P1298" s="137"/>
    </row>
    <row r="1299" spans="1:16" x14ac:dyDescent="0.3">
      <c r="A1299" s="27"/>
      <c r="B1299" s="27"/>
      <c r="C1299" s="27"/>
      <c r="D1299" s="27"/>
      <c r="E1299" s="27"/>
      <c r="F1299" s="27"/>
      <c r="G1299" s="27"/>
      <c r="H1299" s="27"/>
      <c r="I1299" s="28"/>
      <c r="J1299" s="27"/>
      <c r="K1299" s="29"/>
      <c r="L1299" s="31"/>
      <c r="M1299" s="28"/>
      <c r="N1299" s="30"/>
      <c r="O1299" s="27"/>
      <c r="P1299" s="137"/>
    </row>
    <row r="1300" spans="1:16" x14ac:dyDescent="0.3">
      <c r="A1300" s="27"/>
      <c r="B1300" s="27"/>
      <c r="C1300" s="27"/>
      <c r="D1300" s="27"/>
      <c r="E1300" s="27"/>
      <c r="F1300" s="27"/>
      <c r="G1300" s="27"/>
      <c r="H1300" s="27"/>
      <c r="I1300" s="28"/>
      <c r="J1300" s="27"/>
      <c r="K1300" s="29"/>
      <c r="L1300" s="31"/>
      <c r="M1300" s="28"/>
      <c r="N1300" s="30"/>
      <c r="O1300" s="27"/>
      <c r="P1300" s="137"/>
    </row>
    <row r="1301" spans="1:16" x14ac:dyDescent="0.3">
      <c r="A1301" s="27"/>
      <c r="B1301" s="27"/>
      <c r="C1301" s="27"/>
      <c r="D1301" s="27"/>
      <c r="E1301" s="27"/>
      <c r="F1301" s="27"/>
      <c r="G1301" s="27"/>
      <c r="H1301" s="27"/>
      <c r="I1301" s="28"/>
      <c r="J1301" s="27"/>
      <c r="K1301" s="29"/>
      <c r="L1301" s="31"/>
      <c r="M1301" s="28"/>
      <c r="N1301" s="30"/>
      <c r="O1301" s="27"/>
      <c r="P1301" s="137"/>
    </row>
    <row r="1302" spans="1:16" x14ac:dyDescent="0.3">
      <c r="A1302" s="27"/>
      <c r="B1302" s="27"/>
      <c r="C1302" s="27"/>
      <c r="D1302" s="27"/>
      <c r="E1302" s="27"/>
      <c r="F1302" s="27"/>
      <c r="G1302" s="27"/>
      <c r="H1302" s="27"/>
      <c r="I1302" s="28"/>
      <c r="J1302" s="27"/>
      <c r="K1302" s="29"/>
      <c r="L1302" s="31"/>
      <c r="M1302" s="28"/>
      <c r="N1302" s="30"/>
      <c r="O1302" s="27"/>
      <c r="P1302" s="137"/>
    </row>
    <row r="1303" spans="1:16" x14ac:dyDescent="0.3">
      <c r="A1303" s="27"/>
      <c r="B1303" s="27"/>
      <c r="C1303" s="27"/>
      <c r="D1303" s="27"/>
      <c r="E1303" s="27"/>
      <c r="F1303" s="27"/>
      <c r="G1303" s="27"/>
      <c r="H1303" s="27"/>
      <c r="I1303" s="28"/>
      <c r="J1303" s="27"/>
      <c r="K1303" s="29"/>
      <c r="L1303" s="31"/>
      <c r="M1303" s="28"/>
      <c r="N1303" s="30"/>
      <c r="O1303" s="27"/>
      <c r="P1303" s="137"/>
    </row>
    <row r="1304" spans="1:16" x14ac:dyDescent="0.3">
      <c r="A1304" s="27"/>
      <c r="B1304" s="27"/>
      <c r="C1304" s="27"/>
      <c r="D1304" s="27"/>
      <c r="E1304" s="27"/>
      <c r="F1304" s="27"/>
      <c r="G1304" s="27"/>
      <c r="H1304" s="27"/>
      <c r="I1304" s="28"/>
      <c r="J1304" s="27"/>
      <c r="K1304" s="29"/>
      <c r="L1304" s="31"/>
      <c r="M1304" s="28"/>
      <c r="N1304" s="30"/>
      <c r="O1304" s="27"/>
      <c r="P1304" s="137"/>
    </row>
    <row r="1305" spans="1:16" x14ac:dyDescent="0.3">
      <c r="A1305" s="27"/>
      <c r="B1305" s="27"/>
      <c r="C1305" s="27"/>
      <c r="D1305" s="27"/>
      <c r="E1305" s="27"/>
      <c r="F1305" s="27"/>
      <c r="G1305" s="27"/>
      <c r="H1305" s="27"/>
      <c r="I1305" s="28"/>
      <c r="J1305" s="27"/>
      <c r="K1305" s="29"/>
      <c r="L1305" s="31"/>
      <c r="M1305" s="28"/>
      <c r="N1305" s="30"/>
      <c r="O1305" s="27"/>
      <c r="P1305" s="137"/>
    </row>
    <row r="1306" spans="1:16" x14ac:dyDescent="0.3">
      <c r="A1306" s="27"/>
      <c r="B1306" s="27"/>
      <c r="C1306" s="27"/>
      <c r="D1306" s="27"/>
      <c r="E1306" s="27"/>
      <c r="F1306" s="27"/>
      <c r="G1306" s="27"/>
      <c r="H1306" s="27"/>
      <c r="I1306" s="28"/>
      <c r="J1306" s="27"/>
      <c r="K1306" s="29"/>
      <c r="L1306" s="31"/>
      <c r="M1306" s="28"/>
      <c r="N1306" s="30"/>
      <c r="O1306" s="27"/>
      <c r="P1306" s="137"/>
    </row>
    <row r="1307" spans="1:16" x14ac:dyDescent="0.3">
      <c r="A1307" s="27"/>
      <c r="B1307" s="27"/>
      <c r="C1307" s="27"/>
      <c r="D1307" s="27"/>
      <c r="E1307" s="27"/>
      <c r="F1307" s="27"/>
      <c r="G1307" s="27"/>
      <c r="H1307" s="27"/>
      <c r="I1307" s="28"/>
      <c r="J1307" s="27"/>
      <c r="K1307" s="29"/>
      <c r="L1307" s="31"/>
      <c r="M1307" s="28"/>
      <c r="N1307" s="30"/>
      <c r="O1307" s="27"/>
      <c r="P1307" s="137"/>
    </row>
    <row r="1308" spans="1:16" x14ac:dyDescent="0.3">
      <c r="A1308" s="27"/>
      <c r="B1308" s="27"/>
      <c r="C1308" s="27"/>
      <c r="D1308" s="27"/>
      <c r="E1308" s="27"/>
      <c r="F1308" s="27"/>
      <c r="G1308" s="27"/>
      <c r="H1308" s="27"/>
      <c r="I1308" s="28"/>
      <c r="J1308" s="27"/>
      <c r="K1308" s="29"/>
      <c r="L1308" s="31"/>
      <c r="M1308" s="28"/>
      <c r="N1308" s="30"/>
      <c r="O1308" s="27"/>
      <c r="P1308" s="137"/>
    </row>
    <row r="1309" spans="1:16" x14ac:dyDescent="0.3">
      <c r="A1309" s="27"/>
      <c r="B1309" s="27"/>
      <c r="C1309" s="27"/>
      <c r="D1309" s="27"/>
      <c r="E1309" s="27"/>
      <c r="F1309" s="27"/>
      <c r="G1309" s="27"/>
      <c r="H1309" s="27"/>
      <c r="I1309" s="28"/>
      <c r="J1309" s="27"/>
      <c r="K1309" s="29"/>
      <c r="L1309" s="31"/>
      <c r="M1309" s="28"/>
      <c r="N1309" s="30"/>
      <c r="O1309" s="27"/>
      <c r="P1309" s="137"/>
    </row>
    <row r="1310" spans="1:16" x14ac:dyDescent="0.3">
      <c r="A1310" s="27"/>
      <c r="B1310" s="27"/>
      <c r="C1310" s="27"/>
      <c r="D1310" s="27"/>
      <c r="E1310" s="27"/>
      <c r="F1310" s="27"/>
      <c r="G1310" s="27"/>
      <c r="H1310" s="27"/>
      <c r="I1310" s="28"/>
      <c r="J1310" s="27"/>
      <c r="K1310" s="29"/>
      <c r="L1310" s="31"/>
      <c r="M1310" s="28"/>
      <c r="N1310" s="30"/>
      <c r="O1310" s="27"/>
      <c r="P1310" s="137"/>
    </row>
    <row r="1311" spans="1:16" x14ac:dyDescent="0.3">
      <c r="A1311" s="27"/>
      <c r="B1311" s="27"/>
      <c r="C1311" s="27"/>
      <c r="D1311" s="27"/>
      <c r="E1311" s="27"/>
      <c r="F1311" s="27"/>
      <c r="G1311" s="27"/>
      <c r="H1311" s="27"/>
      <c r="I1311" s="28"/>
      <c r="J1311" s="27"/>
      <c r="K1311" s="29"/>
      <c r="L1311" s="31"/>
      <c r="M1311" s="28"/>
      <c r="N1311" s="30"/>
      <c r="O1311" s="27"/>
      <c r="P1311" s="137"/>
    </row>
    <row r="1312" spans="1:16" x14ac:dyDescent="0.3">
      <c r="A1312" s="27"/>
      <c r="B1312" s="27"/>
      <c r="C1312" s="27"/>
      <c r="D1312" s="27"/>
      <c r="E1312" s="27"/>
      <c r="F1312" s="27"/>
      <c r="G1312" s="27"/>
      <c r="H1312" s="27"/>
      <c r="I1312" s="28"/>
      <c r="J1312" s="27"/>
      <c r="K1312" s="29"/>
      <c r="L1312" s="31"/>
      <c r="M1312" s="28"/>
      <c r="N1312" s="30"/>
      <c r="O1312" s="27"/>
      <c r="P1312" s="137"/>
    </row>
    <row r="1313" spans="1:16" x14ac:dyDescent="0.3">
      <c r="A1313" s="27"/>
      <c r="B1313" s="27"/>
      <c r="C1313" s="27"/>
      <c r="D1313" s="27"/>
      <c r="E1313" s="27"/>
      <c r="F1313" s="27"/>
      <c r="G1313" s="27"/>
      <c r="H1313" s="27"/>
      <c r="I1313" s="28"/>
      <c r="J1313" s="27"/>
      <c r="K1313" s="29"/>
      <c r="L1313" s="31"/>
      <c r="M1313" s="28"/>
      <c r="N1313" s="30"/>
      <c r="O1313" s="27"/>
      <c r="P1313" s="137"/>
    </row>
    <row r="1314" spans="1:16" x14ac:dyDescent="0.3">
      <c r="A1314" s="27"/>
      <c r="B1314" s="27"/>
      <c r="C1314" s="27"/>
      <c r="D1314" s="27"/>
      <c r="E1314" s="27"/>
      <c r="F1314" s="27"/>
      <c r="G1314" s="27"/>
      <c r="H1314" s="27"/>
      <c r="I1314" s="28"/>
      <c r="J1314" s="27"/>
      <c r="K1314" s="29"/>
      <c r="L1314" s="31"/>
      <c r="M1314" s="28"/>
      <c r="N1314" s="30"/>
      <c r="O1314" s="27"/>
      <c r="P1314" s="137"/>
    </row>
    <row r="1315" spans="1:16" x14ac:dyDescent="0.3">
      <c r="A1315" s="27"/>
      <c r="B1315" s="27"/>
      <c r="C1315" s="27"/>
      <c r="D1315" s="27"/>
      <c r="E1315" s="27"/>
      <c r="F1315" s="27"/>
      <c r="G1315" s="27"/>
      <c r="H1315" s="27"/>
      <c r="I1315" s="28"/>
      <c r="J1315" s="27"/>
      <c r="K1315" s="29"/>
      <c r="L1315" s="31"/>
      <c r="M1315" s="28"/>
      <c r="N1315" s="30"/>
      <c r="O1315" s="27"/>
      <c r="P1315" s="137"/>
    </row>
    <row r="1316" spans="1:16" x14ac:dyDescent="0.3">
      <c r="A1316" s="27"/>
      <c r="B1316" s="27"/>
      <c r="C1316" s="27"/>
      <c r="D1316" s="27"/>
      <c r="E1316" s="27"/>
      <c r="F1316" s="27"/>
      <c r="G1316" s="27"/>
      <c r="H1316" s="27"/>
      <c r="I1316" s="28"/>
      <c r="J1316" s="27"/>
      <c r="K1316" s="29"/>
      <c r="L1316" s="31"/>
      <c r="M1316" s="28"/>
      <c r="N1316" s="30"/>
      <c r="O1316" s="27"/>
      <c r="P1316" s="137"/>
    </row>
    <row r="1317" spans="1:16" x14ac:dyDescent="0.3">
      <c r="A1317" s="27"/>
      <c r="B1317" s="27"/>
      <c r="C1317" s="27"/>
      <c r="D1317" s="27"/>
      <c r="E1317" s="27"/>
      <c r="F1317" s="27"/>
      <c r="G1317" s="27"/>
      <c r="H1317" s="27"/>
      <c r="I1317" s="28"/>
      <c r="J1317" s="27"/>
      <c r="K1317" s="29"/>
      <c r="L1317" s="31"/>
      <c r="M1317" s="28"/>
      <c r="N1317" s="30"/>
      <c r="O1317" s="27"/>
      <c r="P1317" s="137"/>
    </row>
    <row r="1318" spans="1:16" x14ac:dyDescent="0.3">
      <c r="A1318" s="27"/>
      <c r="B1318" s="27"/>
      <c r="C1318" s="27"/>
      <c r="D1318" s="27"/>
      <c r="E1318" s="27"/>
      <c r="F1318" s="27"/>
      <c r="G1318" s="27"/>
      <c r="H1318" s="27"/>
      <c r="I1318" s="28"/>
      <c r="J1318" s="27"/>
      <c r="K1318" s="29"/>
      <c r="L1318" s="31"/>
      <c r="M1318" s="28"/>
      <c r="N1318" s="30"/>
      <c r="O1318" s="27"/>
      <c r="P1318" s="137"/>
    </row>
    <row r="1319" spans="1:16" x14ac:dyDescent="0.3">
      <c r="A1319" s="27"/>
      <c r="B1319" s="27"/>
      <c r="C1319" s="27"/>
      <c r="D1319" s="27"/>
      <c r="E1319" s="27"/>
      <c r="F1319" s="27"/>
      <c r="G1319" s="27"/>
      <c r="H1319" s="27"/>
      <c r="I1319" s="28"/>
      <c r="J1319" s="27"/>
      <c r="K1319" s="29"/>
      <c r="L1319" s="31"/>
      <c r="M1319" s="28"/>
      <c r="N1319" s="30"/>
      <c r="O1319" s="27"/>
      <c r="P1319" s="137"/>
    </row>
    <row r="1320" spans="1:16" x14ac:dyDescent="0.3">
      <c r="A1320" s="27"/>
      <c r="B1320" s="27"/>
      <c r="C1320" s="27"/>
      <c r="D1320" s="27"/>
      <c r="E1320" s="27"/>
      <c r="F1320" s="27"/>
      <c r="G1320" s="27"/>
      <c r="H1320" s="27"/>
      <c r="I1320" s="28"/>
      <c r="J1320" s="27"/>
      <c r="K1320" s="29"/>
      <c r="L1320" s="31"/>
      <c r="M1320" s="28"/>
      <c r="N1320" s="30"/>
      <c r="O1320" s="27"/>
      <c r="P1320" s="137"/>
    </row>
    <row r="1321" spans="1:16" x14ac:dyDescent="0.3">
      <c r="A1321" s="27"/>
      <c r="B1321" s="27"/>
      <c r="C1321" s="27"/>
      <c r="D1321" s="27"/>
      <c r="E1321" s="27"/>
      <c r="F1321" s="27"/>
      <c r="G1321" s="27"/>
      <c r="H1321" s="27"/>
      <c r="I1321" s="28"/>
      <c r="J1321" s="27"/>
      <c r="K1321" s="29"/>
      <c r="L1321" s="31"/>
      <c r="M1321" s="28"/>
      <c r="N1321" s="30"/>
      <c r="O1321" s="27"/>
      <c r="P1321" s="137"/>
    </row>
    <row r="1322" spans="1:16" x14ac:dyDescent="0.3">
      <c r="A1322" s="27"/>
      <c r="B1322" s="27"/>
      <c r="C1322" s="27"/>
      <c r="D1322" s="27"/>
      <c r="E1322" s="27"/>
      <c r="F1322" s="27"/>
      <c r="G1322" s="27"/>
      <c r="H1322" s="27"/>
      <c r="I1322" s="28"/>
      <c r="J1322" s="27"/>
      <c r="K1322" s="29"/>
      <c r="L1322" s="31"/>
      <c r="M1322" s="28"/>
      <c r="N1322" s="30"/>
      <c r="O1322" s="27"/>
      <c r="P1322" s="137"/>
    </row>
    <row r="1323" spans="1:16" x14ac:dyDescent="0.3">
      <c r="A1323" s="27"/>
      <c r="B1323" s="27"/>
      <c r="C1323" s="27"/>
      <c r="D1323" s="27"/>
      <c r="E1323" s="27"/>
      <c r="F1323" s="27"/>
      <c r="G1323" s="27"/>
      <c r="H1323" s="27"/>
      <c r="I1323" s="28"/>
      <c r="J1323" s="27"/>
      <c r="K1323" s="29"/>
      <c r="L1323" s="31"/>
      <c r="M1323" s="28"/>
      <c r="N1323" s="30"/>
      <c r="O1323" s="27"/>
      <c r="P1323" s="137"/>
    </row>
    <row r="1324" spans="1:16" x14ac:dyDescent="0.3">
      <c r="A1324" s="27"/>
      <c r="B1324" s="27"/>
      <c r="C1324" s="27"/>
      <c r="D1324" s="27"/>
      <c r="E1324" s="27"/>
      <c r="F1324" s="27"/>
      <c r="G1324" s="27"/>
      <c r="H1324" s="27"/>
      <c r="I1324" s="28"/>
      <c r="J1324" s="27"/>
      <c r="K1324" s="29"/>
      <c r="L1324" s="31"/>
      <c r="M1324" s="28"/>
      <c r="N1324" s="30"/>
      <c r="O1324" s="27"/>
      <c r="P1324" s="137"/>
    </row>
    <row r="1325" spans="1:16" x14ac:dyDescent="0.3">
      <c r="A1325" s="27"/>
      <c r="B1325" s="27"/>
      <c r="C1325" s="27"/>
      <c r="D1325" s="27"/>
      <c r="E1325" s="27"/>
      <c r="F1325" s="27"/>
      <c r="G1325" s="27"/>
      <c r="H1325" s="27"/>
      <c r="I1325" s="28"/>
      <c r="J1325" s="27"/>
      <c r="K1325" s="29"/>
      <c r="L1325" s="31"/>
      <c r="M1325" s="28"/>
      <c r="N1325" s="30"/>
      <c r="O1325" s="27"/>
      <c r="P1325" s="137"/>
    </row>
    <row r="1326" spans="1:16" x14ac:dyDescent="0.3">
      <c r="A1326" s="27"/>
      <c r="B1326" s="27"/>
      <c r="C1326" s="27"/>
      <c r="D1326" s="27"/>
      <c r="E1326" s="27"/>
      <c r="F1326" s="27"/>
      <c r="G1326" s="27"/>
      <c r="H1326" s="27"/>
      <c r="I1326" s="28"/>
      <c r="J1326" s="27"/>
      <c r="K1326" s="29"/>
      <c r="L1326" s="31"/>
      <c r="M1326" s="28"/>
      <c r="N1326" s="30"/>
      <c r="O1326" s="27"/>
      <c r="P1326" s="137"/>
    </row>
    <row r="1327" spans="1:16" x14ac:dyDescent="0.3">
      <c r="A1327" s="27"/>
      <c r="B1327" s="27"/>
      <c r="C1327" s="27"/>
      <c r="D1327" s="27"/>
      <c r="E1327" s="27"/>
      <c r="F1327" s="27"/>
      <c r="G1327" s="27"/>
      <c r="H1327" s="27"/>
      <c r="I1327" s="28"/>
      <c r="J1327" s="27"/>
      <c r="K1327" s="29"/>
      <c r="L1327" s="31"/>
      <c r="M1327" s="28"/>
      <c r="N1327" s="30"/>
      <c r="O1327" s="27"/>
      <c r="P1327" s="137"/>
    </row>
    <row r="1328" spans="1:16" x14ac:dyDescent="0.3">
      <c r="A1328" s="27"/>
      <c r="B1328" s="27"/>
      <c r="C1328" s="27"/>
      <c r="D1328" s="27"/>
      <c r="E1328" s="27"/>
      <c r="F1328" s="27"/>
      <c r="G1328" s="27"/>
      <c r="H1328" s="27"/>
      <c r="I1328" s="28"/>
      <c r="J1328" s="27"/>
      <c r="K1328" s="29"/>
      <c r="L1328" s="31"/>
      <c r="M1328" s="28"/>
      <c r="N1328" s="30"/>
      <c r="O1328" s="27"/>
      <c r="P1328" s="137"/>
    </row>
    <row r="1329" spans="1:16" x14ac:dyDescent="0.3">
      <c r="A1329" s="27"/>
      <c r="B1329" s="27"/>
      <c r="C1329" s="27"/>
      <c r="D1329" s="27"/>
      <c r="E1329" s="27"/>
      <c r="F1329" s="27"/>
      <c r="G1329" s="27"/>
      <c r="H1329" s="27"/>
      <c r="I1329" s="28"/>
      <c r="J1329" s="27"/>
      <c r="K1329" s="29"/>
      <c r="L1329" s="31"/>
      <c r="M1329" s="28"/>
      <c r="N1329" s="30"/>
      <c r="O1329" s="27"/>
      <c r="P1329" s="137"/>
    </row>
    <row r="1330" spans="1:16" x14ac:dyDescent="0.3">
      <c r="A1330" s="27"/>
      <c r="B1330" s="27"/>
      <c r="C1330" s="27"/>
      <c r="D1330" s="27"/>
      <c r="E1330" s="27"/>
      <c r="F1330" s="27"/>
      <c r="G1330" s="27"/>
      <c r="H1330" s="27"/>
      <c r="I1330" s="28"/>
      <c r="J1330" s="27"/>
      <c r="K1330" s="29"/>
      <c r="L1330" s="31"/>
      <c r="M1330" s="28"/>
      <c r="N1330" s="30"/>
      <c r="O1330" s="27"/>
      <c r="P1330" s="137"/>
    </row>
    <row r="1331" spans="1:16" x14ac:dyDescent="0.3">
      <c r="A1331" s="27"/>
      <c r="B1331" s="27"/>
      <c r="C1331" s="27"/>
      <c r="D1331" s="27"/>
      <c r="E1331" s="27"/>
      <c r="F1331" s="27"/>
      <c r="G1331" s="27"/>
      <c r="H1331" s="27"/>
      <c r="I1331" s="28"/>
      <c r="J1331" s="27"/>
      <c r="K1331" s="29"/>
      <c r="L1331" s="31"/>
      <c r="M1331" s="28"/>
      <c r="N1331" s="30"/>
      <c r="O1331" s="27"/>
      <c r="P1331" s="137"/>
    </row>
    <row r="1332" spans="1:16" x14ac:dyDescent="0.3">
      <c r="A1332" s="27"/>
      <c r="B1332" s="27"/>
      <c r="C1332" s="27"/>
      <c r="D1332" s="27"/>
      <c r="E1332" s="27"/>
      <c r="F1332" s="27"/>
      <c r="G1332" s="27"/>
      <c r="H1332" s="27"/>
      <c r="I1332" s="28"/>
      <c r="J1332" s="27"/>
      <c r="K1332" s="29"/>
      <c r="L1332" s="31"/>
      <c r="M1332" s="28"/>
      <c r="N1332" s="30"/>
      <c r="O1332" s="27"/>
      <c r="P1332" s="137"/>
    </row>
    <row r="1333" spans="1:16" x14ac:dyDescent="0.3">
      <c r="A1333" s="27"/>
      <c r="B1333" s="27"/>
      <c r="C1333" s="27"/>
      <c r="D1333" s="27"/>
      <c r="E1333" s="27"/>
      <c r="F1333" s="27"/>
      <c r="G1333" s="27"/>
      <c r="H1333" s="27"/>
      <c r="I1333" s="28"/>
      <c r="J1333" s="27"/>
      <c r="K1333" s="29"/>
      <c r="L1333" s="31"/>
      <c r="M1333" s="28"/>
      <c r="N1333" s="30"/>
      <c r="O1333" s="27"/>
      <c r="P1333" s="137"/>
    </row>
    <row r="1334" spans="1:16" x14ac:dyDescent="0.3">
      <c r="A1334" s="27"/>
      <c r="B1334" s="27"/>
      <c r="C1334" s="27"/>
      <c r="D1334" s="27"/>
      <c r="E1334" s="27"/>
      <c r="F1334" s="27"/>
      <c r="G1334" s="27"/>
      <c r="H1334" s="27"/>
      <c r="I1334" s="28"/>
      <c r="J1334" s="27"/>
      <c r="K1334" s="29"/>
      <c r="L1334" s="31"/>
      <c r="M1334" s="28"/>
      <c r="N1334" s="30"/>
      <c r="O1334" s="27"/>
      <c r="P1334" s="137"/>
    </row>
    <row r="1335" spans="1:16" x14ac:dyDescent="0.3">
      <c r="A1335" s="27"/>
      <c r="B1335" s="27"/>
      <c r="C1335" s="27"/>
      <c r="D1335" s="27"/>
      <c r="E1335" s="27"/>
      <c r="F1335" s="27"/>
      <c r="G1335" s="27"/>
      <c r="H1335" s="27"/>
      <c r="I1335" s="28"/>
      <c r="J1335" s="27"/>
      <c r="K1335" s="29"/>
      <c r="L1335" s="31"/>
      <c r="M1335" s="28"/>
      <c r="N1335" s="30"/>
      <c r="O1335" s="27"/>
      <c r="P1335" s="137"/>
    </row>
    <row r="1336" spans="1:16" x14ac:dyDescent="0.3">
      <c r="A1336" s="27"/>
      <c r="B1336" s="27"/>
      <c r="C1336" s="27"/>
      <c r="D1336" s="27"/>
      <c r="E1336" s="27"/>
      <c r="F1336" s="27"/>
      <c r="G1336" s="27"/>
      <c r="H1336" s="27"/>
      <c r="I1336" s="28"/>
      <c r="J1336" s="27"/>
      <c r="K1336" s="29"/>
      <c r="L1336" s="31"/>
      <c r="M1336" s="28"/>
      <c r="N1336" s="30"/>
      <c r="O1336" s="27"/>
      <c r="P1336" s="137"/>
    </row>
    <row r="1337" spans="1:16" x14ac:dyDescent="0.3">
      <c r="A1337" s="27"/>
      <c r="B1337" s="27"/>
      <c r="C1337" s="27"/>
      <c r="D1337" s="27"/>
      <c r="E1337" s="27"/>
      <c r="F1337" s="27"/>
      <c r="G1337" s="27"/>
      <c r="H1337" s="27"/>
      <c r="I1337" s="28"/>
      <c r="J1337" s="27"/>
      <c r="K1337" s="29"/>
      <c r="L1337" s="31"/>
      <c r="M1337" s="28"/>
      <c r="N1337" s="30"/>
      <c r="O1337" s="27"/>
      <c r="P1337" s="137"/>
    </row>
    <row r="1338" spans="1:16" x14ac:dyDescent="0.3">
      <c r="A1338" s="27"/>
      <c r="B1338" s="27"/>
      <c r="C1338" s="27"/>
      <c r="D1338" s="27"/>
      <c r="E1338" s="27"/>
      <c r="F1338" s="27"/>
      <c r="G1338" s="27"/>
      <c r="H1338" s="27"/>
      <c r="I1338" s="28"/>
      <c r="J1338" s="27"/>
      <c r="K1338" s="29"/>
      <c r="L1338" s="31"/>
      <c r="M1338" s="28"/>
      <c r="N1338" s="30"/>
      <c r="O1338" s="27"/>
      <c r="P1338" s="137"/>
    </row>
    <row r="1339" spans="1:16" x14ac:dyDescent="0.3">
      <c r="A1339" s="27"/>
      <c r="B1339" s="27"/>
      <c r="C1339" s="27"/>
      <c r="D1339" s="27"/>
      <c r="E1339" s="27"/>
      <c r="F1339" s="27"/>
      <c r="G1339" s="27"/>
      <c r="H1339" s="27"/>
      <c r="I1339" s="28"/>
      <c r="J1339" s="27"/>
      <c r="K1339" s="29"/>
      <c r="L1339" s="31"/>
      <c r="M1339" s="28"/>
      <c r="N1339" s="30"/>
      <c r="O1339" s="27"/>
      <c r="P1339" s="137"/>
    </row>
    <row r="1340" spans="1:16" x14ac:dyDescent="0.3">
      <c r="A1340" s="27"/>
      <c r="B1340" s="27"/>
      <c r="C1340" s="27"/>
      <c r="D1340" s="27"/>
      <c r="E1340" s="27"/>
      <c r="F1340" s="27"/>
      <c r="G1340" s="27"/>
      <c r="H1340" s="27"/>
      <c r="I1340" s="28"/>
      <c r="J1340" s="27"/>
      <c r="K1340" s="29"/>
      <c r="L1340" s="31"/>
      <c r="M1340" s="28"/>
      <c r="N1340" s="30"/>
      <c r="O1340" s="27"/>
      <c r="P1340" s="137"/>
    </row>
    <row r="1341" spans="1:16" x14ac:dyDescent="0.3">
      <c r="A1341" s="27"/>
      <c r="B1341" s="27"/>
      <c r="C1341" s="27"/>
      <c r="D1341" s="27"/>
      <c r="E1341" s="27"/>
      <c r="F1341" s="27"/>
      <c r="G1341" s="27"/>
      <c r="H1341" s="27"/>
      <c r="I1341" s="28"/>
      <c r="J1341" s="27"/>
      <c r="K1341" s="29"/>
      <c r="L1341" s="31"/>
      <c r="M1341" s="28"/>
      <c r="N1341" s="30"/>
      <c r="O1341" s="27"/>
      <c r="P1341" s="137"/>
    </row>
    <row r="1342" spans="1:16" x14ac:dyDescent="0.3">
      <c r="A1342" s="27"/>
      <c r="B1342" s="27"/>
      <c r="C1342" s="27"/>
      <c r="D1342" s="27"/>
      <c r="E1342" s="27"/>
      <c r="F1342" s="27"/>
      <c r="G1342" s="27"/>
      <c r="H1342" s="27"/>
      <c r="I1342" s="28"/>
      <c r="J1342" s="27"/>
      <c r="K1342" s="29"/>
      <c r="L1342" s="31"/>
      <c r="M1342" s="28"/>
      <c r="N1342" s="30"/>
      <c r="O1342" s="27"/>
      <c r="P1342" s="137"/>
    </row>
    <row r="1343" spans="1:16" x14ac:dyDescent="0.3">
      <c r="A1343" s="27"/>
      <c r="B1343" s="27"/>
      <c r="C1343" s="27"/>
      <c r="D1343" s="27"/>
      <c r="E1343" s="27"/>
      <c r="F1343" s="27"/>
      <c r="G1343" s="27"/>
      <c r="H1343" s="27"/>
      <c r="I1343" s="28"/>
      <c r="J1343" s="27"/>
      <c r="K1343" s="29"/>
      <c r="L1343" s="31"/>
      <c r="M1343" s="28"/>
      <c r="N1343" s="30"/>
      <c r="O1343" s="27"/>
      <c r="P1343" s="137"/>
    </row>
    <row r="1344" spans="1:16" x14ac:dyDescent="0.3">
      <c r="A1344" s="27"/>
      <c r="B1344" s="27"/>
      <c r="C1344" s="27"/>
      <c r="D1344" s="27"/>
      <c r="E1344" s="27"/>
      <c r="F1344" s="27"/>
      <c r="G1344" s="27"/>
      <c r="H1344" s="27"/>
      <c r="I1344" s="28"/>
      <c r="J1344" s="27"/>
      <c r="K1344" s="29"/>
      <c r="L1344" s="31"/>
      <c r="M1344" s="28"/>
      <c r="N1344" s="30"/>
      <c r="O1344" s="27"/>
      <c r="P1344" s="137"/>
    </row>
    <row r="1345" spans="1:16" x14ac:dyDescent="0.3">
      <c r="A1345" s="27"/>
      <c r="B1345" s="27"/>
      <c r="C1345" s="27"/>
      <c r="D1345" s="27"/>
      <c r="E1345" s="27"/>
      <c r="F1345" s="27"/>
      <c r="G1345" s="27"/>
      <c r="H1345" s="27"/>
      <c r="I1345" s="28"/>
      <c r="J1345" s="27"/>
      <c r="K1345" s="29"/>
      <c r="L1345" s="31"/>
      <c r="M1345" s="28"/>
      <c r="N1345" s="30"/>
      <c r="O1345" s="27"/>
      <c r="P1345" s="137"/>
    </row>
    <row r="1346" spans="1:16" x14ac:dyDescent="0.3">
      <c r="A1346" s="27"/>
      <c r="B1346" s="27"/>
      <c r="C1346" s="27"/>
      <c r="D1346" s="27"/>
      <c r="E1346" s="27"/>
      <c r="F1346" s="27"/>
      <c r="G1346" s="27"/>
      <c r="H1346" s="27"/>
      <c r="I1346" s="28"/>
      <c r="J1346" s="27"/>
      <c r="K1346" s="29"/>
      <c r="L1346" s="31"/>
      <c r="M1346" s="28"/>
      <c r="N1346" s="30"/>
      <c r="O1346" s="27"/>
      <c r="P1346" s="137"/>
    </row>
    <row r="1347" spans="1:16" x14ac:dyDescent="0.3">
      <c r="A1347" s="27"/>
      <c r="B1347" s="27"/>
      <c r="C1347" s="27"/>
      <c r="D1347" s="27"/>
      <c r="E1347" s="27"/>
      <c r="F1347" s="27"/>
      <c r="G1347" s="27"/>
      <c r="H1347" s="27"/>
      <c r="I1347" s="28"/>
      <c r="J1347" s="27"/>
      <c r="K1347" s="29"/>
      <c r="L1347" s="31"/>
      <c r="M1347" s="28"/>
      <c r="N1347" s="30"/>
      <c r="O1347" s="27"/>
      <c r="P1347" s="137"/>
    </row>
    <row r="1348" spans="1:16" x14ac:dyDescent="0.3">
      <c r="A1348" s="27"/>
      <c r="B1348" s="27"/>
      <c r="C1348" s="27"/>
      <c r="D1348" s="27"/>
      <c r="E1348" s="27"/>
      <c r="F1348" s="27"/>
      <c r="G1348" s="27"/>
      <c r="H1348" s="27"/>
      <c r="I1348" s="28"/>
      <c r="J1348" s="27"/>
      <c r="K1348" s="29"/>
      <c r="L1348" s="31"/>
      <c r="M1348" s="28"/>
      <c r="N1348" s="30"/>
      <c r="O1348" s="27"/>
      <c r="P1348" s="137"/>
    </row>
    <row r="1349" spans="1:16" x14ac:dyDescent="0.3">
      <c r="A1349" s="27"/>
      <c r="B1349" s="27"/>
      <c r="C1349" s="27"/>
      <c r="D1349" s="27"/>
      <c r="E1349" s="27"/>
      <c r="F1349" s="27"/>
      <c r="G1349" s="27"/>
      <c r="H1349" s="27"/>
      <c r="I1349" s="28"/>
      <c r="J1349" s="27"/>
      <c r="K1349" s="29"/>
      <c r="L1349" s="31"/>
      <c r="M1349" s="28"/>
      <c r="N1349" s="30"/>
      <c r="O1349" s="27"/>
      <c r="P1349" s="137"/>
    </row>
    <row r="1350" spans="1:16" x14ac:dyDescent="0.3">
      <c r="A1350" s="27"/>
      <c r="B1350" s="27"/>
      <c r="C1350" s="27"/>
      <c r="D1350" s="27"/>
      <c r="E1350" s="27"/>
      <c r="F1350" s="27"/>
      <c r="G1350" s="27"/>
      <c r="H1350" s="27"/>
      <c r="I1350" s="28"/>
      <c r="J1350" s="27"/>
      <c r="K1350" s="29"/>
      <c r="L1350" s="31"/>
      <c r="M1350" s="28"/>
      <c r="N1350" s="30"/>
      <c r="O1350" s="27"/>
      <c r="P1350" s="137"/>
    </row>
    <row r="1351" spans="1:16" x14ac:dyDescent="0.3">
      <c r="A1351" s="27"/>
      <c r="B1351" s="27"/>
      <c r="C1351" s="27"/>
      <c r="D1351" s="27"/>
      <c r="E1351" s="27"/>
      <c r="F1351" s="27"/>
      <c r="G1351" s="27"/>
      <c r="H1351" s="27"/>
      <c r="I1351" s="28"/>
      <c r="J1351" s="27"/>
      <c r="K1351" s="29"/>
      <c r="L1351" s="31"/>
      <c r="M1351" s="28"/>
      <c r="N1351" s="30"/>
      <c r="O1351" s="27"/>
      <c r="P1351" s="137"/>
    </row>
    <row r="1352" spans="1:16" x14ac:dyDescent="0.3">
      <c r="A1352" s="27"/>
      <c r="B1352" s="27"/>
      <c r="C1352" s="27"/>
      <c r="D1352" s="27"/>
      <c r="E1352" s="27"/>
      <c r="F1352" s="27"/>
      <c r="G1352" s="27"/>
      <c r="H1352" s="27"/>
      <c r="I1352" s="28"/>
      <c r="J1352" s="27"/>
      <c r="K1352" s="29"/>
      <c r="L1352" s="31"/>
      <c r="M1352" s="28"/>
      <c r="N1352" s="30"/>
      <c r="O1352" s="27"/>
      <c r="P1352" s="137"/>
    </row>
    <row r="1353" spans="1:16" x14ac:dyDescent="0.3">
      <c r="A1353" s="27"/>
      <c r="B1353" s="27"/>
      <c r="C1353" s="27"/>
      <c r="D1353" s="27"/>
      <c r="E1353" s="27"/>
      <c r="F1353" s="27"/>
      <c r="G1353" s="27"/>
      <c r="H1353" s="27"/>
      <c r="I1353" s="28"/>
      <c r="J1353" s="27"/>
      <c r="K1353" s="29"/>
      <c r="L1353" s="31"/>
      <c r="M1353" s="28"/>
      <c r="N1353" s="30"/>
      <c r="O1353" s="27"/>
      <c r="P1353" s="137"/>
    </row>
    <row r="1354" spans="1:16" x14ac:dyDescent="0.3">
      <c r="A1354" s="27"/>
      <c r="B1354" s="27"/>
      <c r="C1354" s="27"/>
      <c r="D1354" s="27"/>
      <c r="E1354" s="27"/>
      <c r="F1354" s="27"/>
      <c r="G1354" s="27"/>
      <c r="H1354" s="27"/>
      <c r="I1354" s="28"/>
      <c r="J1354" s="27"/>
      <c r="K1354" s="29"/>
      <c r="L1354" s="31"/>
      <c r="M1354" s="28"/>
      <c r="N1354" s="30"/>
      <c r="O1354" s="27"/>
      <c r="P1354" s="137"/>
    </row>
    <row r="1355" spans="1:16" x14ac:dyDescent="0.3">
      <c r="A1355" s="27"/>
      <c r="B1355" s="27"/>
      <c r="C1355" s="27"/>
      <c r="D1355" s="27"/>
      <c r="E1355" s="27"/>
      <c r="F1355" s="27"/>
      <c r="G1355" s="27"/>
      <c r="H1355" s="27"/>
      <c r="I1355" s="28"/>
      <c r="J1355" s="27"/>
      <c r="K1355" s="29"/>
      <c r="L1355" s="31"/>
      <c r="M1355" s="28"/>
      <c r="N1355" s="30"/>
      <c r="O1355" s="27"/>
      <c r="P1355" s="137"/>
    </row>
    <row r="1356" spans="1:16" x14ac:dyDescent="0.3">
      <c r="A1356" s="27"/>
      <c r="B1356" s="27"/>
      <c r="C1356" s="27"/>
      <c r="D1356" s="27"/>
      <c r="E1356" s="27"/>
      <c r="F1356" s="27"/>
      <c r="G1356" s="27"/>
      <c r="H1356" s="27"/>
      <c r="I1356" s="28"/>
      <c r="J1356" s="27"/>
      <c r="K1356" s="29"/>
      <c r="L1356" s="31"/>
      <c r="M1356" s="28"/>
      <c r="N1356" s="30"/>
      <c r="O1356" s="27"/>
      <c r="P1356" s="137"/>
    </row>
    <row r="1357" spans="1:16" x14ac:dyDescent="0.3">
      <c r="A1357" s="27"/>
      <c r="B1357" s="27"/>
      <c r="C1357" s="27"/>
      <c r="D1357" s="27"/>
      <c r="E1357" s="27"/>
      <c r="F1357" s="27"/>
      <c r="G1357" s="27"/>
      <c r="H1357" s="27"/>
      <c r="I1357" s="28"/>
      <c r="J1357" s="27"/>
      <c r="K1357" s="29"/>
      <c r="L1357" s="31"/>
      <c r="M1357" s="28"/>
      <c r="N1357" s="30"/>
      <c r="O1357" s="27"/>
      <c r="P1357" s="137"/>
    </row>
    <row r="1358" spans="1:16" x14ac:dyDescent="0.3">
      <c r="A1358" s="27"/>
      <c r="B1358" s="27"/>
      <c r="C1358" s="27"/>
      <c r="D1358" s="27"/>
      <c r="E1358" s="27"/>
      <c r="F1358" s="27"/>
      <c r="G1358" s="27"/>
      <c r="H1358" s="27"/>
      <c r="I1358" s="28"/>
      <c r="J1358" s="27"/>
      <c r="K1358" s="29"/>
      <c r="L1358" s="31"/>
      <c r="M1358" s="28"/>
      <c r="N1358" s="30"/>
      <c r="O1358" s="27"/>
      <c r="P1358" s="137"/>
    </row>
    <row r="1359" spans="1:16" x14ac:dyDescent="0.3">
      <c r="A1359" s="27"/>
      <c r="B1359" s="27"/>
      <c r="C1359" s="27"/>
      <c r="D1359" s="27"/>
      <c r="E1359" s="27"/>
      <c r="F1359" s="27"/>
      <c r="G1359" s="27"/>
      <c r="H1359" s="27"/>
      <c r="I1359" s="28"/>
      <c r="J1359" s="27"/>
      <c r="K1359" s="29"/>
      <c r="L1359" s="31"/>
      <c r="M1359" s="28"/>
      <c r="N1359" s="30"/>
      <c r="O1359" s="27"/>
      <c r="P1359" s="137"/>
    </row>
    <row r="1360" spans="1:16" x14ac:dyDescent="0.3">
      <c r="A1360" s="27"/>
      <c r="B1360" s="27"/>
      <c r="C1360" s="27"/>
      <c r="D1360" s="27"/>
      <c r="E1360" s="27"/>
      <c r="F1360" s="27"/>
      <c r="G1360" s="27"/>
      <c r="H1360" s="27"/>
      <c r="I1360" s="28"/>
      <c r="J1360" s="27"/>
      <c r="K1360" s="29"/>
      <c r="L1360" s="31"/>
      <c r="M1360" s="28"/>
      <c r="N1360" s="30"/>
      <c r="O1360" s="27"/>
      <c r="P1360" s="137"/>
    </row>
    <row r="1361" spans="1:16" x14ac:dyDescent="0.3">
      <c r="A1361" s="27"/>
      <c r="B1361" s="27"/>
      <c r="C1361" s="27"/>
      <c r="D1361" s="27"/>
      <c r="E1361" s="27"/>
      <c r="F1361" s="27"/>
      <c r="G1361" s="27"/>
      <c r="H1361" s="27"/>
      <c r="I1361" s="28"/>
      <c r="J1361" s="27"/>
      <c r="K1361" s="29"/>
      <c r="L1361" s="31"/>
      <c r="M1361" s="28"/>
      <c r="N1361" s="30"/>
      <c r="O1361" s="27"/>
      <c r="P1361" s="137"/>
    </row>
    <row r="1362" spans="1:16" x14ac:dyDescent="0.3">
      <c r="A1362" s="27"/>
      <c r="B1362" s="27"/>
      <c r="C1362" s="27"/>
      <c r="D1362" s="27"/>
      <c r="E1362" s="27"/>
      <c r="F1362" s="27"/>
      <c r="G1362" s="27"/>
      <c r="H1362" s="27"/>
      <c r="I1362" s="28"/>
      <c r="J1362" s="27"/>
      <c r="K1362" s="29"/>
      <c r="L1362" s="31"/>
      <c r="M1362" s="28"/>
      <c r="N1362" s="30"/>
      <c r="O1362" s="27"/>
      <c r="P1362" s="137"/>
    </row>
    <row r="1363" spans="1:16" x14ac:dyDescent="0.3">
      <c r="A1363" s="27"/>
      <c r="B1363" s="27"/>
      <c r="C1363" s="27"/>
      <c r="D1363" s="27"/>
      <c r="E1363" s="27"/>
      <c r="F1363" s="27"/>
      <c r="G1363" s="27"/>
      <c r="H1363" s="27"/>
      <c r="I1363" s="28"/>
      <c r="J1363" s="27"/>
      <c r="K1363" s="29"/>
      <c r="L1363" s="31"/>
      <c r="M1363" s="28"/>
      <c r="N1363" s="30"/>
      <c r="O1363" s="27"/>
      <c r="P1363" s="137"/>
    </row>
    <row r="1364" spans="1:16" x14ac:dyDescent="0.3">
      <c r="A1364" s="27"/>
      <c r="B1364" s="27"/>
      <c r="C1364" s="27"/>
      <c r="D1364" s="27"/>
      <c r="E1364" s="27"/>
      <c r="F1364" s="27"/>
      <c r="G1364" s="27"/>
      <c r="H1364" s="27"/>
      <c r="I1364" s="28"/>
      <c r="J1364" s="27"/>
      <c r="K1364" s="29"/>
      <c r="L1364" s="31"/>
      <c r="M1364" s="28"/>
      <c r="N1364" s="30"/>
      <c r="O1364" s="27"/>
      <c r="P1364" s="137"/>
    </row>
    <row r="1365" spans="1:16" x14ac:dyDescent="0.3">
      <c r="A1365" s="27"/>
      <c r="B1365" s="27"/>
      <c r="C1365" s="27"/>
      <c r="D1365" s="27"/>
      <c r="E1365" s="27"/>
      <c r="F1365" s="27"/>
      <c r="G1365" s="27"/>
      <c r="H1365" s="27"/>
      <c r="I1365" s="28"/>
      <c r="J1365" s="27"/>
      <c r="K1365" s="29"/>
      <c r="L1365" s="31"/>
      <c r="M1365" s="28"/>
      <c r="N1365" s="30"/>
      <c r="O1365" s="27"/>
      <c r="P1365" s="137"/>
    </row>
    <row r="1366" spans="1:16" x14ac:dyDescent="0.3">
      <c r="A1366" s="27"/>
      <c r="B1366" s="27"/>
      <c r="C1366" s="27"/>
      <c r="D1366" s="27"/>
      <c r="E1366" s="27"/>
      <c r="F1366" s="27"/>
      <c r="G1366" s="27"/>
      <c r="H1366" s="27"/>
      <c r="I1366" s="28"/>
      <c r="J1366" s="27"/>
      <c r="K1366" s="29"/>
      <c r="L1366" s="31"/>
      <c r="M1366" s="28"/>
      <c r="N1366" s="30"/>
      <c r="O1366" s="27"/>
      <c r="P1366" s="137"/>
    </row>
    <row r="1367" spans="1:16" x14ac:dyDescent="0.3">
      <c r="A1367" s="27"/>
      <c r="B1367" s="27"/>
      <c r="C1367" s="27"/>
      <c r="D1367" s="27"/>
      <c r="E1367" s="27"/>
      <c r="F1367" s="27"/>
      <c r="G1367" s="27"/>
      <c r="H1367" s="27"/>
      <c r="I1367" s="28"/>
      <c r="J1367" s="27"/>
      <c r="K1367" s="29"/>
      <c r="L1367" s="31"/>
      <c r="M1367" s="28"/>
      <c r="N1367" s="30"/>
      <c r="O1367" s="27"/>
      <c r="P1367" s="137"/>
    </row>
    <row r="1368" spans="1:16" x14ac:dyDescent="0.3">
      <c r="A1368" s="27"/>
      <c r="B1368" s="27"/>
      <c r="C1368" s="27"/>
      <c r="D1368" s="27"/>
      <c r="E1368" s="27"/>
      <c r="F1368" s="27"/>
      <c r="G1368" s="27"/>
      <c r="H1368" s="27"/>
      <c r="I1368" s="28"/>
      <c r="J1368" s="27"/>
      <c r="K1368" s="29"/>
      <c r="L1368" s="31"/>
      <c r="M1368" s="28"/>
      <c r="N1368" s="30"/>
      <c r="O1368" s="27"/>
      <c r="P1368" s="137"/>
    </row>
    <row r="1369" spans="1:16" x14ac:dyDescent="0.3">
      <c r="A1369" s="27"/>
      <c r="B1369" s="27"/>
      <c r="C1369" s="27"/>
      <c r="D1369" s="27"/>
      <c r="E1369" s="27"/>
      <c r="F1369" s="27"/>
      <c r="G1369" s="27"/>
      <c r="H1369" s="27"/>
      <c r="I1369" s="28"/>
      <c r="J1369" s="27"/>
      <c r="K1369" s="29"/>
      <c r="L1369" s="31"/>
      <c r="M1369" s="28"/>
      <c r="N1369" s="30"/>
      <c r="O1369" s="27"/>
      <c r="P1369" s="137"/>
    </row>
    <row r="1370" spans="1:16" x14ac:dyDescent="0.3">
      <c r="A1370" s="27"/>
      <c r="B1370" s="27"/>
      <c r="C1370" s="27"/>
      <c r="D1370" s="27"/>
      <c r="E1370" s="27"/>
      <c r="F1370" s="27"/>
      <c r="G1370" s="27"/>
      <c r="H1370" s="27"/>
      <c r="I1370" s="28"/>
      <c r="J1370" s="27"/>
      <c r="K1370" s="29"/>
      <c r="L1370" s="31"/>
      <c r="M1370" s="28"/>
      <c r="N1370" s="30"/>
      <c r="O1370" s="27"/>
      <c r="P1370" s="137"/>
    </row>
    <row r="1371" spans="1:16" x14ac:dyDescent="0.3">
      <c r="A1371" s="27"/>
      <c r="B1371" s="27"/>
      <c r="C1371" s="27"/>
      <c r="D1371" s="27"/>
      <c r="E1371" s="27"/>
      <c r="F1371" s="27"/>
      <c r="G1371" s="27"/>
      <c r="H1371" s="27"/>
      <c r="I1371" s="28"/>
      <c r="J1371" s="27"/>
      <c r="K1371" s="29"/>
      <c r="L1371" s="31"/>
      <c r="M1371" s="28"/>
      <c r="N1371" s="30"/>
      <c r="O1371" s="27"/>
      <c r="P1371" s="137"/>
    </row>
    <row r="1372" spans="1:16" x14ac:dyDescent="0.3">
      <c r="A1372" s="27"/>
      <c r="B1372" s="27"/>
      <c r="C1372" s="27"/>
      <c r="D1372" s="27"/>
      <c r="E1372" s="27"/>
      <c r="F1372" s="27"/>
      <c r="G1372" s="27"/>
      <c r="H1372" s="27"/>
      <c r="I1372" s="28"/>
      <c r="J1372" s="27"/>
      <c r="K1372" s="29"/>
      <c r="L1372" s="31"/>
      <c r="M1372" s="28"/>
      <c r="N1372" s="30"/>
      <c r="O1372" s="27"/>
      <c r="P1372" s="137"/>
    </row>
    <row r="1373" spans="1:16" x14ac:dyDescent="0.3">
      <c r="A1373" s="27"/>
      <c r="B1373" s="27"/>
      <c r="C1373" s="27"/>
      <c r="D1373" s="27"/>
      <c r="E1373" s="27"/>
      <c r="F1373" s="27"/>
      <c r="G1373" s="27"/>
      <c r="H1373" s="27"/>
      <c r="I1373" s="28"/>
      <c r="J1373" s="27"/>
      <c r="K1373" s="29"/>
      <c r="L1373" s="31"/>
      <c r="M1373" s="28"/>
      <c r="N1373" s="30"/>
      <c r="O1373" s="27"/>
      <c r="P1373" s="137"/>
    </row>
    <row r="1374" spans="1:16" x14ac:dyDescent="0.3">
      <c r="A1374" s="27"/>
      <c r="B1374" s="27"/>
      <c r="C1374" s="27"/>
      <c r="D1374" s="27"/>
      <c r="E1374" s="27"/>
      <c r="F1374" s="27"/>
      <c r="G1374" s="27"/>
      <c r="H1374" s="27"/>
      <c r="I1374" s="28"/>
      <c r="J1374" s="27"/>
      <c r="K1374" s="29"/>
      <c r="L1374" s="31"/>
      <c r="M1374" s="28"/>
      <c r="N1374" s="30"/>
      <c r="O1374" s="27"/>
      <c r="P1374" s="137"/>
    </row>
    <row r="1375" spans="1:16" x14ac:dyDescent="0.3">
      <c r="A1375" s="27"/>
      <c r="B1375" s="27"/>
      <c r="C1375" s="27"/>
      <c r="D1375" s="27"/>
      <c r="E1375" s="27"/>
      <c r="F1375" s="27"/>
      <c r="G1375" s="27"/>
      <c r="H1375" s="27"/>
      <c r="I1375" s="28"/>
      <c r="J1375" s="27"/>
      <c r="K1375" s="29"/>
      <c r="L1375" s="31"/>
      <c r="M1375" s="28"/>
      <c r="N1375" s="30"/>
      <c r="O1375" s="27"/>
      <c r="P1375" s="137"/>
    </row>
    <row r="1376" spans="1:16" x14ac:dyDescent="0.3">
      <c r="A1376" s="27"/>
      <c r="B1376" s="27"/>
      <c r="C1376" s="27"/>
      <c r="D1376" s="27"/>
      <c r="E1376" s="27"/>
      <c r="F1376" s="27"/>
      <c r="G1376" s="27"/>
      <c r="H1376" s="27"/>
      <c r="I1376" s="28"/>
      <c r="J1376" s="27"/>
      <c r="K1376" s="29"/>
      <c r="L1376" s="31"/>
      <c r="M1376" s="28"/>
      <c r="N1376" s="30"/>
      <c r="O1376" s="27"/>
      <c r="P1376" s="137"/>
    </row>
    <row r="1377" spans="1:16" x14ac:dyDescent="0.3">
      <c r="A1377" s="27"/>
      <c r="B1377" s="27"/>
      <c r="C1377" s="27"/>
      <c r="D1377" s="27"/>
      <c r="E1377" s="27"/>
      <c r="F1377" s="27"/>
      <c r="G1377" s="27"/>
      <c r="H1377" s="27"/>
      <c r="I1377" s="28"/>
      <c r="J1377" s="27"/>
      <c r="K1377" s="29"/>
      <c r="L1377" s="31"/>
      <c r="M1377" s="28"/>
      <c r="N1377" s="30"/>
      <c r="O1377" s="27"/>
      <c r="P1377" s="137"/>
    </row>
    <row r="1378" spans="1:16" x14ac:dyDescent="0.3">
      <c r="A1378" s="27"/>
      <c r="B1378" s="27"/>
      <c r="C1378" s="27"/>
      <c r="D1378" s="27"/>
      <c r="E1378" s="27"/>
      <c r="F1378" s="27"/>
      <c r="G1378" s="27"/>
      <c r="H1378" s="27"/>
      <c r="I1378" s="28"/>
      <c r="J1378" s="27"/>
      <c r="K1378" s="29"/>
      <c r="L1378" s="31"/>
      <c r="M1378" s="28"/>
      <c r="N1378" s="30"/>
      <c r="O1378" s="27"/>
      <c r="P1378" s="137"/>
    </row>
    <row r="1379" spans="1:16" x14ac:dyDescent="0.3">
      <c r="A1379" s="27"/>
      <c r="B1379" s="27"/>
      <c r="C1379" s="27"/>
      <c r="D1379" s="27"/>
      <c r="E1379" s="27"/>
      <c r="F1379" s="27"/>
      <c r="G1379" s="27"/>
      <c r="H1379" s="27"/>
      <c r="I1379" s="28"/>
      <c r="J1379" s="27"/>
      <c r="K1379" s="29"/>
      <c r="L1379" s="31"/>
      <c r="M1379" s="28"/>
      <c r="N1379" s="30"/>
      <c r="O1379" s="27"/>
      <c r="P1379" s="137"/>
    </row>
    <row r="1380" spans="1:16" x14ac:dyDescent="0.3">
      <c r="A1380" s="27"/>
      <c r="B1380" s="27"/>
      <c r="C1380" s="27"/>
      <c r="D1380" s="27"/>
      <c r="E1380" s="27"/>
      <c r="F1380" s="27"/>
      <c r="G1380" s="27"/>
      <c r="H1380" s="27"/>
      <c r="I1380" s="28"/>
      <c r="J1380" s="27"/>
      <c r="K1380" s="29"/>
      <c r="L1380" s="31"/>
      <c r="M1380" s="28"/>
      <c r="N1380" s="30"/>
      <c r="O1380" s="27"/>
      <c r="P1380" s="137"/>
    </row>
    <row r="1381" spans="1:16" x14ac:dyDescent="0.3">
      <c r="A1381" s="27"/>
      <c r="B1381" s="27"/>
      <c r="C1381" s="27"/>
      <c r="D1381" s="27"/>
      <c r="E1381" s="27"/>
      <c r="F1381" s="27"/>
      <c r="G1381" s="27"/>
      <c r="H1381" s="27"/>
      <c r="I1381" s="28"/>
      <c r="J1381" s="27"/>
      <c r="K1381" s="29"/>
      <c r="L1381" s="31"/>
      <c r="M1381" s="28"/>
      <c r="N1381" s="30"/>
      <c r="O1381" s="27"/>
      <c r="P1381" s="137"/>
    </row>
    <row r="1382" spans="1:16" x14ac:dyDescent="0.3">
      <c r="A1382" s="27"/>
      <c r="B1382" s="27"/>
      <c r="C1382" s="27"/>
      <c r="D1382" s="27"/>
      <c r="E1382" s="27"/>
      <c r="F1382" s="27"/>
      <c r="G1382" s="27"/>
      <c r="H1382" s="27"/>
      <c r="I1382" s="28"/>
      <c r="J1382" s="27"/>
      <c r="K1382" s="29"/>
      <c r="L1382" s="31"/>
      <c r="M1382" s="28"/>
      <c r="N1382" s="30"/>
      <c r="O1382" s="27"/>
      <c r="P1382" s="137"/>
    </row>
    <row r="1383" spans="1:16" x14ac:dyDescent="0.3">
      <c r="A1383" s="27"/>
      <c r="B1383" s="27"/>
      <c r="C1383" s="27"/>
      <c r="D1383" s="27"/>
      <c r="E1383" s="27"/>
      <c r="F1383" s="27"/>
      <c r="G1383" s="27"/>
      <c r="H1383" s="27"/>
      <c r="I1383" s="28"/>
      <c r="J1383" s="27"/>
      <c r="K1383" s="29"/>
      <c r="L1383" s="31"/>
      <c r="M1383" s="28"/>
      <c r="N1383" s="30"/>
      <c r="O1383" s="27"/>
      <c r="P1383" s="137"/>
    </row>
    <row r="1384" spans="1:16" x14ac:dyDescent="0.3">
      <c r="A1384" s="27"/>
      <c r="B1384" s="27"/>
      <c r="C1384" s="27"/>
      <c r="D1384" s="27"/>
      <c r="E1384" s="27"/>
      <c r="F1384" s="27"/>
      <c r="G1384" s="27"/>
      <c r="H1384" s="27"/>
      <c r="I1384" s="28"/>
      <c r="J1384" s="27"/>
      <c r="K1384" s="29"/>
      <c r="L1384" s="31"/>
      <c r="M1384" s="28"/>
      <c r="N1384" s="30"/>
      <c r="O1384" s="27"/>
      <c r="P1384" s="137"/>
    </row>
    <row r="1385" spans="1:16" x14ac:dyDescent="0.3">
      <c r="A1385" s="27"/>
      <c r="B1385" s="27"/>
      <c r="C1385" s="27"/>
      <c r="D1385" s="27"/>
      <c r="E1385" s="27"/>
      <c r="F1385" s="27"/>
      <c r="G1385" s="27"/>
      <c r="H1385" s="27"/>
      <c r="I1385" s="28"/>
      <c r="J1385" s="27"/>
      <c r="K1385" s="29"/>
      <c r="L1385" s="31"/>
      <c r="M1385" s="28"/>
      <c r="N1385" s="30"/>
      <c r="O1385" s="27"/>
      <c r="P1385" s="137"/>
    </row>
    <row r="1386" spans="1:16" x14ac:dyDescent="0.3">
      <c r="A1386" s="27"/>
      <c r="B1386" s="27"/>
      <c r="C1386" s="27"/>
      <c r="D1386" s="27"/>
      <c r="E1386" s="27"/>
      <c r="F1386" s="27"/>
      <c r="G1386" s="27"/>
      <c r="H1386" s="27"/>
      <c r="I1386" s="28"/>
      <c r="J1386" s="27"/>
      <c r="K1386" s="29"/>
      <c r="L1386" s="31"/>
      <c r="M1386" s="28"/>
      <c r="N1386" s="30"/>
      <c r="O1386" s="27"/>
      <c r="P1386" s="137"/>
    </row>
    <row r="1387" spans="1:16" x14ac:dyDescent="0.3">
      <c r="A1387" s="27"/>
      <c r="B1387" s="27"/>
      <c r="C1387" s="27"/>
      <c r="D1387" s="27"/>
      <c r="E1387" s="27"/>
      <c r="F1387" s="27"/>
      <c r="G1387" s="27"/>
      <c r="H1387" s="27"/>
      <c r="I1387" s="28"/>
      <c r="J1387" s="27"/>
      <c r="K1387" s="29"/>
      <c r="L1387" s="31"/>
      <c r="M1387" s="28"/>
      <c r="N1387" s="30"/>
      <c r="O1387" s="27"/>
      <c r="P1387" s="137"/>
    </row>
    <row r="1388" spans="1:16" x14ac:dyDescent="0.3">
      <c r="A1388" s="27"/>
      <c r="B1388" s="27"/>
      <c r="C1388" s="27"/>
      <c r="D1388" s="27"/>
      <c r="E1388" s="27"/>
      <c r="F1388" s="27"/>
      <c r="G1388" s="27"/>
      <c r="H1388" s="27"/>
      <c r="I1388" s="28"/>
      <c r="J1388" s="27"/>
      <c r="K1388" s="29"/>
      <c r="L1388" s="31"/>
      <c r="M1388" s="28"/>
      <c r="N1388" s="30"/>
      <c r="O1388" s="27"/>
      <c r="P1388" s="137"/>
    </row>
    <row r="1389" spans="1:16" x14ac:dyDescent="0.3">
      <c r="A1389" s="27"/>
      <c r="B1389" s="27"/>
      <c r="C1389" s="27"/>
      <c r="D1389" s="27"/>
      <c r="E1389" s="27"/>
      <c r="F1389" s="27"/>
      <c r="G1389" s="27"/>
      <c r="H1389" s="27"/>
      <c r="I1389" s="28"/>
      <c r="J1389" s="27"/>
      <c r="K1389" s="29"/>
      <c r="L1389" s="31"/>
      <c r="M1389" s="28"/>
      <c r="N1389" s="30"/>
      <c r="O1389" s="27"/>
      <c r="P1389" s="137"/>
    </row>
    <row r="1390" spans="1:16" x14ac:dyDescent="0.3">
      <c r="A1390" s="27"/>
      <c r="B1390" s="27"/>
      <c r="C1390" s="27"/>
      <c r="D1390" s="27"/>
      <c r="E1390" s="27"/>
      <c r="F1390" s="27"/>
      <c r="G1390" s="27"/>
      <c r="H1390" s="27"/>
      <c r="I1390" s="28"/>
      <c r="J1390" s="27"/>
      <c r="K1390" s="29"/>
      <c r="L1390" s="31"/>
      <c r="M1390" s="28"/>
      <c r="N1390" s="30"/>
      <c r="O1390" s="27"/>
      <c r="P1390" s="137"/>
    </row>
    <row r="1391" spans="1:16" x14ac:dyDescent="0.3">
      <c r="A1391" s="27"/>
      <c r="B1391" s="27"/>
      <c r="C1391" s="27"/>
      <c r="D1391" s="27"/>
      <c r="E1391" s="27"/>
      <c r="F1391" s="27"/>
      <c r="G1391" s="27"/>
      <c r="H1391" s="27"/>
      <c r="I1391" s="28"/>
      <c r="J1391" s="27"/>
      <c r="K1391" s="29"/>
      <c r="L1391" s="31"/>
      <c r="M1391" s="28"/>
      <c r="N1391" s="30"/>
      <c r="O1391" s="27"/>
      <c r="P1391" s="137"/>
    </row>
    <row r="1392" spans="1:16" x14ac:dyDescent="0.3">
      <c r="A1392" s="27"/>
      <c r="B1392" s="27"/>
      <c r="C1392" s="27"/>
      <c r="D1392" s="27"/>
      <c r="E1392" s="27"/>
      <c r="F1392" s="27"/>
      <c r="G1392" s="27"/>
      <c r="H1392" s="27"/>
      <c r="I1392" s="28"/>
      <c r="J1392" s="27"/>
      <c r="K1392" s="29"/>
      <c r="L1392" s="31"/>
      <c r="M1392" s="28"/>
      <c r="N1392" s="30"/>
      <c r="O1392" s="27"/>
      <c r="P1392" s="137"/>
    </row>
    <row r="1393" spans="1:16" x14ac:dyDescent="0.3">
      <c r="A1393" s="27"/>
      <c r="B1393" s="27"/>
      <c r="C1393" s="27"/>
      <c r="D1393" s="27"/>
      <c r="E1393" s="27"/>
      <c r="F1393" s="27"/>
      <c r="G1393" s="27"/>
      <c r="H1393" s="27"/>
      <c r="I1393" s="28"/>
      <c r="J1393" s="27"/>
      <c r="K1393" s="29"/>
      <c r="L1393" s="31"/>
      <c r="M1393" s="28"/>
      <c r="N1393" s="30"/>
      <c r="O1393" s="27"/>
      <c r="P1393" s="137"/>
    </row>
    <row r="1394" spans="1:16" x14ac:dyDescent="0.3">
      <c r="A1394" s="27"/>
      <c r="B1394" s="27"/>
      <c r="C1394" s="27"/>
      <c r="D1394" s="27"/>
      <c r="E1394" s="27"/>
      <c r="F1394" s="27"/>
      <c r="G1394" s="27"/>
      <c r="H1394" s="27"/>
      <c r="I1394" s="28"/>
      <c r="J1394" s="27"/>
      <c r="K1394" s="29"/>
      <c r="L1394" s="31"/>
      <c r="M1394" s="28"/>
      <c r="N1394" s="30"/>
      <c r="O1394" s="27"/>
      <c r="P1394" s="137"/>
    </row>
    <row r="1395" spans="1:16" x14ac:dyDescent="0.3">
      <c r="A1395" s="27"/>
      <c r="B1395" s="27"/>
      <c r="C1395" s="27"/>
      <c r="D1395" s="27"/>
      <c r="E1395" s="27"/>
      <c r="F1395" s="27"/>
      <c r="G1395" s="27"/>
      <c r="H1395" s="27"/>
      <c r="I1395" s="28"/>
      <c r="J1395" s="27"/>
      <c r="K1395" s="29"/>
      <c r="L1395" s="31"/>
      <c r="M1395" s="28"/>
      <c r="N1395" s="30"/>
      <c r="O1395" s="27"/>
      <c r="P1395" s="137"/>
    </row>
    <row r="1396" spans="1:16" x14ac:dyDescent="0.3">
      <c r="A1396" s="27"/>
      <c r="B1396" s="27"/>
      <c r="C1396" s="27"/>
      <c r="D1396" s="27"/>
      <c r="E1396" s="27"/>
      <c r="F1396" s="27"/>
      <c r="G1396" s="27"/>
      <c r="H1396" s="27"/>
      <c r="I1396" s="28"/>
      <c r="J1396" s="27"/>
      <c r="K1396" s="29"/>
      <c r="L1396" s="31"/>
      <c r="M1396" s="28"/>
      <c r="N1396" s="30"/>
      <c r="O1396" s="27"/>
      <c r="P1396" s="137"/>
    </row>
    <row r="1397" spans="1:16" x14ac:dyDescent="0.3">
      <c r="A1397" s="27"/>
      <c r="B1397" s="27"/>
      <c r="C1397" s="27"/>
      <c r="D1397" s="27"/>
      <c r="E1397" s="27"/>
      <c r="F1397" s="27"/>
      <c r="G1397" s="27"/>
      <c r="H1397" s="27"/>
      <c r="I1397" s="28"/>
      <c r="J1397" s="27"/>
      <c r="K1397" s="29"/>
      <c r="L1397" s="31"/>
      <c r="M1397" s="28"/>
      <c r="N1397" s="30"/>
      <c r="O1397" s="27"/>
      <c r="P1397" s="137"/>
    </row>
    <row r="1398" spans="1:16" x14ac:dyDescent="0.3">
      <c r="A1398" s="27"/>
      <c r="B1398" s="27"/>
      <c r="C1398" s="27"/>
      <c r="D1398" s="27"/>
      <c r="E1398" s="27"/>
      <c r="F1398" s="27"/>
      <c r="G1398" s="27"/>
      <c r="H1398" s="27"/>
      <c r="I1398" s="28"/>
      <c r="J1398" s="27"/>
      <c r="K1398" s="29"/>
      <c r="L1398" s="31"/>
      <c r="M1398" s="28"/>
      <c r="N1398" s="30"/>
      <c r="O1398" s="27"/>
      <c r="P1398" s="137"/>
    </row>
    <row r="1399" spans="1:16" x14ac:dyDescent="0.3">
      <c r="A1399" s="27"/>
      <c r="B1399" s="27"/>
      <c r="C1399" s="27"/>
      <c r="D1399" s="27"/>
      <c r="E1399" s="27"/>
      <c r="F1399" s="27"/>
      <c r="G1399" s="27"/>
      <c r="H1399" s="27"/>
      <c r="I1399" s="28"/>
      <c r="J1399" s="27"/>
      <c r="K1399" s="29"/>
      <c r="L1399" s="31"/>
      <c r="M1399" s="28"/>
      <c r="N1399" s="30"/>
      <c r="O1399" s="27"/>
      <c r="P1399" s="137"/>
    </row>
    <row r="1400" spans="1:16" x14ac:dyDescent="0.3">
      <c r="A1400" s="27"/>
      <c r="B1400" s="27"/>
      <c r="C1400" s="27"/>
      <c r="D1400" s="27"/>
      <c r="E1400" s="27"/>
      <c r="F1400" s="27"/>
      <c r="G1400" s="27"/>
      <c r="H1400" s="27"/>
      <c r="I1400" s="28"/>
      <c r="J1400" s="27"/>
      <c r="K1400" s="29"/>
      <c r="L1400" s="31"/>
      <c r="M1400" s="28"/>
      <c r="N1400" s="30"/>
      <c r="O1400" s="27"/>
      <c r="P1400" s="137"/>
    </row>
    <row r="1401" spans="1:16" x14ac:dyDescent="0.3">
      <c r="A1401" s="27"/>
      <c r="B1401" s="27"/>
      <c r="C1401" s="27"/>
      <c r="D1401" s="27"/>
      <c r="E1401" s="27"/>
      <c r="F1401" s="27"/>
      <c r="G1401" s="27"/>
      <c r="H1401" s="27"/>
      <c r="I1401" s="28"/>
      <c r="J1401" s="27"/>
      <c r="K1401" s="29"/>
      <c r="L1401" s="31"/>
      <c r="M1401" s="28"/>
      <c r="N1401" s="30"/>
      <c r="O1401" s="27"/>
      <c r="P1401" s="137"/>
    </row>
    <row r="1402" spans="1:16" x14ac:dyDescent="0.3">
      <c r="A1402" s="27"/>
      <c r="B1402" s="27"/>
      <c r="C1402" s="27"/>
      <c r="D1402" s="27"/>
      <c r="E1402" s="27"/>
      <c r="F1402" s="27"/>
      <c r="G1402" s="27"/>
      <c r="H1402" s="27"/>
      <c r="I1402" s="28"/>
      <c r="J1402" s="27"/>
      <c r="K1402" s="29"/>
      <c r="L1402" s="31"/>
      <c r="M1402" s="28"/>
      <c r="N1402" s="30"/>
      <c r="O1402" s="27"/>
      <c r="P1402" s="137"/>
    </row>
    <row r="1403" spans="1:16" x14ac:dyDescent="0.3">
      <c r="A1403" s="27"/>
      <c r="B1403" s="27"/>
      <c r="C1403" s="27"/>
      <c r="D1403" s="27"/>
      <c r="E1403" s="27"/>
      <c r="F1403" s="27"/>
      <c r="G1403" s="27"/>
      <c r="H1403" s="27"/>
      <c r="I1403" s="28"/>
      <c r="J1403" s="27"/>
      <c r="K1403" s="29"/>
      <c r="L1403" s="31"/>
      <c r="M1403" s="28"/>
      <c r="N1403" s="30"/>
      <c r="O1403" s="27"/>
      <c r="P1403" s="137"/>
    </row>
    <row r="1404" spans="1:16" x14ac:dyDescent="0.3">
      <c r="A1404" s="27"/>
      <c r="B1404" s="27"/>
      <c r="C1404" s="27"/>
      <c r="D1404" s="27"/>
      <c r="E1404" s="27"/>
      <c r="F1404" s="27"/>
      <c r="G1404" s="27"/>
      <c r="H1404" s="27"/>
      <c r="I1404" s="28"/>
      <c r="J1404" s="27"/>
      <c r="K1404" s="29"/>
      <c r="L1404" s="31"/>
      <c r="M1404" s="28"/>
      <c r="N1404" s="30"/>
      <c r="O1404" s="27"/>
      <c r="P1404" s="137"/>
    </row>
    <row r="1405" spans="1:16" x14ac:dyDescent="0.3">
      <c r="A1405" s="27"/>
      <c r="B1405" s="27"/>
      <c r="C1405" s="27"/>
      <c r="D1405" s="27"/>
      <c r="E1405" s="27"/>
      <c r="F1405" s="27"/>
      <c r="G1405" s="27"/>
      <c r="H1405" s="27"/>
      <c r="I1405" s="28"/>
      <c r="J1405" s="27"/>
      <c r="K1405" s="29"/>
      <c r="L1405" s="31"/>
      <c r="M1405" s="28"/>
      <c r="N1405" s="30"/>
      <c r="O1405" s="27"/>
      <c r="P1405" s="137"/>
    </row>
    <row r="1406" spans="1:16" x14ac:dyDescent="0.3">
      <c r="A1406" s="27"/>
      <c r="B1406" s="27"/>
      <c r="C1406" s="27"/>
      <c r="D1406" s="27"/>
      <c r="E1406" s="27"/>
      <c r="F1406" s="27"/>
      <c r="G1406" s="27"/>
      <c r="H1406" s="27"/>
      <c r="I1406" s="28"/>
      <c r="J1406" s="27"/>
      <c r="K1406" s="29"/>
      <c r="L1406" s="31"/>
      <c r="M1406" s="28"/>
      <c r="N1406" s="30"/>
      <c r="O1406" s="27"/>
      <c r="P1406" s="137"/>
    </row>
    <row r="1407" spans="1:16" x14ac:dyDescent="0.3">
      <c r="A1407" s="27"/>
      <c r="B1407" s="27"/>
      <c r="C1407" s="27"/>
      <c r="D1407" s="27"/>
      <c r="E1407" s="27"/>
      <c r="F1407" s="27"/>
      <c r="G1407" s="27"/>
      <c r="H1407" s="27"/>
      <c r="I1407" s="28"/>
      <c r="J1407" s="27"/>
      <c r="K1407" s="29"/>
      <c r="L1407" s="31"/>
      <c r="M1407" s="28"/>
      <c r="N1407" s="30"/>
      <c r="O1407" s="27"/>
      <c r="P1407" s="137"/>
    </row>
    <row r="1408" spans="1:16" x14ac:dyDescent="0.3">
      <c r="A1408" s="27"/>
      <c r="B1408" s="27"/>
      <c r="C1408" s="27"/>
      <c r="D1408" s="27"/>
      <c r="E1408" s="27"/>
      <c r="F1408" s="27"/>
      <c r="G1408" s="27"/>
      <c r="H1408" s="27"/>
      <c r="I1408" s="28"/>
      <c r="J1408" s="27"/>
      <c r="K1408" s="29"/>
      <c r="L1408" s="31"/>
      <c r="M1408" s="28"/>
      <c r="N1408" s="30"/>
      <c r="O1408" s="27"/>
      <c r="P1408" s="137"/>
    </row>
    <row r="1409" spans="1:16" x14ac:dyDescent="0.3">
      <c r="A1409" s="27"/>
      <c r="B1409" s="27"/>
      <c r="C1409" s="27"/>
      <c r="D1409" s="27"/>
      <c r="E1409" s="27"/>
      <c r="F1409" s="27"/>
      <c r="G1409" s="27"/>
      <c r="H1409" s="27"/>
      <c r="I1409" s="28"/>
      <c r="J1409" s="27"/>
      <c r="K1409" s="29"/>
      <c r="L1409" s="31"/>
      <c r="M1409" s="28"/>
      <c r="N1409" s="30"/>
      <c r="O1409" s="27"/>
      <c r="P1409" s="137"/>
    </row>
    <row r="1410" spans="1:16" x14ac:dyDescent="0.3">
      <c r="A1410" s="27"/>
      <c r="B1410" s="27"/>
      <c r="C1410" s="27"/>
      <c r="D1410" s="27"/>
      <c r="E1410" s="27"/>
      <c r="F1410" s="27"/>
      <c r="G1410" s="27"/>
      <c r="H1410" s="27"/>
      <c r="I1410" s="28"/>
      <c r="J1410" s="27"/>
      <c r="K1410" s="29"/>
      <c r="L1410" s="31"/>
      <c r="M1410" s="28"/>
      <c r="N1410" s="30"/>
      <c r="O1410" s="27"/>
      <c r="P1410" s="137"/>
    </row>
    <row r="1411" spans="1:16" x14ac:dyDescent="0.3">
      <c r="A1411" s="27"/>
      <c r="B1411" s="27"/>
      <c r="C1411" s="27"/>
      <c r="D1411" s="27"/>
      <c r="E1411" s="27"/>
      <c r="F1411" s="27"/>
      <c r="G1411" s="27"/>
      <c r="H1411" s="27"/>
      <c r="I1411" s="28"/>
      <c r="J1411" s="27"/>
      <c r="K1411" s="29"/>
      <c r="L1411" s="31"/>
      <c r="M1411" s="28"/>
      <c r="N1411" s="30"/>
      <c r="O1411" s="27"/>
      <c r="P1411" s="137"/>
    </row>
    <row r="1412" spans="1:16" x14ac:dyDescent="0.3">
      <c r="A1412" s="27"/>
      <c r="B1412" s="27"/>
      <c r="C1412" s="27"/>
      <c r="D1412" s="27"/>
      <c r="E1412" s="27"/>
      <c r="F1412" s="27"/>
      <c r="G1412" s="27"/>
      <c r="H1412" s="27"/>
      <c r="I1412" s="28"/>
      <c r="J1412" s="27"/>
      <c r="K1412" s="29"/>
      <c r="L1412" s="31"/>
      <c r="M1412" s="28"/>
      <c r="N1412" s="30"/>
      <c r="O1412" s="27"/>
      <c r="P1412" s="137"/>
    </row>
    <row r="1413" spans="1:16" x14ac:dyDescent="0.3">
      <c r="A1413" s="27"/>
      <c r="B1413" s="27"/>
      <c r="C1413" s="27"/>
      <c r="D1413" s="27"/>
      <c r="E1413" s="27"/>
      <c r="F1413" s="27"/>
      <c r="G1413" s="27"/>
      <c r="H1413" s="27"/>
      <c r="I1413" s="28"/>
      <c r="J1413" s="27"/>
      <c r="K1413" s="29"/>
      <c r="L1413" s="31"/>
      <c r="M1413" s="28"/>
      <c r="N1413" s="30"/>
      <c r="O1413" s="27"/>
      <c r="P1413" s="137"/>
    </row>
    <row r="1414" spans="1:16" x14ac:dyDescent="0.3">
      <c r="A1414" s="27"/>
      <c r="B1414" s="27"/>
      <c r="C1414" s="27"/>
      <c r="D1414" s="27"/>
      <c r="E1414" s="27"/>
      <c r="F1414" s="27"/>
      <c r="G1414" s="27"/>
      <c r="H1414" s="27"/>
      <c r="I1414" s="28"/>
      <c r="J1414" s="27"/>
      <c r="K1414" s="29"/>
      <c r="L1414" s="31"/>
      <c r="M1414" s="28"/>
      <c r="N1414" s="30"/>
      <c r="O1414" s="27"/>
      <c r="P1414" s="137"/>
    </row>
    <row r="1415" spans="1:16" x14ac:dyDescent="0.3">
      <c r="A1415" s="27"/>
      <c r="B1415" s="27"/>
      <c r="C1415" s="27"/>
      <c r="D1415" s="27"/>
      <c r="E1415" s="27"/>
      <c r="F1415" s="27"/>
      <c r="G1415" s="27"/>
      <c r="H1415" s="27"/>
      <c r="I1415" s="28"/>
      <c r="J1415" s="27"/>
      <c r="K1415" s="29"/>
      <c r="L1415" s="31"/>
      <c r="M1415" s="28"/>
      <c r="N1415" s="30"/>
      <c r="O1415" s="27"/>
      <c r="P1415" s="137"/>
    </row>
    <row r="1416" spans="1:16" x14ac:dyDescent="0.3">
      <c r="A1416" s="27"/>
      <c r="B1416" s="27"/>
      <c r="C1416" s="27"/>
      <c r="D1416" s="27"/>
      <c r="E1416" s="27"/>
      <c r="F1416" s="27"/>
      <c r="G1416" s="27"/>
      <c r="H1416" s="27"/>
      <c r="I1416" s="28"/>
      <c r="J1416" s="27"/>
      <c r="K1416" s="29"/>
      <c r="L1416" s="31"/>
      <c r="M1416" s="28"/>
      <c r="N1416" s="30"/>
      <c r="O1416" s="27"/>
      <c r="P1416" s="137"/>
    </row>
    <row r="1417" spans="1:16" x14ac:dyDescent="0.3">
      <c r="A1417" s="27"/>
      <c r="B1417" s="27"/>
      <c r="C1417" s="27"/>
      <c r="D1417" s="27"/>
      <c r="E1417" s="27"/>
      <c r="F1417" s="27"/>
      <c r="G1417" s="27"/>
      <c r="H1417" s="27"/>
      <c r="I1417" s="28"/>
      <c r="J1417" s="27"/>
      <c r="K1417" s="29"/>
      <c r="L1417" s="31"/>
      <c r="M1417" s="28"/>
      <c r="N1417" s="30"/>
      <c r="O1417" s="27"/>
      <c r="P1417" s="137"/>
    </row>
    <row r="1418" spans="1:16" x14ac:dyDescent="0.3">
      <c r="A1418" s="27"/>
      <c r="B1418" s="27"/>
      <c r="C1418" s="27"/>
      <c r="D1418" s="27"/>
      <c r="E1418" s="27"/>
      <c r="F1418" s="27"/>
      <c r="G1418" s="27"/>
      <c r="H1418" s="27"/>
      <c r="I1418" s="28"/>
      <c r="J1418" s="27"/>
      <c r="K1418" s="29"/>
      <c r="L1418" s="31"/>
      <c r="M1418" s="28"/>
      <c r="N1418" s="30"/>
      <c r="O1418" s="27"/>
      <c r="P1418" s="137"/>
    </row>
    <row r="1419" spans="1:16" x14ac:dyDescent="0.3">
      <c r="A1419" s="27"/>
      <c r="B1419" s="27"/>
      <c r="C1419" s="27"/>
      <c r="D1419" s="27"/>
      <c r="E1419" s="27"/>
      <c r="F1419" s="27"/>
      <c r="G1419" s="27"/>
      <c r="H1419" s="27"/>
      <c r="I1419" s="28"/>
      <c r="J1419" s="27"/>
      <c r="K1419" s="29"/>
      <c r="L1419" s="31"/>
      <c r="M1419" s="28"/>
      <c r="N1419" s="30"/>
      <c r="O1419" s="27"/>
      <c r="P1419" s="137"/>
    </row>
    <row r="1420" spans="1:16" x14ac:dyDescent="0.3">
      <c r="A1420" s="27"/>
      <c r="B1420" s="27"/>
      <c r="C1420" s="27"/>
      <c r="D1420" s="27"/>
      <c r="E1420" s="27"/>
      <c r="F1420" s="27"/>
      <c r="G1420" s="27"/>
      <c r="H1420" s="27"/>
      <c r="I1420" s="28"/>
      <c r="J1420" s="27"/>
      <c r="K1420" s="29"/>
      <c r="L1420" s="31"/>
      <c r="M1420" s="28"/>
      <c r="N1420" s="30"/>
      <c r="O1420" s="27"/>
      <c r="P1420" s="137"/>
    </row>
    <row r="1421" spans="1:16" x14ac:dyDescent="0.3">
      <c r="A1421" s="27"/>
      <c r="B1421" s="27"/>
      <c r="C1421" s="27"/>
      <c r="D1421" s="27"/>
      <c r="E1421" s="27"/>
      <c r="F1421" s="27"/>
      <c r="G1421" s="27"/>
      <c r="H1421" s="27"/>
      <c r="I1421" s="28"/>
      <c r="J1421" s="27"/>
      <c r="K1421" s="29"/>
      <c r="L1421" s="31"/>
      <c r="M1421" s="28"/>
      <c r="N1421" s="30"/>
      <c r="O1421" s="27"/>
      <c r="P1421" s="137"/>
    </row>
    <row r="1422" spans="1:16" x14ac:dyDescent="0.3">
      <c r="A1422" s="27"/>
      <c r="B1422" s="27"/>
      <c r="C1422" s="27"/>
      <c r="D1422" s="27"/>
      <c r="E1422" s="27"/>
      <c r="F1422" s="27"/>
      <c r="G1422" s="27"/>
      <c r="H1422" s="27"/>
      <c r="I1422" s="28"/>
      <c r="J1422" s="27"/>
      <c r="K1422" s="29"/>
      <c r="L1422" s="31"/>
      <c r="M1422" s="28"/>
      <c r="N1422" s="30"/>
      <c r="O1422" s="27"/>
      <c r="P1422" s="137"/>
    </row>
    <row r="1423" spans="1:16" x14ac:dyDescent="0.3">
      <c r="A1423" s="27"/>
      <c r="B1423" s="27"/>
      <c r="C1423" s="27"/>
      <c r="D1423" s="27"/>
      <c r="E1423" s="27"/>
      <c r="F1423" s="27"/>
      <c r="G1423" s="27"/>
      <c r="H1423" s="27"/>
      <c r="I1423" s="28"/>
      <c r="J1423" s="27"/>
      <c r="K1423" s="29"/>
      <c r="L1423" s="31"/>
      <c r="M1423" s="28"/>
      <c r="N1423" s="30"/>
      <c r="O1423" s="27"/>
      <c r="P1423" s="137"/>
    </row>
    <row r="1424" spans="1:16" x14ac:dyDescent="0.3">
      <c r="A1424" s="27"/>
      <c r="B1424" s="27"/>
      <c r="C1424" s="27"/>
      <c r="D1424" s="27"/>
      <c r="E1424" s="27"/>
      <c r="F1424" s="27"/>
      <c r="G1424" s="27"/>
      <c r="H1424" s="27"/>
      <c r="I1424" s="28"/>
      <c r="J1424" s="27"/>
      <c r="K1424" s="29"/>
      <c r="L1424" s="31"/>
      <c r="M1424" s="28"/>
      <c r="N1424" s="30"/>
      <c r="O1424" s="27"/>
      <c r="P1424" s="137"/>
    </row>
    <row r="1425" spans="1:16" x14ac:dyDescent="0.3">
      <c r="A1425" s="27"/>
      <c r="B1425" s="27"/>
      <c r="C1425" s="27"/>
      <c r="D1425" s="27"/>
      <c r="E1425" s="27"/>
      <c r="F1425" s="27"/>
      <c r="G1425" s="27"/>
      <c r="H1425" s="27"/>
      <c r="I1425" s="28"/>
      <c r="J1425" s="27"/>
      <c r="K1425" s="29"/>
      <c r="L1425" s="31"/>
      <c r="M1425" s="28"/>
      <c r="N1425" s="30"/>
      <c r="O1425" s="27"/>
      <c r="P1425" s="137"/>
    </row>
    <row r="1426" spans="1:16" x14ac:dyDescent="0.3">
      <c r="A1426" s="27"/>
      <c r="B1426" s="27"/>
      <c r="C1426" s="27"/>
      <c r="D1426" s="27"/>
      <c r="E1426" s="27"/>
      <c r="F1426" s="27"/>
      <c r="G1426" s="27"/>
      <c r="H1426" s="27"/>
      <c r="I1426" s="28"/>
      <c r="J1426" s="27"/>
      <c r="K1426" s="29"/>
      <c r="L1426" s="31"/>
      <c r="M1426" s="28"/>
      <c r="N1426" s="30"/>
      <c r="O1426" s="27"/>
      <c r="P1426" s="137"/>
    </row>
    <row r="1427" spans="1:16" x14ac:dyDescent="0.3">
      <c r="A1427" s="27"/>
      <c r="B1427" s="27"/>
      <c r="C1427" s="27"/>
      <c r="D1427" s="27"/>
      <c r="E1427" s="27"/>
      <c r="F1427" s="27"/>
      <c r="G1427" s="27"/>
      <c r="H1427" s="27"/>
      <c r="I1427" s="28"/>
      <c r="J1427" s="27"/>
      <c r="K1427" s="29"/>
      <c r="L1427" s="31"/>
      <c r="M1427" s="28"/>
      <c r="N1427" s="30"/>
      <c r="O1427" s="27"/>
      <c r="P1427" s="137"/>
    </row>
    <row r="1428" spans="1:16" x14ac:dyDescent="0.3">
      <c r="A1428" s="27"/>
      <c r="B1428" s="27"/>
      <c r="C1428" s="27"/>
      <c r="D1428" s="27"/>
      <c r="E1428" s="27"/>
      <c r="F1428" s="27"/>
      <c r="G1428" s="27"/>
      <c r="H1428" s="27"/>
      <c r="I1428" s="28"/>
      <c r="J1428" s="27"/>
      <c r="K1428" s="29"/>
      <c r="L1428" s="31"/>
      <c r="M1428" s="28"/>
      <c r="N1428" s="30"/>
      <c r="O1428" s="27"/>
      <c r="P1428" s="137"/>
    </row>
    <row r="1429" spans="1:16" x14ac:dyDescent="0.3">
      <c r="A1429" s="27"/>
      <c r="B1429" s="27"/>
      <c r="C1429" s="27"/>
      <c r="D1429" s="27"/>
      <c r="E1429" s="27"/>
      <c r="F1429" s="27"/>
      <c r="G1429" s="27"/>
      <c r="H1429" s="27"/>
      <c r="I1429" s="28"/>
      <c r="J1429" s="27"/>
      <c r="K1429" s="29"/>
      <c r="L1429" s="31"/>
      <c r="M1429" s="28"/>
      <c r="N1429" s="30"/>
      <c r="O1429" s="27"/>
      <c r="P1429" s="137"/>
    </row>
    <row r="1430" spans="1:16" x14ac:dyDescent="0.3">
      <c r="A1430" s="27"/>
      <c r="B1430" s="27"/>
      <c r="C1430" s="27"/>
      <c r="D1430" s="27"/>
      <c r="E1430" s="27"/>
      <c r="F1430" s="27"/>
      <c r="G1430" s="27"/>
      <c r="H1430" s="27"/>
      <c r="I1430" s="28"/>
      <c r="J1430" s="27"/>
      <c r="K1430" s="29"/>
      <c r="L1430" s="31"/>
      <c r="M1430" s="28"/>
      <c r="N1430" s="30"/>
      <c r="O1430" s="27"/>
      <c r="P1430" s="137"/>
    </row>
    <row r="1431" spans="1:16" x14ac:dyDescent="0.3">
      <c r="A1431" s="27"/>
      <c r="B1431" s="27"/>
      <c r="C1431" s="27"/>
      <c r="D1431" s="27"/>
      <c r="E1431" s="27"/>
      <c r="F1431" s="27"/>
      <c r="G1431" s="27"/>
      <c r="H1431" s="27"/>
      <c r="I1431" s="28"/>
      <c r="J1431" s="27"/>
      <c r="K1431" s="29"/>
      <c r="L1431" s="31"/>
      <c r="M1431" s="28"/>
      <c r="N1431" s="30"/>
      <c r="O1431" s="27"/>
      <c r="P1431" s="137"/>
    </row>
    <row r="1432" spans="1:16" x14ac:dyDescent="0.3">
      <c r="A1432" s="27"/>
      <c r="B1432" s="27"/>
      <c r="C1432" s="27"/>
      <c r="D1432" s="27"/>
      <c r="E1432" s="27"/>
      <c r="F1432" s="27"/>
      <c r="G1432" s="27"/>
      <c r="H1432" s="27"/>
      <c r="I1432" s="28"/>
      <c r="J1432" s="27"/>
      <c r="K1432" s="29"/>
      <c r="L1432" s="31"/>
      <c r="M1432" s="28"/>
      <c r="N1432" s="30"/>
      <c r="O1432" s="27"/>
      <c r="P1432" s="137"/>
    </row>
    <row r="1433" spans="1:16" x14ac:dyDescent="0.3">
      <c r="A1433" s="27"/>
      <c r="B1433" s="27"/>
      <c r="C1433" s="27"/>
      <c r="D1433" s="27"/>
      <c r="E1433" s="27"/>
      <c r="F1433" s="27"/>
      <c r="G1433" s="27"/>
      <c r="H1433" s="27"/>
      <c r="I1433" s="28"/>
      <c r="J1433" s="27"/>
      <c r="K1433" s="29"/>
      <c r="L1433" s="31"/>
      <c r="M1433" s="28"/>
      <c r="N1433" s="30"/>
      <c r="O1433" s="27"/>
      <c r="P1433" s="137"/>
    </row>
    <row r="1434" spans="1:16" x14ac:dyDescent="0.3">
      <c r="A1434" s="27"/>
      <c r="B1434" s="27"/>
      <c r="C1434" s="27"/>
      <c r="D1434" s="27"/>
      <c r="E1434" s="27"/>
      <c r="F1434" s="27"/>
      <c r="G1434" s="27"/>
      <c r="H1434" s="27"/>
      <c r="I1434" s="28"/>
      <c r="J1434" s="27"/>
      <c r="K1434" s="29"/>
      <c r="L1434" s="31"/>
      <c r="M1434" s="28"/>
      <c r="N1434" s="30"/>
      <c r="O1434" s="27"/>
      <c r="P1434" s="137"/>
    </row>
    <row r="1435" spans="1:16" x14ac:dyDescent="0.3">
      <c r="A1435" s="27"/>
      <c r="B1435" s="27"/>
      <c r="C1435" s="27"/>
      <c r="D1435" s="27"/>
      <c r="E1435" s="27"/>
      <c r="F1435" s="27"/>
      <c r="G1435" s="27"/>
      <c r="H1435" s="27"/>
      <c r="I1435" s="28"/>
      <c r="J1435" s="27"/>
      <c r="K1435" s="29"/>
      <c r="L1435" s="31"/>
      <c r="M1435" s="28"/>
      <c r="N1435" s="30"/>
      <c r="O1435" s="27"/>
      <c r="P1435" s="137"/>
    </row>
    <row r="1436" spans="1:16" x14ac:dyDescent="0.3">
      <c r="A1436" s="27"/>
      <c r="B1436" s="27"/>
      <c r="C1436" s="27"/>
      <c r="D1436" s="27"/>
      <c r="E1436" s="27"/>
      <c r="F1436" s="27"/>
      <c r="G1436" s="27"/>
      <c r="H1436" s="27"/>
      <c r="I1436" s="28"/>
      <c r="J1436" s="27"/>
      <c r="K1436" s="29"/>
      <c r="L1436" s="31"/>
      <c r="M1436" s="28"/>
      <c r="N1436" s="30"/>
      <c r="O1436" s="27"/>
      <c r="P1436" s="137"/>
    </row>
    <row r="1437" spans="1:16" x14ac:dyDescent="0.3">
      <c r="A1437" s="27"/>
      <c r="B1437" s="27"/>
      <c r="C1437" s="27"/>
      <c r="D1437" s="27"/>
      <c r="E1437" s="27"/>
      <c r="F1437" s="27"/>
      <c r="G1437" s="27"/>
      <c r="H1437" s="27"/>
      <c r="I1437" s="28"/>
      <c r="J1437" s="27"/>
      <c r="K1437" s="29"/>
      <c r="L1437" s="31"/>
      <c r="M1437" s="28"/>
      <c r="N1437" s="30"/>
      <c r="O1437" s="27"/>
      <c r="P1437" s="137"/>
    </row>
    <row r="1438" spans="1:16" x14ac:dyDescent="0.3">
      <c r="A1438" s="27"/>
      <c r="B1438" s="27"/>
      <c r="C1438" s="27"/>
      <c r="D1438" s="27"/>
      <c r="E1438" s="27"/>
      <c r="F1438" s="27"/>
      <c r="G1438" s="27"/>
      <c r="H1438" s="27"/>
      <c r="I1438" s="28"/>
      <c r="J1438" s="27"/>
      <c r="K1438" s="29"/>
      <c r="L1438" s="31"/>
      <c r="M1438" s="28"/>
      <c r="N1438" s="30"/>
      <c r="O1438" s="27"/>
      <c r="P1438" s="137"/>
    </row>
    <row r="1439" spans="1:16" x14ac:dyDescent="0.3">
      <c r="A1439" s="27"/>
      <c r="B1439" s="27"/>
      <c r="C1439" s="27"/>
      <c r="D1439" s="27"/>
      <c r="E1439" s="27"/>
      <c r="F1439" s="27"/>
      <c r="G1439" s="27"/>
      <c r="H1439" s="27"/>
      <c r="I1439" s="28"/>
      <c r="J1439" s="27"/>
      <c r="K1439" s="29"/>
      <c r="L1439" s="31"/>
      <c r="M1439" s="28"/>
      <c r="N1439" s="30"/>
      <c r="O1439" s="27"/>
      <c r="P1439" s="137"/>
    </row>
    <row r="1440" spans="1:16" x14ac:dyDescent="0.3">
      <c r="A1440" s="27"/>
      <c r="B1440" s="27"/>
      <c r="C1440" s="27"/>
      <c r="D1440" s="27"/>
      <c r="E1440" s="27"/>
      <c r="F1440" s="27"/>
      <c r="G1440" s="27"/>
      <c r="H1440" s="27"/>
      <c r="I1440" s="28"/>
      <c r="J1440" s="27"/>
      <c r="K1440" s="29"/>
      <c r="L1440" s="31"/>
      <c r="M1440" s="28"/>
      <c r="N1440" s="30"/>
      <c r="O1440" s="27"/>
      <c r="P1440" s="137"/>
    </row>
    <row r="1441" spans="1:16" x14ac:dyDescent="0.3">
      <c r="A1441" s="27"/>
      <c r="B1441" s="27"/>
      <c r="C1441" s="27"/>
      <c r="D1441" s="27"/>
      <c r="E1441" s="27"/>
      <c r="F1441" s="27"/>
      <c r="G1441" s="27"/>
      <c r="H1441" s="27"/>
      <c r="I1441" s="28"/>
      <c r="J1441" s="27"/>
      <c r="K1441" s="29"/>
      <c r="L1441" s="31"/>
      <c r="M1441" s="28"/>
      <c r="N1441" s="30"/>
      <c r="O1441" s="27"/>
      <c r="P1441" s="137"/>
    </row>
    <row r="1442" spans="1:16" x14ac:dyDescent="0.3">
      <c r="A1442" s="27"/>
      <c r="B1442" s="27"/>
      <c r="C1442" s="27"/>
      <c r="D1442" s="27"/>
      <c r="E1442" s="27"/>
      <c r="F1442" s="27"/>
      <c r="G1442" s="27"/>
      <c r="H1442" s="27"/>
      <c r="I1442" s="28"/>
      <c r="J1442" s="27"/>
      <c r="K1442" s="29"/>
      <c r="L1442" s="31"/>
      <c r="M1442" s="28"/>
      <c r="N1442" s="30"/>
      <c r="O1442" s="27"/>
      <c r="P1442" s="137"/>
    </row>
    <row r="1443" spans="1:16" x14ac:dyDescent="0.3">
      <c r="A1443" s="27"/>
      <c r="B1443" s="27"/>
      <c r="C1443" s="27"/>
      <c r="D1443" s="27"/>
      <c r="E1443" s="27"/>
      <c r="F1443" s="27"/>
      <c r="G1443" s="27"/>
      <c r="H1443" s="27"/>
      <c r="I1443" s="28"/>
      <c r="J1443" s="27"/>
      <c r="K1443" s="29"/>
      <c r="L1443" s="31"/>
      <c r="M1443" s="28"/>
      <c r="N1443" s="30"/>
      <c r="O1443" s="27"/>
      <c r="P1443" s="137"/>
    </row>
    <row r="1444" spans="1:16" x14ac:dyDescent="0.3">
      <c r="A1444" s="27"/>
      <c r="B1444" s="27"/>
      <c r="C1444" s="27"/>
      <c r="D1444" s="27"/>
      <c r="E1444" s="27"/>
      <c r="F1444" s="27"/>
      <c r="G1444" s="27"/>
      <c r="H1444" s="27"/>
      <c r="I1444" s="28"/>
      <c r="J1444" s="27"/>
      <c r="K1444" s="29"/>
      <c r="L1444" s="31"/>
      <c r="M1444" s="28"/>
      <c r="N1444" s="30"/>
      <c r="O1444" s="27"/>
      <c r="P1444" s="137"/>
    </row>
    <row r="1445" spans="1:16" x14ac:dyDescent="0.3">
      <c r="A1445" s="27"/>
      <c r="B1445" s="27"/>
      <c r="C1445" s="27"/>
      <c r="D1445" s="27"/>
      <c r="E1445" s="27"/>
      <c r="F1445" s="27"/>
      <c r="G1445" s="27"/>
      <c r="H1445" s="27"/>
      <c r="I1445" s="28"/>
      <c r="J1445" s="27"/>
      <c r="K1445" s="29"/>
      <c r="L1445" s="31"/>
      <c r="M1445" s="28"/>
      <c r="N1445" s="30"/>
      <c r="O1445" s="27"/>
      <c r="P1445" s="137"/>
    </row>
    <row r="1446" spans="1:16" x14ac:dyDescent="0.3">
      <c r="A1446" s="27"/>
      <c r="B1446" s="27"/>
      <c r="C1446" s="27"/>
      <c r="D1446" s="27"/>
      <c r="E1446" s="27"/>
      <c r="F1446" s="27"/>
      <c r="G1446" s="27"/>
      <c r="H1446" s="27"/>
      <c r="I1446" s="28"/>
      <c r="J1446" s="27"/>
      <c r="K1446" s="29"/>
      <c r="L1446" s="31"/>
      <c r="M1446" s="28"/>
      <c r="N1446" s="30"/>
      <c r="O1446" s="27"/>
      <c r="P1446" s="137"/>
    </row>
    <row r="1447" spans="1:16" x14ac:dyDescent="0.3">
      <c r="A1447" s="27"/>
      <c r="B1447" s="27"/>
      <c r="C1447" s="27"/>
      <c r="D1447" s="27"/>
      <c r="E1447" s="27"/>
      <c r="F1447" s="27"/>
      <c r="G1447" s="27"/>
      <c r="H1447" s="27"/>
      <c r="I1447" s="28"/>
      <c r="J1447" s="27"/>
      <c r="K1447" s="29"/>
      <c r="L1447" s="31"/>
      <c r="M1447" s="28"/>
      <c r="N1447" s="30"/>
      <c r="O1447" s="27"/>
      <c r="P1447" s="137"/>
    </row>
    <row r="1448" spans="1:16" x14ac:dyDescent="0.3">
      <c r="A1448" s="27"/>
      <c r="B1448" s="27"/>
      <c r="C1448" s="27"/>
      <c r="D1448" s="27"/>
      <c r="E1448" s="27"/>
      <c r="F1448" s="27"/>
      <c r="G1448" s="27"/>
      <c r="H1448" s="27"/>
      <c r="I1448" s="28"/>
      <c r="J1448" s="27"/>
      <c r="K1448" s="29"/>
      <c r="L1448" s="31"/>
      <c r="M1448" s="28"/>
      <c r="N1448" s="30"/>
      <c r="O1448" s="27"/>
      <c r="P1448" s="137"/>
    </row>
    <row r="1449" spans="1:16" x14ac:dyDescent="0.3">
      <c r="A1449" s="27"/>
      <c r="B1449" s="27"/>
      <c r="C1449" s="27"/>
      <c r="D1449" s="27"/>
      <c r="E1449" s="27"/>
      <c r="F1449" s="27"/>
      <c r="G1449" s="27"/>
      <c r="H1449" s="27"/>
      <c r="I1449" s="28"/>
      <c r="J1449" s="27"/>
      <c r="K1449" s="29"/>
      <c r="L1449" s="31"/>
      <c r="M1449" s="28"/>
      <c r="N1449" s="30"/>
      <c r="O1449" s="27"/>
      <c r="P1449" s="137"/>
    </row>
    <row r="1450" spans="1:16" x14ac:dyDescent="0.3">
      <c r="A1450" s="27"/>
      <c r="B1450" s="27"/>
      <c r="C1450" s="27"/>
      <c r="D1450" s="27"/>
      <c r="E1450" s="27"/>
      <c r="F1450" s="27"/>
      <c r="G1450" s="27"/>
      <c r="H1450" s="27"/>
      <c r="I1450" s="28"/>
      <c r="J1450" s="27"/>
      <c r="K1450" s="29"/>
      <c r="L1450" s="31"/>
      <c r="M1450" s="28"/>
      <c r="N1450" s="30"/>
      <c r="O1450" s="27"/>
      <c r="P1450" s="137"/>
    </row>
    <row r="1451" spans="1:16" x14ac:dyDescent="0.3">
      <c r="A1451" s="27"/>
      <c r="B1451" s="27"/>
      <c r="C1451" s="27"/>
      <c r="D1451" s="27"/>
      <c r="E1451" s="27"/>
      <c r="F1451" s="27"/>
      <c r="G1451" s="27"/>
      <c r="H1451" s="27"/>
      <c r="I1451" s="28"/>
      <c r="J1451" s="27"/>
      <c r="K1451" s="29"/>
      <c r="L1451" s="31"/>
      <c r="M1451" s="28"/>
      <c r="N1451" s="30"/>
      <c r="O1451" s="27"/>
      <c r="P1451" s="137"/>
    </row>
    <row r="1452" spans="1:16" x14ac:dyDescent="0.3">
      <c r="A1452" s="27"/>
      <c r="B1452" s="27"/>
      <c r="C1452" s="27"/>
      <c r="D1452" s="27"/>
      <c r="E1452" s="27"/>
      <c r="F1452" s="27"/>
      <c r="G1452" s="27"/>
      <c r="H1452" s="27"/>
      <c r="I1452" s="28"/>
      <c r="J1452" s="27"/>
      <c r="K1452" s="29"/>
      <c r="L1452" s="31"/>
      <c r="M1452" s="28"/>
      <c r="N1452" s="30"/>
      <c r="O1452" s="27"/>
      <c r="P1452" s="137"/>
    </row>
    <row r="1453" spans="1:16" x14ac:dyDescent="0.3">
      <c r="A1453" s="27"/>
      <c r="B1453" s="27"/>
      <c r="C1453" s="27"/>
      <c r="D1453" s="27"/>
      <c r="E1453" s="27"/>
      <c r="F1453" s="27"/>
      <c r="G1453" s="27"/>
      <c r="H1453" s="27"/>
      <c r="I1453" s="28"/>
      <c r="J1453" s="27"/>
      <c r="K1453" s="29"/>
      <c r="L1453" s="31"/>
      <c r="M1453" s="28"/>
      <c r="N1453" s="30"/>
      <c r="O1453" s="27"/>
      <c r="P1453" s="137"/>
    </row>
    <row r="1454" spans="1:16" x14ac:dyDescent="0.3">
      <c r="A1454" s="27"/>
      <c r="B1454" s="27"/>
      <c r="C1454" s="27"/>
      <c r="D1454" s="27"/>
      <c r="E1454" s="27"/>
      <c r="F1454" s="27"/>
      <c r="G1454" s="27"/>
      <c r="H1454" s="27"/>
      <c r="I1454" s="28"/>
      <c r="J1454" s="27"/>
      <c r="K1454" s="29"/>
      <c r="L1454" s="31"/>
      <c r="M1454" s="28"/>
      <c r="N1454" s="30"/>
      <c r="O1454" s="27"/>
      <c r="P1454" s="137"/>
    </row>
    <row r="1455" spans="1:16" x14ac:dyDescent="0.3">
      <c r="A1455" s="27"/>
      <c r="B1455" s="27"/>
      <c r="C1455" s="27"/>
      <c r="D1455" s="27"/>
      <c r="E1455" s="27"/>
      <c r="F1455" s="27"/>
      <c r="G1455" s="27"/>
      <c r="H1455" s="27"/>
      <c r="I1455" s="28"/>
      <c r="J1455" s="27"/>
      <c r="K1455" s="29"/>
      <c r="L1455" s="31"/>
      <c r="M1455" s="28"/>
      <c r="N1455" s="30"/>
      <c r="O1455" s="27"/>
      <c r="P1455" s="137"/>
    </row>
    <row r="1456" spans="1:16" x14ac:dyDescent="0.3">
      <c r="A1456" s="27"/>
      <c r="B1456" s="27"/>
      <c r="C1456" s="27"/>
      <c r="D1456" s="27"/>
      <c r="E1456" s="27"/>
      <c r="F1456" s="27"/>
      <c r="G1456" s="27"/>
      <c r="H1456" s="27"/>
      <c r="I1456" s="28"/>
      <c r="J1456" s="27"/>
      <c r="K1456" s="29"/>
      <c r="L1456" s="31"/>
      <c r="M1456" s="28"/>
      <c r="N1456" s="30"/>
      <c r="O1456" s="27"/>
      <c r="P1456" s="137"/>
    </row>
    <row r="1457" spans="1:16" x14ac:dyDescent="0.3">
      <c r="A1457" s="27"/>
      <c r="B1457" s="27"/>
      <c r="C1457" s="27"/>
      <c r="D1457" s="27"/>
      <c r="E1457" s="27"/>
      <c r="F1457" s="27"/>
      <c r="G1457" s="27"/>
      <c r="H1457" s="27"/>
      <c r="I1457" s="28"/>
      <c r="J1457" s="27"/>
      <c r="K1457" s="29"/>
      <c r="L1457" s="31"/>
      <c r="M1457" s="28"/>
      <c r="N1457" s="30"/>
      <c r="O1457" s="27"/>
      <c r="P1457" s="137"/>
    </row>
    <row r="1458" spans="1:16" x14ac:dyDescent="0.3">
      <c r="A1458" s="27"/>
      <c r="B1458" s="27"/>
      <c r="C1458" s="27"/>
      <c r="D1458" s="27"/>
      <c r="E1458" s="27"/>
      <c r="F1458" s="27"/>
      <c r="G1458" s="27"/>
      <c r="H1458" s="27"/>
      <c r="I1458" s="28"/>
      <c r="J1458" s="27"/>
      <c r="K1458" s="29"/>
      <c r="L1458" s="31"/>
      <c r="M1458" s="28"/>
      <c r="N1458" s="30"/>
      <c r="O1458" s="27"/>
      <c r="P1458" s="137"/>
    </row>
    <row r="1459" spans="1:16" x14ac:dyDescent="0.3">
      <c r="A1459" s="27"/>
      <c r="B1459" s="27"/>
      <c r="C1459" s="27"/>
      <c r="D1459" s="27"/>
      <c r="E1459" s="27"/>
      <c r="F1459" s="27"/>
      <c r="G1459" s="27"/>
      <c r="H1459" s="27"/>
      <c r="I1459" s="28"/>
      <c r="J1459" s="27"/>
      <c r="K1459" s="29"/>
      <c r="L1459" s="31"/>
      <c r="M1459" s="28"/>
      <c r="N1459" s="30"/>
      <c r="O1459" s="27"/>
      <c r="P1459" s="137"/>
    </row>
    <row r="1460" spans="1:16" x14ac:dyDescent="0.3">
      <c r="A1460" s="27"/>
      <c r="B1460" s="27"/>
      <c r="C1460" s="27"/>
      <c r="D1460" s="27"/>
      <c r="E1460" s="27"/>
      <c r="F1460" s="27"/>
      <c r="G1460" s="27"/>
      <c r="H1460" s="27"/>
      <c r="I1460" s="28"/>
      <c r="J1460" s="27"/>
      <c r="K1460" s="29"/>
      <c r="L1460" s="31"/>
      <c r="M1460" s="28"/>
      <c r="N1460" s="30"/>
      <c r="O1460" s="27"/>
      <c r="P1460" s="137"/>
    </row>
    <row r="1461" spans="1:16" x14ac:dyDescent="0.3">
      <c r="A1461" s="27"/>
      <c r="B1461" s="27"/>
      <c r="C1461" s="27"/>
      <c r="D1461" s="27"/>
      <c r="E1461" s="27"/>
      <c r="F1461" s="27"/>
      <c r="G1461" s="27"/>
      <c r="H1461" s="27"/>
      <c r="I1461" s="28"/>
      <c r="J1461" s="27"/>
      <c r="K1461" s="29"/>
      <c r="L1461" s="31"/>
      <c r="M1461" s="28"/>
      <c r="N1461" s="30"/>
      <c r="O1461" s="27"/>
      <c r="P1461" s="137"/>
    </row>
    <row r="1462" spans="1:16" x14ac:dyDescent="0.3">
      <c r="A1462" s="27"/>
      <c r="B1462" s="27"/>
      <c r="C1462" s="27"/>
      <c r="D1462" s="27"/>
      <c r="E1462" s="27"/>
      <c r="F1462" s="27"/>
      <c r="G1462" s="27"/>
      <c r="H1462" s="27"/>
      <c r="I1462" s="28"/>
      <c r="J1462" s="27"/>
      <c r="K1462" s="29"/>
      <c r="L1462" s="31"/>
      <c r="M1462" s="28"/>
      <c r="N1462" s="30"/>
      <c r="O1462" s="27"/>
      <c r="P1462" s="137"/>
    </row>
    <row r="1463" spans="1:16" x14ac:dyDescent="0.3">
      <c r="A1463" s="27"/>
      <c r="B1463" s="27"/>
      <c r="C1463" s="27"/>
      <c r="D1463" s="27"/>
      <c r="E1463" s="27"/>
      <c r="F1463" s="27"/>
      <c r="G1463" s="27"/>
      <c r="H1463" s="27"/>
      <c r="I1463" s="28"/>
      <c r="J1463" s="27"/>
      <c r="K1463" s="29"/>
      <c r="L1463" s="31"/>
      <c r="M1463" s="28"/>
      <c r="N1463" s="30"/>
      <c r="O1463" s="27"/>
      <c r="P1463" s="137"/>
    </row>
    <row r="1464" spans="1:16" x14ac:dyDescent="0.3">
      <c r="A1464" s="27"/>
      <c r="B1464" s="27"/>
      <c r="C1464" s="27"/>
      <c r="D1464" s="27"/>
      <c r="E1464" s="27"/>
      <c r="F1464" s="27"/>
      <c r="G1464" s="27"/>
      <c r="H1464" s="27"/>
      <c r="I1464" s="28"/>
      <c r="J1464" s="27"/>
      <c r="K1464" s="29"/>
      <c r="L1464" s="31"/>
      <c r="M1464" s="28"/>
      <c r="N1464" s="30"/>
      <c r="O1464" s="27"/>
      <c r="P1464" s="137"/>
    </row>
    <row r="1465" spans="1:16" x14ac:dyDescent="0.3">
      <c r="A1465" s="27"/>
      <c r="B1465" s="27"/>
      <c r="C1465" s="27"/>
      <c r="D1465" s="27"/>
      <c r="E1465" s="27"/>
      <c r="F1465" s="27"/>
      <c r="G1465" s="27"/>
      <c r="H1465" s="27"/>
      <c r="I1465" s="28"/>
      <c r="J1465" s="27"/>
      <c r="K1465" s="29"/>
      <c r="L1465" s="31"/>
      <c r="M1465" s="28"/>
      <c r="N1465" s="30"/>
      <c r="O1465" s="27"/>
      <c r="P1465" s="137"/>
    </row>
    <row r="1466" spans="1:16" x14ac:dyDescent="0.3">
      <c r="A1466" s="27"/>
      <c r="B1466" s="27"/>
      <c r="C1466" s="27"/>
      <c r="D1466" s="27"/>
      <c r="E1466" s="27"/>
      <c r="F1466" s="27"/>
      <c r="G1466" s="27"/>
      <c r="H1466" s="27"/>
      <c r="I1466" s="28"/>
      <c r="J1466" s="27"/>
      <c r="K1466" s="29"/>
      <c r="L1466" s="31"/>
      <c r="M1466" s="28"/>
      <c r="N1466" s="30"/>
      <c r="O1466" s="27"/>
      <c r="P1466" s="137"/>
    </row>
    <row r="1467" spans="1:16" x14ac:dyDescent="0.3">
      <c r="A1467" s="27"/>
      <c r="B1467" s="27"/>
      <c r="C1467" s="27"/>
      <c r="D1467" s="27"/>
      <c r="E1467" s="27"/>
      <c r="F1467" s="27"/>
      <c r="G1467" s="27"/>
      <c r="H1467" s="27"/>
      <c r="I1467" s="28"/>
      <c r="J1467" s="27"/>
      <c r="K1467" s="29"/>
      <c r="L1467" s="31"/>
      <c r="M1467" s="28"/>
      <c r="N1467" s="30"/>
      <c r="O1467" s="27"/>
      <c r="P1467" s="137"/>
    </row>
    <row r="1468" spans="1:16" x14ac:dyDescent="0.3">
      <c r="A1468" s="27"/>
      <c r="B1468" s="27"/>
      <c r="C1468" s="27"/>
      <c r="D1468" s="27"/>
      <c r="E1468" s="27"/>
      <c r="F1468" s="27"/>
      <c r="G1468" s="27"/>
      <c r="H1468" s="27"/>
      <c r="I1468" s="28"/>
      <c r="J1468" s="27"/>
      <c r="K1468" s="29"/>
      <c r="L1468" s="31"/>
      <c r="M1468" s="28"/>
      <c r="N1468" s="30"/>
      <c r="O1468" s="27"/>
      <c r="P1468" s="137"/>
    </row>
    <row r="1469" spans="1:16" x14ac:dyDescent="0.3">
      <c r="A1469" s="27"/>
      <c r="B1469" s="27"/>
      <c r="C1469" s="27"/>
      <c r="D1469" s="27"/>
      <c r="E1469" s="27"/>
      <c r="F1469" s="27"/>
      <c r="G1469" s="27"/>
      <c r="H1469" s="27"/>
      <c r="I1469" s="28"/>
      <c r="J1469" s="27"/>
      <c r="K1469" s="29"/>
      <c r="L1469" s="31"/>
      <c r="M1469" s="28"/>
      <c r="N1469" s="30"/>
      <c r="O1469" s="27"/>
      <c r="P1469" s="137"/>
    </row>
    <row r="1470" spans="1:16" x14ac:dyDescent="0.3">
      <c r="A1470" s="27"/>
      <c r="B1470" s="27"/>
      <c r="C1470" s="27"/>
      <c r="D1470" s="27"/>
      <c r="E1470" s="27"/>
      <c r="F1470" s="27"/>
      <c r="G1470" s="27"/>
      <c r="H1470" s="27"/>
      <c r="I1470" s="28"/>
      <c r="J1470" s="27"/>
      <c r="K1470" s="29"/>
      <c r="L1470" s="31"/>
      <c r="M1470" s="28"/>
      <c r="N1470" s="30"/>
      <c r="O1470" s="27"/>
      <c r="P1470" s="137"/>
    </row>
    <row r="1471" spans="1:16" x14ac:dyDescent="0.3">
      <c r="A1471" s="27"/>
      <c r="B1471" s="27"/>
      <c r="C1471" s="27"/>
      <c r="D1471" s="27"/>
      <c r="E1471" s="27"/>
      <c r="F1471" s="27"/>
      <c r="G1471" s="27"/>
      <c r="H1471" s="27"/>
      <c r="I1471" s="28"/>
      <c r="J1471" s="27"/>
      <c r="K1471" s="29"/>
      <c r="L1471" s="31"/>
      <c r="M1471" s="28"/>
      <c r="N1471" s="30"/>
      <c r="O1471" s="27"/>
      <c r="P1471" s="137"/>
    </row>
    <row r="1472" spans="1:16" x14ac:dyDescent="0.3">
      <c r="A1472" s="27"/>
      <c r="B1472" s="27"/>
      <c r="C1472" s="27"/>
      <c r="D1472" s="27"/>
      <c r="E1472" s="27"/>
      <c r="F1472" s="27"/>
      <c r="G1472" s="27"/>
      <c r="H1472" s="27"/>
      <c r="I1472" s="28"/>
      <c r="J1472" s="27"/>
      <c r="K1472" s="29"/>
      <c r="L1472" s="31"/>
      <c r="M1472" s="28"/>
      <c r="N1472" s="30"/>
      <c r="O1472" s="27"/>
      <c r="P1472" s="137"/>
    </row>
    <row r="1473" spans="1:16" x14ac:dyDescent="0.3">
      <c r="A1473" s="27"/>
      <c r="B1473" s="27"/>
      <c r="C1473" s="27"/>
      <c r="D1473" s="27"/>
      <c r="E1473" s="27"/>
      <c r="F1473" s="27"/>
      <c r="G1473" s="27"/>
      <c r="H1473" s="27"/>
      <c r="I1473" s="28"/>
      <c r="J1473" s="27"/>
      <c r="K1473" s="29"/>
      <c r="L1473" s="31"/>
      <c r="M1473" s="28"/>
      <c r="N1473" s="30"/>
      <c r="O1473" s="27"/>
      <c r="P1473" s="137"/>
    </row>
    <row r="1474" spans="1:16" x14ac:dyDescent="0.3">
      <c r="A1474" s="27"/>
      <c r="B1474" s="27"/>
      <c r="C1474" s="27"/>
      <c r="D1474" s="27"/>
      <c r="E1474" s="27"/>
      <c r="F1474" s="27"/>
      <c r="G1474" s="27"/>
      <c r="H1474" s="27"/>
      <c r="I1474" s="28"/>
      <c r="J1474" s="27"/>
      <c r="K1474" s="29"/>
      <c r="L1474" s="31"/>
      <c r="M1474" s="28"/>
      <c r="N1474" s="30"/>
      <c r="O1474" s="27"/>
      <c r="P1474" s="137"/>
    </row>
    <row r="1475" spans="1:16" x14ac:dyDescent="0.3">
      <c r="A1475" s="27"/>
      <c r="B1475" s="27"/>
      <c r="C1475" s="27"/>
      <c r="D1475" s="27"/>
      <c r="E1475" s="27"/>
      <c r="F1475" s="27"/>
      <c r="G1475" s="27"/>
      <c r="H1475" s="27"/>
      <c r="I1475" s="28"/>
      <c r="J1475" s="27"/>
      <c r="K1475" s="29"/>
      <c r="L1475" s="31"/>
      <c r="M1475" s="28"/>
      <c r="N1475" s="30"/>
      <c r="O1475" s="27"/>
      <c r="P1475" s="137"/>
    </row>
    <row r="1476" spans="1:16" x14ac:dyDescent="0.3">
      <c r="A1476" s="27"/>
      <c r="B1476" s="27"/>
      <c r="C1476" s="27"/>
      <c r="D1476" s="27"/>
      <c r="E1476" s="27"/>
      <c r="F1476" s="27"/>
      <c r="G1476" s="27"/>
      <c r="H1476" s="27"/>
      <c r="I1476" s="28"/>
      <c r="J1476" s="27"/>
      <c r="K1476" s="29"/>
      <c r="L1476" s="31"/>
      <c r="M1476" s="28"/>
      <c r="N1476" s="30"/>
      <c r="O1476" s="27"/>
      <c r="P1476" s="137"/>
    </row>
    <row r="1477" spans="1:16" x14ac:dyDescent="0.3">
      <c r="A1477" s="27"/>
      <c r="B1477" s="27"/>
      <c r="C1477" s="27"/>
      <c r="D1477" s="27"/>
      <c r="E1477" s="27"/>
      <c r="F1477" s="27"/>
      <c r="G1477" s="27"/>
      <c r="H1477" s="27"/>
      <c r="I1477" s="28"/>
      <c r="J1477" s="27"/>
      <c r="K1477" s="29"/>
      <c r="L1477" s="31"/>
      <c r="M1477" s="28"/>
      <c r="N1477" s="30"/>
      <c r="O1477" s="27"/>
      <c r="P1477" s="137"/>
    </row>
    <row r="1478" spans="1:16" x14ac:dyDescent="0.3">
      <c r="A1478" s="27"/>
      <c r="B1478" s="27"/>
      <c r="C1478" s="27"/>
      <c r="D1478" s="27"/>
      <c r="E1478" s="27"/>
      <c r="F1478" s="27"/>
      <c r="G1478" s="27"/>
      <c r="H1478" s="27"/>
      <c r="I1478" s="28"/>
      <c r="J1478" s="27"/>
      <c r="K1478" s="29"/>
      <c r="L1478" s="31"/>
      <c r="M1478" s="28"/>
      <c r="N1478" s="30"/>
      <c r="O1478" s="27"/>
      <c r="P1478" s="137"/>
    </row>
    <row r="1479" spans="1:16" x14ac:dyDescent="0.3">
      <c r="A1479" s="27"/>
      <c r="B1479" s="27"/>
      <c r="C1479" s="27"/>
      <c r="D1479" s="27"/>
      <c r="E1479" s="27"/>
      <c r="F1479" s="27"/>
      <c r="G1479" s="27"/>
      <c r="H1479" s="27"/>
      <c r="I1479" s="28"/>
      <c r="J1479" s="27"/>
      <c r="K1479" s="29"/>
      <c r="L1479" s="31"/>
      <c r="M1479" s="28"/>
      <c r="N1479" s="30"/>
      <c r="O1479" s="27"/>
      <c r="P1479" s="137"/>
    </row>
    <row r="1480" spans="1:16" x14ac:dyDescent="0.3">
      <c r="A1480" s="27"/>
      <c r="B1480" s="27"/>
      <c r="C1480" s="27"/>
      <c r="D1480" s="27"/>
      <c r="E1480" s="27"/>
      <c r="F1480" s="27"/>
      <c r="G1480" s="27"/>
      <c r="H1480" s="27"/>
      <c r="I1480" s="28"/>
      <c r="J1480" s="27"/>
      <c r="K1480" s="29"/>
      <c r="L1480" s="31"/>
      <c r="M1480" s="28"/>
      <c r="N1480" s="30"/>
      <c r="O1480" s="27"/>
      <c r="P1480" s="137"/>
    </row>
    <row r="1481" spans="1:16" x14ac:dyDescent="0.3">
      <c r="A1481" s="27"/>
      <c r="B1481" s="27"/>
      <c r="C1481" s="27"/>
      <c r="D1481" s="27"/>
      <c r="E1481" s="27"/>
      <c r="F1481" s="27"/>
      <c r="G1481" s="27"/>
      <c r="H1481" s="27"/>
      <c r="I1481" s="28"/>
      <c r="J1481" s="27"/>
      <c r="K1481" s="29"/>
      <c r="L1481" s="31"/>
      <c r="M1481" s="28"/>
      <c r="N1481" s="30"/>
      <c r="O1481" s="27"/>
      <c r="P1481" s="137"/>
    </row>
    <row r="1482" spans="1:16" x14ac:dyDescent="0.3">
      <c r="A1482" s="27"/>
      <c r="B1482" s="27"/>
      <c r="C1482" s="27"/>
      <c r="D1482" s="27"/>
      <c r="E1482" s="27"/>
      <c r="F1482" s="27"/>
      <c r="G1482" s="27"/>
      <c r="H1482" s="27"/>
      <c r="I1482" s="28"/>
      <c r="J1482" s="27"/>
      <c r="K1482" s="29"/>
      <c r="L1482" s="31"/>
      <c r="M1482" s="28"/>
      <c r="N1482" s="30"/>
      <c r="O1482" s="27"/>
      <c r="P1482" s="137"/>
    </row>
    <row r="1483" spans="1:16" x14ac:dyDescent="0.3">
      <c r="A1483" s="27"/>
      <c r="B1483" s="27"/>
      <c r="C1483" s="27"/>
      <c r="D1483" s="27"/>
      <c r="E1483" s="27"/>
      <c r="F1483" s="27"/>
      <c r="G1483" s="27"/>
      <c r="H1483" s="27"/>
      <c r="I1483" s="28"/>
      <c r="J1483" s="27"/>
      <c r="K1483" s="29"/>
      <c r="L1483" s="31"/>
      <c r="M1483" s="28"/>
      <c r="N1483" s="30"/>
      <c r="O1483" s="27"/>
      <c r="P1483" s="137"/>
    </row>
    <row r="1484" spans="1:16" x14ac:dyDescent="0.3">
      <c r="A1484" s="27"/>
      <c r="B1484" s="27"/>
      <c r="C1484" s="27"/>
      <c r="D1484" s="27"/>
      <c r="E1484" s="27"/>
      <c r="F1484" s="27"/>
      <c r="G1484" s="27"/>
      <c r="H1484" s="27"/>
      <c r="I1484" s="28"/>
      <c r="J1484" s="27"/>
      <c r="K1484" s="29"/>
      <c r="L1484" s="31"/>
      <c r="M1484" s="28"/>
      <c r="N1484" s="30"/>
      <c r="O1484" s="27"/>
      <c r="P1484" s="137"/>
    </row>
    <row r="1485" spans="1:16" x14ac:dyDescent="0.3">
      <c r="A1485" s="27"/>
      <c r="B1485" s="27"/>
      <c r="C1485" s="27"/>
      <c r="D1485" s="27"/>
      <c r="E1485" s="27"/>
      <c r="F1485" s="27"/>
      <c r="G1485" s="27"/>
      <c r="H1485" s="27"/>
      <c r="I1485" s="28"/>
      <c r="J1485" s="27"/>
      <c r="K1485" s="29"/>
      <c r="L1485" s="31"/>
      <c r="M1485" s="28"/>
      <c r="N1485" s="30"/>
      <c r="O1485" s="27"/>
      <c r="P1485" s="137"/>
    </row>
    <row r="1486" spans="1:16" x14ac:dyDescent="0.3">
      <c r="A1486" s="27"/>
      <c r="B1486" s="27"/>
      <c r="C1486" s="27"/>
      <c r="D1486" s="27"/>
      <c r="E1486" s="27"/>
      <c r="F1486" s="27"/>
      <c r="G1486" s="27"/>
      <c r="H1486" s="27"/>
      <c r="I1486" s="28"/>
      <c r="J1486" s="27"/>
      <c r="K1486" s="29"/>
      <c r="L1486" s="31"/>
      <c r="M1486" s="28"/>
      <c r="N1486" s="30"/>
      <c r="O1486" s="27"/>
      <c r="P1486" s="137"/>
    </row>
    <row r="1487" spans="1:16" x14ac:dyDescent="0.3">
      <c r="A1487" s="27"/>
      <c r="B1487" s="27"/>
      <c r="C1487" s="27"/>
      <c r="D1487" s="27"/>
      <c r="E1487" s="27"/>
      <c r="F1487" s="27"/>
      <c r="G1487" s="27"/>
      <c r="H1487" s="27"/>
      <c r="I1487" s="28"/>
      <c r="J1487" s="27"/>
      <c r="K1487" s="29"/>
      <c r="L1487" s="31"/>
      <c r="M1487" s="28"/>
      <c r="N1487" s="30"/>
      <c r="O1487" s="27"/>
      <c r="P1487" s="137"/>
    </row>
    <row r="1488" spans="1:16" x14ac:dyDescent="0.3">
      <c r="A1488" s="27"/>
      <c r="B1488" s="27"/>
      <c r="C1488" s="27"/>
      <c r="D1488" s="27"/>
      <c r="E1488" s="27"/>
      <c r="F1488" s="27"/>
      <c r="G1488" s="27"/>
      <c r="H1488" s="27"/>
      <c r="I1488" s="28"/>
      <c r="J1488" s="27"/>
      <c r="K1488" s="29"/>
      <c r="L1488" s="31"/>
      <c r="M1488" s="28"/>
      <c r="N1488" s="30"/>
      <c r="O1488" s="27"/>
      <c r="P1488" s="137"/>
    </row>
    <row r="1489" spans="1:16" x14ac:dyDescent="0.3">
      <c r="A1489" s="27"/>
      <c r="B1489" s="27"/>
      <c r="C1489" s="27"/>
      <c r="D1489" s="27"/>
      <c r="E1489" s="27"/>
      <c r="F1489" s="27"/>
      <c r="G1489" s="27"/>
      <c r="H1489" s="27"/>
      <c r="I1489" s="28"/>
      <c r="J1489" s="27"/>
      <c r="K1489" s="29"/>
      <c r="L1489" s="31"/>
      <c r="M1489" s="28"/>
      <c r="N1489" s="30"/>
      <c r="O1489" s="27"/>
      <c r="P1489" s="137"/>
    </row>
    <row r="1490" spans="1:16" x14ac:dyDescent="0.3">
      <c r="A1490" s="27"/>
      <c r="B1490" s="27"/>
      <c r="C1490" s="27"/>
      <c r="D1490" s="27"/>
      <c r="E1490" s="27"/>
      <c r="F1490" s="27"/>
      <c r="G1490" s="27"/>
      <c r="H1490" s="27"/>
      <c r="I1490" s="28"/>
      <c r="J1490" s="27"/>
      <c r="K1490" s="29"/>
      <c r="L1490" s="31"/>
      <c r="M1490" s="28"/>
      <c r="N1490" s="30"/>
      <c r="O1490" s="27"/>
      <c r="P1490" s="137"/>
    </row>
    <row r="1491" spans="1:16" x14ac:dyDescent="0.3">
      <c r="A1491" s="27"/>
      <c r="B1491" s="27"/>
      <c r="C1491" s="27"/>
      <c r="D1491" s="27"/>
      <c r="E1491" s="27"/>
      <c r="F1491" s="27"/>
      <c r="G1491" s="27"/>
      <c r="H1491" s="27"/>
      <c r="I1491" s="28"/>
      <c r="J1491" s="27"/>
      <c r="K1491" s="29"/>
      <c r="L1491" s="31"/>
      <c r="M1491" s="28"/>
      <c r="N1491" s="30"/>
      <c r="O1491" s="27"/>
      <c r="P1491" s="137"/>
    </row>
    <row r="1492" spans="1:16" x14ac:dyDescent="0.3">
      <c r="A1492" s="27"/>
      <c r="B1492" s="27"/>
      <c r="C1492" s="27"/>
      <c r="D1492" s="27"/>
      <c r="E1492" s="27"/>
      <c r="F1492" s="27"/>
      <c r="G1492" s="27"/>
      <c r="H1492" s="27"/>
      <c r="I1492" s="28"/>
      <c r="J1492" s="27"/>
      <c r="K1492" s="29"/>
      <c r="L1492" s="31"/>
      <c r="M1492" s="28"/>
      <c r="N1492" s="30"/>
      <c r="O1492" s="27"/>
      <c r="P1492" s="137"/>
    </row>
    <row r="1493" spans="1:16" x14ac:dyDescent="0.3">
      <c r="A1493" s="27"/>
      <c r="B1493" s="27"/>
      <c r="C1493" s="27"/>
      <c r="D1493" s="27"/>
      <c r="E1493" s="27"/>
      <c r="F1493" s="27"/>
      <c r="G1493" s="27"/>
      <c r="H1493" s="27"/>
      <c r="I1493" s="28"/>
      <c r="J1493" s="27"/>
      <c r="K1493" s="29"/>
      <c r="L1493" s="31"/>
      <c r="M1493" s="28"/>
      <c r="N1493" s="30"/>
      <c r="O1493" s="27"/>
      <c r="P1493" s="137"/>
    </row>
    <row r="1494" spans="1:16" x14ac:dyDescent="0.3">
      <c r="A1494" s="27"/>
      <c r="B1494" s="27"/>
      <c r="C1494" s="27"/>
      <c r="D1494" s="27"/>
      <c r="E1494" s="27"/>
      <c r="F1494" s="27"/>
      <c r="G1494" s="27"/>
      <c r="H1494" s="27"/>
      <c r="I1494" s="28"/>
      <c r="J1494" s="27"/>
      <c r="K1494" s="29"/>
      <c r="L1494" s="31"/>
      <c r="M1494" s="28"/>
      <c r="N1494" s="30"/>
      <c r="O1494" s="27"/>
      <c r="P1494" s="137"/>
    </row>
    <row r="1495" spans="1:16" x14ac:dyDescent="0.3">
      <c r="A1495" s="27"/>
      <c r="B1495" s="27"/>
      <c r="C1495" s="27"/>
      <c r="D1495" s="27"/>
      <c r="E1495" s="27"/>
      <c r="F1495" s="27"/>
      <c r="G1495" s="27"/>
      <c r="H1495" s="27"/>
      <c r="I1495" s="28"/>
      <c r="J1495" s="27"/>
      <c r="K1495" s="29"/>
      <c r="L1495" s="31"/>
      <c r="M1495" s="28"/>
      <c r="N1495" s="30"/>
      <c r="O1495" s="27"/>
      <c r="P1495" s="137"/>
    </row>
    <row r="1496" spans="1:16" x14ac:dyDescent="0.3">
      <c r="A1496" s="27"/>
      <c r="B1496" s="27"/>
      <c r="C1496" s="27"/>
      <c r="D1496" s="27"/>
      <c r="E1496" s="27"/>
      <c r="F1496" s="27"/>
      <c r="G1496" s="27"/>
      <c r="H1496" s="27"/>
      <c r="I1496" s="28"/>
      <c r="J1496" s="27"/>
      <c r="K1496" s="29"/>
      <c r="L1496" s="31"/>
      <c r="M1496" s="28"/>
      <c r="N1496" s="30"/>
      <c r="O1496" s="27"/>
      <c r="P1496" s="137"/>
    </row>
    <row r="1497" spans="1:16" x14ac:dyDescent="0.3">
      <c r="A1497" s="27"/>
      <c r="B1497" s="27"/>
      <c r="C1497" s="27"/>
      <c r="D1497" s="27"/>
      <c r="E1497" s="27"/>
      <c r="F1497" s="27"/>
      <c r="G1497" s="27"/>
      <c r="H1497" s="27"/>
      <c r="I1497" s="28"/>
      <c r="J1497" s="27"/>
      <c r="K1497" s="29"/>
      <c r="L1497" s="31"/>
      <c r="M1497" s="28"/>
      <c r="N1497" s="30"/>
      <c r="O1497" s="27"/>
      <c r="P1497" s="137"/>
    </row>
    <row r="1498" spans="1:16" x14ac:dyDescent="0.3">
      <c r="A1498" s="27"/>
      <c r="B1498" s="27"/>
      <c r="C1498" s="27"/>
      <c r="D1498" s="27"/>
      <c r="E1498" s="27"/>
      <c r="F1498" s="27"/>
      <c r="G1498" s="27"/>
      <c r="H1498" s="27"/>
      <c r="I1498" s="28"/>
      <c r="J1498" s="27"/>
      <c r="K1498" s="29"/>
      <c r="L1498" s="31"/>
      <c r="M1498" s="28"/>
      <c r="N1498" s="30"/>
      <c r="O1498" s="27"/>
      <c r="P1498" s="137"/>
    </row>
    <row r="1499" spans="1:16" x14ac:dyDescent="0.3">
      <c r="A1499" s="27"/>
      <c r="B1499" s="27"/>
      <c r="C1499" s="27"/>
      <c r="D1499" s="27"/>
      <c r="E1499" s="27"/>
      <c r="F1499" s="27"/>
      <c r="G1499" s="27"/>
      <c r="H1499" s="27"/>
      <c r="I1499" s="28"/>
      <c r="J1499" s="27"/>
      <c r="K1499" s="29"/>
      <c r="L1499" s="31"/>
      <c r="M1499" s="28"/>
      <c r="N1499" s="30"/>
      <c r="O1499" s="27"/>
      <c r="P1499" s="137"/>
    </row>
    <row r="1500" spans="1:16" x14ac:dyDescent="0.3">
      <c r="A1500" s="27"/>
      <c r="B1500" s="27"/>
      <c r="C1500" s="27"/>
      <c r="D1500" s="27"/>
      <c r="E1500" s="27"/>
      <c r="F1500" s="27"/>
      <c r="G1500" s="27"/>
      <c r="H1500" s="27"/>
      <c r="I1500" s="28"/>
      <c r="J1500" s="27"/>
      <c r="K1500" s="29"/>
      <c r="L1500" s="31"/>
      <c r="M1500" s="28"/>
      <c r="N1500" s="30"/>
      <c r="O1500" s="27"/>
      <c r="P1500" s="137"/>
    </row>
    <row r="1501" spans="1:16" x14ac:dyDescent="0.3">
      <c r="A1501" s="27"/>
      <c r="B1501" s="27"/>
      <c r="C1501" s="27"/>
      <c r="D1501" s="27"/>
      <c r="E1501" s="27"/>
      <c r="F1501" s="27"/>
      <c r="G1501" s="27"/>
      <c r="H1501" s="27"/>
      <c r="I1501" s="28"/>
      <c r="J1501" s="27"/>
      <c r="K1501" s="29"/>
      <c r="L1501" s="31"/>
      <c r="M1501" s="28"/>
      <c r="N1501" s="30"/>
      <c r="O1501" s="27"/>
      <c r="P1501" s="137"/>
    </row>
    <row r="1502" spans="1:16" x14ac:dyDescent="0.3">
      <c r="A1502" s="27"/>
      <c r="B1502" s="27"/>
      <c r="C1502" s="27"/>
      <c r="D1502" s="27"/>
      <c r="E1502" s="27"/>
      <c r="F1502" s="27"/>
      <c r="G1502" s="27"/>
      <c r="H1502" s="27"/>
      <c r="I1502" s="28"/>
      <c r="J1502" s="27"/>
      <c r="K1502" s="29"/>
      <c r="L1502" s="31"/>
      <c r="M1502" s="28"/>
      <c r="N1502" s="30"/>
      <c r="O1502" s="27"/>
      <c r="P1502" s="137"/>
    </row>
    <row r="1503" spans="1:16" x14ac:dyDescent="0.3">
      <c r="A1503" s="27"/>
      <c r="B1503" s="27"/>
      <c r="C1503" s="27"/>
      <c r="D1503" s="27"/>
      <c r="E1503" s="27"/>
      <c r="F1503" s="27"/>
      <c r="G1503" s="27"/>
      <c r="H1503" s="27"/>
      <c r="I1503" s="28"/>
      <c r="J1503" s="27"/>
      <c r="K1503" s="29"/>
      <c r="L1503" s="31"/>
      <c r="M1503" s="28"/>
      <c r="N1503" s="30"/>
      <c r="O1503" s="27"/>
      <c r="P1503" s="137"/>
    </row>
    <row r="1504" spans="1:16" x14ac:dyDescent="0.3">
      <c r="A1504" s="27"/>
      <c r="B1504" s="27"/>
      <c r="C1504" s="27"/>
      <c r="D1504" s="27"/>
      <c r="E1504" s="27"/>
      <c r="F1504" s="27"/>
      <c r="G1504" s="27"/>
      <c r="H1504" s="27"/>
      <c r="I1504" s="28"/>
      <c r="J1504" s="27"/>
      <c r="K1504" s="29"/>
      <c r="L1504" s="31"/>
      <c r="M1504" s="28"/>
      <c r="N1504" s="30"/>
      <c r="O1504" s="27"/>
      <c r="P1504" s="137"/>
    </row>
    <row r="1505" spans="1:16" x14ac:dyDescent="0.3">
      <c r="A1505" s="27"/>
      <c r="B1505" s="27"/>
      <c r="C1505" s="27"/>
      <c r="D1505" s="27"/>
      <c r="E1505" s="27"/>
      <c r="F1505" s="27"/>
      <c r="G1505" s="27"/>
      <c r="H1505" s="27"/>
      <c r="I1505" s="28"/>
      <c r="J1505" s="27"/>
      <c r="K1505" s="29"/>
      <c r="L1505" s="31"/>
      <c r="M1505" s="28"/>
      <c r="N1505" s="30"/>
      <c r="O1505" s="27"/>
      <c r="P1505" s="137"/>
    </row>
    <row r="1506" spans="1:16" x14ac:dyDescent="0.3">
      <c r="A1506" s="27"/>
      <c r="B1506" s="27"/>
      <c r="C1506" s="27"/>
      <c r="D1506" s="27"/>
      <c r="E1506" s="27"/>
      <c r="F1506" s="27"/>
      <c r="G1506" s="27"/>
      <c r="H1506" s="27"/>
      <c r="I1506" s="28"/>
      <c r="J1506" s="27"/>
      <c r="K1506" s="29"/>
      <c r="L1506" s="31"/>
      <c r="M1506" s="28"/>
      <c r="N1506" s="30"/>
      <c r="O1506" s="27"/>
      <c r="P1506" s="137"/>
    </row>
    <row r="1507" spans="1:16" x14ac:dyDescent="0.3">
      <c r="A1507" s="27"/>
      <c r="B1507" s="27"/>
      <c r="C1507" s="27"/>
      <c r="D1507" s="27"/>
      <c r="E1507" s="27"/>
      <c r="F1507" s="27"/>
      <c r="G1507" s="27"/>
      <c r="H1507" s="27"/>
      <c r="I1507" s="28"/>
      <c r="J1507" s="27"/>
      <c r="K1507" s="29"/>
      <c r="L1507" s="31"/>
      <c r="M1507" s="28"/>
      <c r="N1507" s="30"/>
      <c r="O1507" s="27"/>
      <c r="P1507" s="137"/>
    </row>
    <row r="1508" spans="1:16" x14ac:dyDescent="0.3">
      <c r="A1508" s="27"/>
      <c r="B1508" s="27"/>
      <c r="C1508" s="27"/>
      <c r="D1508" s="27"/>
      <c r="E1508" s="27"/>
      <c r="F1508" s="27"/>
      <c r="G1508" s="27"/>
      <c r="H1508" s="27"/>
      <c r="I1508" s="28"/>
      <c r="J1508" s="27"/>
      <c r="K1508" s="29"/>
      <c r="L1508" s="31"/>
      <c r="M1508" s="28"/>
      <c r="N1508" s="30"/>
      <c r="O1508" s="27"/>
      <c r="P1508" s="137"/>
    </row>
    <row r="1509" spans="1:16" x14ac:dyDescent="0.3">
      <c r="A1509" s="27"/>
      <c r="B1509" s="27"/>
      <c r="C1509" s="27"/>
      <c r="D1509" s="27"/>
      <c r="E1509" s="27"/>
      <c r="F1509" s="27"/>
      <c r="G1509" s="27"/>
      <c r="H1509" s="27"/>
      <c r="I1509" s="28"/>
      <c r="J1509" s="27"/>
      <c r="K1509" s="29"/>
      <c r="L1509" s="31"/>
      <c r="M1509" s="28"/>
      <c r="N1509" s="30"/>
      <c r="O1509" s="27"/>
      <c r="P1509" s="137"/>
    </row>
    <row r="1510" spans="1:16" x14ac:dyDescent="0.3">
      <c r="A1510" s="27"/>
      <c r="B1510" s="27"/>
      <c r="C1510" s="27"/>
      <c r="D1510" s="27"/>
      <c r="E1510" s="27"/>
      <c r="F1510" s="27"/>
      <c r="G1510" s="27"/>
      <c r="H1510" s="27"/>
      <c r="I1510" s="28"/>
      <c r="J1510" s="27"/>
      <c r="K1510" s="29"/>
      <c r="L1510" s="31"/>
      <c r="M1510" s="28"/>
      <c r="N1510" s="30"/>
      <c r="O1510" s="27"/>
      <c r="P1510" s="137"/>
    </row>
    <row r="1511" spans="1:16" x14ac:dyDescent="0.3">
      <c r="A1511" s="27"/>
      <c r="B1511" s="27"/>
      <c r="C1511" s="27"/>
      <c r="D1511" s="27"/>
      <c r="E1511" s="27"/>
      <c r="F1511" s="27"/>
      <c r="G1511" s="27"/>
      <c r="H1511" s="27"/>
      <c r="I1511" s="28"/>
      <c r="J1511" s="27"/>
      <c r="K1511" s="29"/>
      <c r="L1511" s="31"/>
      <c r="M1511" s="28"/>
      <c r="N1511" s="30"/>
      <c r="O1511" s="27"/>
      <c r="P1511" s="137"/>
    </row>
    <row r="1512" spans="1:16" x14ac:dyDescent="0.3">
      <c r="A1512" s="27"/>
      <c r="B1512" s="27"/>
      <c r="C1512" s="27"/>
      <c r="D1512" s="27"/>
      <c r="E1512" s="27"/>
      <c r="F1512" s="27"/>
      <c r="G1512" s="27"/>
      <c r="H1512" s="27"/>
      <c r="I1512" s="28"/>
      <c r="J1512" s="27"/>
      <c r="K1512" s="29"/>
      <c r="L1512" s="31"/>
      <c r="M1512" s="28"/>
      <c r="N1512" s="30"/>
      <c r="O1512" s="27"/>
      <c r="P1512" s="137"/>
    </row>
    <row r="1513" spans="1:16" x14ac:dyDescent="0.3">
      <c r="A1513" s="27"/>
      <c r="B1513" s="27"/>
      <c r="C1513" s="27"/>
      <c r="D1513" s="27"/>
      <c r="E1513" s="27"/>
      <c r="F1513" s="27"/>
      <c r="G1513" s="27"/>
      <c r="H1513" s="27"/>
      <c r="I1513" s="28"/>
      <c r="J1513" s="27"/>
      <c r="K1513" s="29"/>
      <c r="L1513" s="31"/>
      <c r="M1513" s="28"/>
      <c r="N1513" s="30"/>
      <c r="O1513" s="27"/>
      <c r="P1513" s="137"/>
    </row>
    <row r="1514" spans="1:16" x14ac:dyDescent="0.3">
      <c r="A1514" s="27"/>
      <c r="B1514" s="27"/>
      <c r="C1514" s="27"/>
      <c r="D1514" s="27"/>
      <c r="E1514" s="27"/>
      <c r="F1514" s="27"/>
      <c r="G1514" s="27"/>
      <c r="H1514" s="27"/>
      <c r="I1514" s="28"/>
      <c r="J1514" s="27"/>
      <c r="K1514" s="29"/>
      <c r="L1514" s="31"/>
      <c r="M1514" s="28"/>
      <c r="N1514" s="30"/>
      <c r="O1514" s="27"/>
      <c r="P1514" s="137"/>
    </row>
    <row r="1515" spans="1:16" x14ac:dyDescent="0.3">
      <c r="A1515" s="27"/>
      <c r="B1515" s="27"/>
      <c r="C1515" s="27"/>
      <c r="D1515" s="27"/>
      <c r="E1515" s="27"/>
      <c r="F1515" s="27"/>
      <c r="G1515" s="27"/>
      <c r="H1515" s="27"/>
      <c r="I1515" s="28"/>
      <c r="J1515" s="27"/>
      <c r="K1515" s="29"/>
      <c r="L1515" s="31"/>
      <c r="M1515" s="28"/>
      <c r="N1515" s="30"/>
      <c r="O1515" s="27"/>
      <c r="P1515" s="137"/>
    </row>
    <row r="1516" spans="1:16" x14ac:dyDescent="0.3">
      <c r="A1516" s="27"/>
      <c r="B1516" s="27"/>
      <c r="C1516" s="27"/>
      <c r="D1516" s="27"/>
      <c r="E1516" s="27"/>
      <c r="F1516" s="27"/>
      <c r="G1516" s="27"/>
      <c r="H1516" s="27"/>
      <c r="I1516" s="28"/>
      <c r="J1516" s="27"/>
      <c r="K1516" s="29"/>
      <c r="L1516" s="31"/>
      <c r="M1516" s="28"/>
      <c r="N1516" s="30"/>
      <c r="O1516" s="27"/>
      <c r="P1516" s="137"/>
    </row>
    <row r="1517" spans="1:16" x14ac:dyDescent="0.3">
      <c r="A1517" s="27"/>
      <c r="B1517" s="27"/>
      <c r="C1517" s="27"/>
      <c r="D1517" s="27"/>
      <c r="E1517" s="27"/>
      <c r="F1517" s="27"/>
      <c r="G1517" s="27"/>
      <c r="H1517" s="27"/>
      <c r="I1517" s="28"/>
      <c r="J1517" s="27"/>
      <c r="K1517" s="29"/>
      <c r="L1517" s="31"/>
      <c r="M1517" s="28"/>
      <c r="N1517" s="30"/>
      <c r="O1517" s="27"/>
      <c r="P1517" s="137"/>
    </row>
    <row r="1518" spans="1:16" x14ac:dyDescent="0.3">
      <c r="A1518" s="27"/>
      <c r="B1518" s="27"/>
      <c r="C1518" s="27"/>
      <c r="D1518" s="27"/>
      <c r="E1518" s="27"/>
      <c r="F1518" s="27"/>
      <c r="G1518" s="27"/>
      <c r="H1518" s="27"/>
      <c r="I1518" s="28"/>
      <c r="J1518" s="27"/>
      <c r="K1518" s="29"/>
      <c r="L1518" s="31"/>
      <c r="M1518" s="28"/>
      <c r="N1518" s="30"/>
      <c r="O1518" s="27"/>
      <c r="P1518" s="137"/>
    </row>
    <row r="1519" spans="1:16" x14ac:dyDescent="0.3">
      <c r="A1519" s="27"/>
      <c r="B1519" s="27"/>
      <c r="C1519" s="27"/>
      <c r="D1519" s="27"/>
      <c r="E1519" s="27"/>
      <c r="F1519" s="27"/>
      <c r="G1519" s="27"/>
      <c r="H1519" s="27"/>
      <c r="I1519" s="28"/>
      <c r="J1519" s="27"/>
      <c r="K1519" s="29"/>
      <c r="L1519" s="31"/>
      <c r="M1519" s="28"/>
      <c r="N1519" s="30"/>
      <c r="O1519" s="27"/>
      <c r="P1519" s="137"/>
    </row>
    <row r="1520" spans="1:16" x14ac:dyDescent="0.3">
      <c r="A1520" s="27"/>
      <c r="B1520" s="27"/>
      <c r="C1520" s="27"/>
      <c r="D1520" s="27"/>
      <c r="E1520" s="27"/>
      <c r="F1520" s="27"/>
      <c r="G1520" s="27"/>
      <c r="H1520" s="27"/>
      <c r="I1520" s="28"/>
      <c r="J1520" s="27"/>
      <c r="K1520" s="29"/>
      <c r="L1520" s="31"/>
      <c r="M1520" s="28"/>
      <c r="N1520" s="30"/>
      <c r="O1520" s="27"/>
      <c r="P1520" s="137"/>
    </row>
    <row r="1521" spans="1:16" x14ac:dyDescent="0.3">
      <c r="A1521" s="27"/>
      <c r="B1521" s="27"/>
      <c r="C1521" s="27"/>
      <c r="D1521" s="27"/>
      <c r="E1521" s="27"/>
      <c r="F1521" s="27"/>
      <c r="G1521" s="27"/>
      <c r="H1521" s="27"/>
      <c r="I1521" s="28"/>
      <c r="J1521" s="27"/>
      <c r="K1521" s="29"/>
      <c r="L1521" s="31"/>
      <c r="M1521" s="28"/>
      <c r="N1521" s="30"/>
      <c r="O1521" s="27"/>
      <c r="P1521" s="137"/>
    </row>
    <row r="1522" spans="1:16" x14ac:dyDescent="0.3">
      <c r="A1522" s="27"/>
      <c r="B1522" s="27"/>
      <c r="C1522" s="27"/>
      <c r="D1522" s="27"/>
      <c r="E1522" s="27"/>
      <c r="F1522" s="27"/>
      <c r="G1522" s="27"/>
      <c r="H1522" s="27"/>
      <c r="I1522" s="28"/>
      <c r="J1522" s="27"/>
      <c r="K1522" s="29"/>
      <c r="L1522" s="31"/>
      <c r="M1522" s="28"/>
      <c r="N1522" s="30"/>
      <c r="O1522" s="27"/>
      <c r="P1522" s="137"/>
    </row>
    <row r="1523" spans="1:16" x14ac:dyDescent="0.3">
      <c r="A1523" s="27"/>
      <c r="B1523" s="27"/>
      <c r="C1523" s="27"/>
      <c r="D1523" s="27"/>
      <c r="E1523" s="27"/>
      <c r="F1523" s="27"/>
      <c r="G1523" s="27"/>
      <c r="H1523" s="27"/>
      <c r="I1523" s="28"/>
      <c r="J1523" s="27"/>
      <c r="K1523" s="29"/>
      <c r="L1523" s="31"/>
      <c r="M1523" s="28"/>
      <c r="N1523" s="30"/>
      <c r="O1523" s="27"/>
      <c r="P1523" s="137"/>
    </row>
    <row r="1524" spans="1:16" x14ac:dyDescent="0.3">
      <c r="A1524" s="27"/>
      <c r="B1524" s="27"/>
      <c r="C1524" s="27"/>
      <c r="D1524" s="27"/>
      <c r="E1524" s="27"/>
      <c r="F1524" s="27"/>
      <c r="G1524" s="27"/>
      <c r="H1524" s="27"/>
      <c r="I1524" s="28"/>
      <c r="J1524" s="27"/>
      <c r="K1524" s="29"/>
      <c r="L1524" s="31"/>
      <c r="M1524" s="28"/>
      <c r="N1524" s="30"/>
      <c r="O1524" s="27"/>
      <c r="P1524" s="137"/>
    </row>
    <row r="1525" spans="1:16" x14ac:dyDescent="0.3">
      <c r="A1525" s="27"/>
      <c r="B1525" s="27"/>
      <c r="C1525" s="27"/>
      <c r="D1525" s="27"/>
      <c r="E1525" s="27"/>
      <c r="F1525" s="27"/>
      <c r="G1525" s="27"/>
      <c r="H1525" s="27"/>
      <c r="I1525" s="28"/>
      <c r="J1525" s="27"/>
      <c r="K1525" s="29"/>
      <c r="L1525" s="31"/>
      <c r="M1525" s="28"/>
      <c r="N1525" s="30"/>
      <c r="O1525" s="27"/>
      <c r="P1525" s="137"/>
    </row>
    <row r="1526" spans="1:16" x14ac:dyDescent="0.3">
      <c r="A1526" s="27"/>
      <c r="B1526" s="27"/>
      <c r="C1526" s="27"/>
      <c r="D1526" s="27"/>
      <c r="E1526" s="27"/>
      <c r="F1526" s="27"/>
      <c r="G1526" s="27"/>
      <c r="H1526" s="27"/>
      <c r="I1526" s="28"/>
      <c r="J1526" s="27"/>
      <c r="K1526" s="29"/>
      <c r="L1526" s="31"/>
      <c r="M1526" s="28"/>
      <c r="N1526" s="30"/>
      <c r="O1526" s="27"/>
      <c r="P1526" s="137"/>
    </row>
    <row r="1527" spans="1:16" x14ac:dyDescent="0.3">
      <c r="A1527" s="27"/>
      <c r="B1527" s="27"/>
      <c r="C1527" s="27"/>
      <c r="D1527" s="27"/>
      <c r="E1527" s="27"/>
      <c r="F1527" s="27"/>
      <c r="G1527" s="27"/>
      <c r="H1527" s="27"/>
      <c r="I1527" s="28"/>
      <c r="J1527" s="27"/>
      <c r="K1527" s="29"/>
      <c r="L1527" s="31"/>
      <c r="M1527" s="28"/>
      <c r="N1527" s="30"/>
      <c r="O1527" s="27"/>
      <c r="P1527" s="137"/>
    </row>
    <row r="1528" spans="1:16" x14ac:dyDescent="0.3">
      <c r="A1528" s="27"/>
      <c r="B1528" s="27"/>
      <c r="C1528" s="27"/>
      <c r="D1528" s="27"/>
      <c r="E1528" s="27"/>
      <c r="F1528" s="27"/>
      <c r="G1528" s="27"/>
      <c r="H1528" s="27"/>
      <c r="I1528" s="28"/>
      <c r="J1528" s="27"/>
      <c r="K1528" s="29"/>
      <c r="L1528" s="31"/>
      <c r="M1528" s="28"/>
      <c r="N1528" s="30"/>
      <c r="O1528" s="27"/>
      <c r="P1528" s="137"/>
    </row>
    <row r="1529" spans="1:16" x14ac:dyDescent="0.3">
      <c r="A1529" s="27"/>
      <c r="B1529" s="27"/>
      <c r="C1529" s="27"/>
      <c r="D1529" s="27"/>
      <c r="E1529" s="27"/>
      <c r="F1529" s="27"/>
      <c r="G1529" s="27"/>
      <c r="H1529" s="27"/>
      <c r="I1529" s="28"/>
      <c r="J1529" s="27"/>
      <c r="K1529" s="29"/>
      <c r="L1529" s="31"/>
      <c r="M1529" s="28"/>
      <c r="N1529" s="30"/>
      <c r="O1529" s="27"/>
      <c r="P1529" s="137"/>
    </row>
    <row r="1530" spans="1:16" x14ac:dyDescent="0.3">
      <c r="A1530" s="27"/>
      <c r="B1530" s="27"/>
      <c r="C1530" s="27"/>
      <c r="D1530" s="27"/>
      <c r="E1530" s="27"/>
      <c r="F1530" s="27"/>
      <c r="G1530" s="27"/>
      <c r="H1530" s="27"/>
      <c r="I1530" s="28"/>
      <c r="J1530" s="27"/>
      <c r="K1530" s="29"/>
      <c r="L1530" s="31"/>
      <c r="M1530" s="28"/>
      <c r="N1530" s="30"/>
      <c r="O1530" s="27"/>
      <c r="P1530" s="137"/>
    </row>
    <row r="1531" spans="1:16" x14ac:dyDescent="0.3">
      <c r="A1531" s="27"/>
      <c r="B1531" s="27"/>
      <c r="C1531" s="27"/>
      <c r="D1531" s="27"/>
      <c r="E1531" s="27"/>
      <c r="F1531" s="27"/>
      <c r="G1531" s="27"/>
      <c r="H1531" s="27"/>
      <c r="I1531" s="28"/>
      <c r="J1531" s="27"/>
      <c r="K1531" s="29"/>
      <c r="L1531" s="31"/>
      <c r="M1531" s="28"/>
      <c r="N1531" s="30"/>
      <c r="O1531" s="27"/>
      <c r="P1531" s="137"/>
    </row>
    <row r="1532" spans="1:16" x14ac:dyDescent="0.3">
      <c r="A1532" s="27"/>
      <c r="B1532" s="27"/>
      <c r="C1532" s="27"/>
      <c r="D1532" s="27"/>
      <c r="E1532" s="27"/>
      <c r="F1532" s="27"/>
      <c r="G1532" s="27"/>
      <c r="H1532" s="27"/>
      <c r="I1532" s="28"/>
      <c r="J1532" s="27"/>
      <c r="K1532" s="29"/>
      <c r="L1532" s="31"/>
      <c r="M1532" s="28"/>
      <c r="N1532" s="30"/>
      <c r="O1532" s="27"/>
      <c r="P1532" s="137"/>
    </row>
    <row r="1533" spans="1:16" x14ac:dyDescent="0.3">
      <c r="A1533" s="27"/>
      <c r="B1533" s="27"/>
      <c r="C1533" s="27"/>
      <c r="D1533" s="27"/>
      <c r="E1533" s="27"/>
      <c r="F1533" s="27"/>
      <c r="G1533" s="27"/>
      <c r="H1533" s="27"/>
      <c r="I1533" s="28"/>
      <c r="J1533" s="27"/>
      <c r="K1533" s="29"/>
      <c r="L1533" s="31"/>
      <c r="M1533" s="28"/>
      <c r="N1533" s="30"/>
      <c r="O1533" s="27"/>
      <c r="P1533" s="137"/>
    </row>
    <row r="1534" spans="1:16" x14ac:dyDescent="0.3">
      <c r="A1534" s="27"/>
      <c r="B1534" s="27"/>
      <c r="C1534" s="27"/>
      <c r="D1534" s="27"/>
      <c r="E1534" s="27"/>
      <c r="F1534" s="27"/>
      <c r="G1534" s="27"/>
      <c r="H1534" s="27"/>
      <c r="I1534" s="28"/>
      <c r="J1534" s="27"/>
      <c r="K1534" s="29"/>
      <c r="L1534" s="31"/>
      <c r="M1534" s="28"/>
      <c r="N1534" s="30"/>
      <c r="O1534" s="27"/>
      <c r="P1534" s="137"/>
    </row>
    <row r="1535" spans="1:16" x14ac:dyDescent="0.3">
      <c r="A1535" s="27"/>
      <c r="B1535" s="27"/>
      <c r="C1535" s="27"/>
      <c r="D1535" s="27"/>
      <c r="E1535" s="27"/>
      <c r="F1535" s="27"/>
      <c r="G1535" s="27"/>
      <c r="H1535" s="27"/>
      <c r="I1535" s="28"/>
      <c r="J1535" s="27"/>
      <c r="K1535" s="29"/>
      <c r="L1535" s="31"/>
      <c r="M1535" s="28"/>
      <c r="N1535" s="30"/>
      <c r="O1535" s="27"/>
      <c r="P1535" s="137"/>
    </row>
    <row r="1536" spans="1:16" x14ac:dyDescent="0.3">
      <c r="A1536" s="27"/>
      <c r="B1536" s="27"/>
      <c r="C1536" s="27"/>
      <c r="D1536" s="27"/>
      <c r="E1536" s="27"/>
      <c r="F1536" s="27"/>
      <c r="G1536" s="27"/>
      <c r="H1536" s="27"/>
      <c r="I1536" s="28"/>
      <c r="J1536" s="27"/>
      <c r="K1536" s="29"/>
      <c r="L1536" s="31"/>
      <c r="M1536" s="28"/>
      <c r="N1536" s="30"/>
      <c r="O1536" s="27"/>
      <c r="P1536" s="137"/>
    </row>
    <row r="1537" spans="1:16" x14ac:dyDescent="0.3">
      <c r="A1537" s="27"/>
      <c r="B1537" s="27"/>
      <c r="C1537" s="27"/>
      <c r="D1537" s="27"/>
      <c r="E1537" s="27"/>
      <c r="F1537" s="27"/>
      <c r="G1537" s="27"/>
      <c r="H1537" s="27"/>
      <c r="I1537" s="28"/>
      <c r="J1537" s="27"/>
      <c r="K1537" s="29"/>
      <c r="L1537" s="31"/>
      <c r="M1537" s="28"/>
      <c r="N1537" s="30"/>
      <c r="O1537" s="27"/>
      <c r="P1537" s="137"/>
    </row>
    <row r="1538" spans="1:16" x14ac:dyDescent="0.3">
      <c r="A1538" s="27"/>
      <c r="B1538" s="27"/>
      <c r="C1538" s="27"/>
      <c r="D1538" s="27"/>
      <c r="E1538" s="27"/>
      <c r="F1538" s="27"/>
      <c r="G1538" s="27"/>
      <c r="H1538" s="27"/>
      <c r="I1538" s="28"/>
      <c r="J1538" s="27"/>
      <c r="K1538" s="29"/>
      <c r="L1538" s="31"/>
      <c r="M1538" s="28"/>
      <c r="N1538" s="30"/>
      <c r="O1538" s="27"/>
      <c r="P1538" s="137"/>
    </row>
    <row r="1539" spans="1:16" x14ac:dyDescent="0.3">
      <c r="A1539" s="27"/>
      <c r="B1539" s="27"/>
      <c r="C1539" s="27"/>
      <c r="D1539" s="27"/>
      <c r="E1539" s="27"/>
      <c r="F1539" s="27"/>
      <c r="G1539" s="27"/>
      <c r="H1539" s="27"/>
      <c r="I1539" s="28"/>
      <c r="J1539" s="27"/>
      <c r="K1539" s="29"/>
      <c r="L1539" s="31"/>
      <c r="M1539" s="28"/>
      <c r="N1539" s="30"/>
      <c r="O1539" s="27"/>
      <c r="P1539" s="137"/>
    </row>
    <row r="1540" spans="1:16" x14ac:dyDescent="0.3">
      <c r="A1540" s="27"/>
      <c r="B1540" s="27"/>
      <c r="C1540" s="27"/>
      <c r="D1540" s="27"/>
      <c r="E1540" s="27"/>
      <c r="F1540" s="27"/>
      <c r="G1540" s="27"/>
      <c r="H1540" s="27"/>
      <c r="I1540" s="28"/>
      <c r="J1540" s="27"/>
      <c r="K1540" s="29"/>
      <c r="L1540" s="31"/>
      <c r="M1540" s="28"/>
      <c r="N1540" s="30"/>
      <c r="O1540" s="27"/>
      <c r="P1540" s="137"/>
    </row>
    <row r="1541" spans="1:16" x14ac:dyDescent="0.3">
      <c r="A1541" s="27"/>
      <c r="B1541" s="27"/>
      <c r="C1541" s="27"/>
      <c r="D1541" s="27"/>
      <c r="E1541" s="27"/>
      <c r="F1541" s="27"/>
      <c r="G1541" s="27"/>
      <c r="H1541" s="27"/>
      <c r="I1541" s="28"/>
      <c r="J1541" s="27"/>
      <c r="K1541" s="29"/>
      <c r="L1541" s="31"/>
      <c r="M1541" s="28"/>
      <c r="N1541" s="30"/>
      <c r="O1541" s="27"/>
      <c r="P1541" s="137"/>
    </row>
    <row r="1542" spans="1:16" x14ac:dyDescent="0.3">
      <c r="A1542" s="27"/>
      <c r="B1542" s="27"/>
      <c r="C1542" s="27"/>
      <c r="D1542" s="27"/>
      <c r="E1542" s="27"/>
      <c r="F1542" s="27"/>
      <c r="G1542" s="27"/>
      <c r="H1542" s="27"/>
      <c r="I1542" s="28"/>
      <c r="J1542" s="27"/>
      <c r="K1542" s="29"/>
      <c r="L1542" s="31"/>
      <c r="M1542" s="28"/>
      <c r="N1542" s="30"/>
      <c r="O1542" s="27"/>
      <c r="P1542" s="137"/>
    </row>
    <row r="1543" spans="1:16" x14ac:dyDescent="0.3">
      <c r="A1543" s="27"/>
      <c r="B1543" s="27"/>
      <c r="C1543" s="27"/>
      <c r="D1543" s="27"/>
      <c r="E1543" s="27"/>
      <c r="F1543" s="27"/>
      <c r="G1543" s="27"/>
      <c r="H1543" s="27"/>
      <c r="I1543" s="28"/>
      <c r="J1543" s="27"/>
      <c r="K1543" s="29"/>
      <c r="L1543" s="31"/>
      <c r="M1543" s="28"/>
      <c r="N1543" s="30"/>
      <c r="O1543" s="27"/>
      <c r="P1543" s="137"/>
    </row>
    <row r="1544" spans="1:16" x14ac:dyDescent="0.3">
      <c r="A1544" s="27"/>
      <c r="B1544" s="27"/>
      <c r="C1544" s="27"/>
      <c r="D1544" s="27"/>
      <c r="E1544" s="27"/>
      <c r="F1544" s="27"/>
      <c r="G1544" s="27"/>
      <c r="H1544" s="27"/>
      <c r="I1544" s="28"/>
      <c r="J1544" s="27"/>
      <c r="K1544" s="29"/>
      <c r="L1544" s="31"/>
      <c r="M1544" s="28"/>
      <c r="N1544" s="30"/>
      <c r="O1544" s="27"/>
      <c r="P1544" s="137"/>
    </row>
    <row r="1545" spans="1:16" x14ac:dyDescent="0.3">
      <c r="A1545" s="27"/>
      <c r="B1545" s="27"/>
      <c r="C1545" s="27"/>
      <c r="D1545" s="27"/>
      <c r="E1545" s="27"/>
      <c r="F1545" s="27"/>
      <c r="G1545" s="27"/>
      <c r="H1545" s="27"/>
      <c r="I1545" s="28"/>
      <c r="J1545" s="27"/>
      <c r="K1545" s="29"/>
      <c r="L1545" s="31"/>
      <c r="M1545" s="28"/>
      <c r="N1545" s="30"/>
      <c r="O1545" s="27"/>
      <c r="P1545" s="137"/>
    </row>
    <row r="1546" spans="1:16" x14ac:dyDescent="0.3">
      <c r="A1546" s="27"/>
      <c r="B1546" s="27"/>
      <c r="C1546" s="27"/>
      <c r="D1546" s="27"/>
      <c r="E1546" s="27"/>
      <c r="F1546" s="27"/>
      <c r="G1546" s="27"/>
      <c r="H1546" s="27"/>
      <c r="I1546" s="28"/>
      <c r="J1546" s="27"/>
      <c r="K1546" s="29"/>
      <c r="L1546" s="31"/>
      <c r="M1546" s="28"/>
      <c r="N1546" s="30"/>
      <c r="O1546" s="27"/>
      <c r="P1546" s="137"/>
    </row>
    <row r="1547" spans="1:16" x14ac:dyDescent="0.3">
      <c r="A1547" s="27"/>
      <c r="B1547" s="27"/>
      <c r="C1547" s="27"/>
      <c r="D1547" s="27"/>
      <c r="E1547" s="27"/>
      <c r="F1547" s="27"/>
      <c r="G1547" s="27"/>
      <c r="H1547" s="27"/>
      <c r="I1547" s="28"/>
      <c r="J1547" s="27"/>
      <c r="K1547" s="29"/>
      <c r="L1547" s="31"/>
      <c r="M1547" s="28"/>
      <c r="N1547" s="30"/>
      <c r="O1547" s="27"/>
      <c r="P1547" s="137"/>
    </row>
    <row r="1548" spans="1:16" x14ac:dyDescent="0.3">
      <c r="A1548" s="27"/>
      <c r="B1548" s="27"/>
      <c r="C1548" s="27"/>
      <c r="D1548" s="27"/>
      <c r="E1548" s="27"/>
      <c r="F1548" s="27"/>
      <c r="G1548" s="27"/>
      <c r="H1548" s="27"/>
      <c r="I1548" s="28"/>
      <c r="J1548" s="27"/>
      <c r="K1548" s="29"/>
      <c r="L1548" s="31"/>
      <c r="M1548" s="28"/>
      <c r="N1548" s="30"/>
      <c r="O1548" s="27"/>
      <c r="P1548" s="137"/>
    </row>
    <row r="1549" spans="1:16" x14ac:dyDescent="0.3">
      <c r="A1549" s="27"/>
      <c r="B1549" s="27"/>
      <c r="C1549" s="27"/>
      <c r="D1549" s="27"/>
      <c r="E1549" s="27"/>
      <c r="F1549" s="27"/>
      <c r="G1549" s="27"/>
      <c r="H1549" s="27"/>
      <c r="I1549" s="28"/>
      <c r="J1549" s="27"/>
      <c r="K1549" s="29"/>
      <c r="L1549" s="31"/>
      <c r="M1549" s="28"/>
      <c r="N1549" s="30"/>
      <c r="O1549" s="27"/>
      <c r="P1549" s="137"/>
    </row>
    <row r="1550" spans="1:16" x14ac:dyDescent="0.3">
      <c r="A1550" s="27"/>
      <c r="B1550" s="27"/>
      <c r="C1550" s="27"/>
      <c r="D1550" s="27"/>
      <c r="E1550" s="27"/>
      <c r="F1550" s="27"/>
      <c r="G1550" s="27"/>
      <c r="H1550" s="27"/>
      <c r="I1550" s="28"/>
      <c r="J1550" s="27"/>
      <c r="K1550" s="29"/>
      <c r="L1550" s="31"/>
      <c r="M1550" s="28"/>
      <c r="N1550" s="30"/>
      <c r="O1550" s="27"/>
      <c r="P1550" s="137"/>
    </row>
    <row r="1551" spans="1:16" x14ac:dyDescent="0.3">
      <c r="A1551" s="27"/>
      <c r="B1551" s="27"/>
      <c r="C1551" s="27"/>
      <c r="D1551" s="27"/>
      <c r="E1551" s="27"/>
      <c r="F1551" s="27"/>
      <c r="G1551" s="27"/>
      <c r="H1551" s="27"/>
      <c r="I1551" s="28"/>
      <c r="J1551" s="27"/>
      <c r="K1551" s="29"/>
      <c r="L1551" s="31"/>
      <c r="M1551" s="28"/>
      <c r="N1551" s="30"/>
      <c r="O1551" s="27"/>
      <c r="P1551" s="137"/>
    </row>
    <row r="1552" spans="1:16" x14ac:dyDescent="0.3">
      <c r="A1552" s="27"/>
      <c r="B1552" s="27"/>
      <c r="C1552" s="27"/>
      <c r="D1552" s="27"/>
      <c r="E1552" s="27"/>
      <c r="F1552" s="27"/>
      <c r="G1552" s="27"/>
      <c r="H1552" s="27"/>
      <c r="I1552" s="28"/>
      <c r="J1552" s="27"/>
      <c r="K1552" s="29"/>
      <c r="L1552" s="31"/>
      <c r="M1552" s="28"/>
      <c r="N1552" s="30"/>
      <c r="O1552" s="27"/>
      <c r="P1552" s="137"/>
    </row>
    <row r="1553" spans="1:16" x14ac:dyDescent="0.3">
      <c r="A1553" s="27"/>
      <c r="B1553" s="27"/>
      <c r="C1553" s="27"/>
      <c r="D1553" s="27"/>
      <c r="E1553" s="27"/>
      <c r="F1553" s="27"/>
      <c r="G1553" s="27"/>
      <c r="H1553" s="27"/>
      <c r="I1553" s="28"/>
      <c r="J1553" s="27"/>
      <c r="K1553" s="29"/>
      <c r="L1553" s="31"/>
      <c r="M1553" s="28"/>
      <c r="N1553" s="30"/>
      <c r="O1553" s="27"/>
      <c r="P1553" s="137"/>
    </row>
    <row r="1554" spans="1:16" x14ac:dyDescent="0.3">
      <c r="A1554" s="27"/>
      <c r="B1554" s="27"/>
      <c r="C1554" s="27"/>
      <c r="D1554" s="27"/>
      <c r="E1554" s="27"/>
      <c r="F1554" s="27"/>
      <c r="G1554" s="27"/>
      <c r="H1554" s="27"/>
      <c r="I1554" s="28"/>
      <c r="J1554" s="27"/>
      <c r="K1554" s="29"/>
      <c r="L1554" s="31"/>
      <c r="M1554" s="28"/>
      <c r="N1554" s="30"/>
      <c r="O1554" s="27"/>
      <c r="P1554" s="137"/>
    </row>
    <row r="1555" spans="1:16" x14ac:dyDescent="0.3">
      <c r="A1555" s="27"/>
      <c r="B1555" s="27"/>
      <c r="C1555" s="27"/>
      <c r="D1555" s="27"/>
      <c r="E1555" s="27"/>
      <c r="F1555" s="27"/>
      <c r="G1555" s="27"/>
      <c r="H1555" s="27"/>
      <c r="I1555" s="28"/>
      <c r="J1555" s="27"/>
      <c r="K1555" s="29"/>
      <c r="L1555" s="31"/>
      <c r="M1555" s="28"/>
      <c r="N1555" s="30"/>
      <c r="O1555" s="27"/>
      <c r="P1555" s="137"/>
    </row>
    <row r="1556" spans="1:16" x14ac:dyDescent="0.3">
      <c r="A1556" s="27"/>
      <c r="B1556" s="27"/>
      <c r="C1556" s="27"/>
      <c r="D1556" s="27"/>
      <c r="E1556" s="27"/>
      <c r="F1556" s="27"/>
      <c r="G1556" s="27"/>
      <c r="H1556" s="27"/>
      <c r="I1556" s="28"/>
      <c r="J1556" s="27"/>
      <c r="K1556" s="29"/>
      <c r="L1556" s="31"/>
      <c r="M1556" s="28"/>
      <c r="N1556" s="30"/>
      <c r="O1556" s="27"/>
      <c r="P1556" s="137"/>
    </row>
    <row r="1557" spans="1:16" x14ac:dyDescent="0.3">
      <c r="A1557" s="27"/>
      <c r="B1557" s="27"/>
      <c r="C1557" s="27"/>
      <c r="D1557" s="27"/>
      <c r="E1557" s="27"/>
      <c r="F1557" s="27"/>
      <c r="G1557" s="27"/>
      <c r="H1557" s="27"/>
      <c r="I1557" s="28"/>
      <c r="J1557" s="27"/>
      <c r="K1557" s="29"/>
      <c r="L1557" s="31"/>
      <c r="M1557" s="28"/>
      <c r="N1557" s="30"/>
      <c r="O1557" s="27"/>
      <c r="P1557" s="137"/>
    </row>
    <row r="1558" spans="1:16" x14ac:dyDescent="0.3">
      <c r="A1558" s="27"/>
      <c r="B1558" s="27"/>
      <c r="C1558" s="27"/>
      <c r="D1558" s="27"/>
      <c r="E1558" s="27"/>
      <c r="F1558" s="27"/>
      <c r="G1558" s="27"/>
      <c r="H1558" s="27"/>
      <c r="I1558" s="28"/>
      <c r="J1558" s="27"/>
      <c r="K1558" s="29"/>
      <c r="L1558" s="31"/>
      <c r="M1558" s="28"/>
      <c r="N1558" s="30"/>
      <c r="O1558" s="27"/>
      <c r="P1558" s="137"/>
    </row>
    <row r="1559" spans="1:16" x14ac:dyDescent="0.3">
      <c r="A1559" s="27"/>
      <c r="B1559" s="27"/>
      <c r="C1559" s="27"/>
      <c r="D1559" s="27"/>
      <c r="E1559" s="27"/>
      <c r="F1559" s="27"/>
      <c r="G1559" s="27"/>
      <c r="H1559" s="27"/>
      <c r="I1559" s="28"/>
      <c r="J1559" s="27"/>
      <c r="K1559" s="29"/>
      <c r="L1559" s="31"/>
      <c r="M1559" s="28"/>
      <c r="N1559" s="30"/>
      <c r="O1559" s="27"/>
      <c r="P1559" s="137"/>
    </row>
    <row r="1560" spans="1:16" x14ac:dyDescent="0.3">
      <c r="A1560" s="27"/>
      <c r="B1560" s="27"/>
      <c r="C1560" s="27"/>
      <c r="D1560" s="27"/>
      <c r="E1560" s="27"/>
      <c r="F1560" s="27"/>
      <c r="G1560" s="27"/>
      <c r="H1560" s="27"/>
      <c r="I1560" s="28"/>
      <c r="J1560" s="27"/>
      <c r="K1560" s="29"/>
      <c r="L1560" s="31"/>
      <c r="M1560" s="28"/>
      <c r="N1560" s="30"/>
      <c r="O1560" s="27"/>
      <c r="P1560" s="137"/>
    </row>
    <row r="1561" spans="1:16" x14ac:dyDescent="0.3">
      <c r="A1561" s="27"/>
      <c r="B1561" s="27"/>
      <c r="C1561" s="27"/>
      <c r="D1561" s="27"/>
      <c r="E1561" s="27"/>
      <c r="F1561" s="27"/>
      <c r="G1561" s="27"/>
      <c r="H1561" s="27"/>
      <c r="I1561" s="28"/>
      <c r="J1561" s="27"/>
      <c r="K1561" s="29"/>
      <c r="L1561" s="31"/>
      <c r="M1561" s="28"/>
      <c r="N1561" s="30"/>
      <c r="O1561" s="27"/>
      <c r="P1561" s="137"/>
    </row>
    <row r="1562" spans="1:16" x14ac:dyDescent="0.3">
      <c r="A1562" s="27"/>
      <c r="B1562" s="27"/>
      <c r="C1562" s="27"/>
      <c r="D1562" s="27"/>
      <c r="E1562" s="27"/>
      <c r="F1562" s="27"/>
      <c r="G1562" s="27"/>
      <c r="H1562" s="27"/>
      <c r="I1562" s="28"/>
      <c r="J1562" s="27"/>
      <c r="K1562" s="29"/>
      <c r="L1562" s="31"/>
      <c r="M1562" s="28"/>
      <c r="N1562" s="30"/>
      <c r="O1562" s="27"/>
      <c r="P1562" s="137"/>
    </row>
    <row r="1563" spans="1:16" x14ac:dyDescent="0.3">
      <c r="A1563" s="27"/>
      <c r="B1563" s="27"/>
      <c r="C1563" s="27"/>
      <c r="D1563" s="27"/>
      <c r="E1563" s="27"/>
      <c r="F1563" s="27"/>
      <c r="G1563" s="27"/>
      <c r="H1563" s="27"/>
      <c r="I1563" s="28"/>
      <c r="J1563" s="27"/>
      <c r="K1563" s="29"/>
      <c r="L1563" s="31"/>
      <c r="M1563" s="28"/>
      <c r="N1563" s="30"/>
      <c r="O1563" s="27"/>
      <c r="P1563" s="137"/>
    </row>
    <row r="1564" spans="1:16" x14ac:dyDescent="0.3">
      <c r="A1564" s="27"/>
      <c r="B1564" s="27"/>
      <c r="C1564" s="27"/>
      <c r="D1564" s="27"/>
      <c r="E1564" s="27"/>
      <c r="F1564" s="27"/>
      <c r="G1564" s="27"/>
      <c r="H1564" s="27"/>
      <c r="I1564" s="28"/>
      <c r="J1564" s="27"/>
      <c r="K1564" s="29"/>
      <c r="L1564" s="31"/>
      <c r="M1564" s="28"/>
      <c r="N1564" s="30"/>
      <c r="O1564" s="27"/>
      <c r="P1564" s="137"/>
    </row>
    <row r="1565" spans="1:16" x14ac:dyDescent="0.3">
      <c r="A1565" s="27"/>
      <c r="B1565" s="27"/>
      <c r="C1565" s="27"/>
      <c r="D1565" s="27"/>
      <c r="E1565" s="27"/>
      <c r="F1565" s="27"/>
      <c r="G1565" s="27"/>
      <c r="H1565" s="27"/>
      <c r="I1565" s="28"/>
      <c r="J1565" s="27"/>
      <c r="K1565" s="29"/>
      <c r="L1565" s="31"/>
      <c r="M1565" s="28"/>
      <c r="N1565" s="30"/>
      <c r="O1565" s="27"/>
      <c r="P1565" s="137"/>
    </row>
    <row r="1566" spans="1:16" x14ac:dyDescent="0.3">
      <c r="A1566" s="27"/>
      <c r="B1566" s="27"/>
      <c r="C1566" s="27"/>
      <c r="D1566" s="27"/>
      <c r="E1566" s="27"/>
      <c r="F1566" s="27"/>
      <c r="G1566" s="27"/>
      <c r="H1566" s="27"/>
      <c r="I1566" s="28"/>
      <c r="J1566" s="27"/>
      <c r="K1566" s="29"/>
      <c r="L1566" s="31"/>
      <c r="M1566" s="28"/>
      <c r="N1566" s="30"/>
      <c r="O1566" s="27"/>
      <c r="P1566" s="137"/>
    </row>
    <row r="1567" spans="1:16" x14ac:dyDescent="0.3">
      <c r="A1567" s="27"/>
      <c r="B1567" s="27"/>
      <c r="C1567" s="27"/>
      <c r="D1567" s="27"/>
      <c r="E1567" s="27"/>
      <c r="F1567" s="27"/>
      <c r="G1567" s="27"/>
      <c r="H1567" s="27"/>
      <c r="I1567" s="28"/>
      <c r="J1567" s="27"/>
      <c r="K1567" s="29"/>
      <c r="L1567" s="31"/>
      <c r="M1567" s="28"/>
      <c r="N1567" s="30"/>
      <c r="O1567" s="27"/>
      <c r="P1567" s="137"/>
    </row>
    <row r="1568" spans="1:16" x14ac:dyDescent="0.3">
      <c r="A1568" s="27"/>
      <c r="B1568" s="27"/>
      <c r="C1568" s="27"/>
      <c r="D1568" s="27"/>
      <c r="E1568" s="27"/>
      <c r="F1568" s="27"/>
      <c r="G1568" s="27"/>
      <c r="H1568" s="27"/>
      <c r="I1568" s="28"/>
      <c r="J1568" s="27"/>
      <c r="K1568" s="29"/>
      <c r="L1568" s="31"/>
      <c r="M1568" s="28"/>
      <c r="N1568" s="30"/>
      <c r="O1568" s="27"/>
      <c r="P1568" s="137"/>
    </row>
    <row r="1569" spans="1:16" x14ac:dyDescent="0.3">
      <c r="A1569" s="27"/>
      <c r="B1569" s="27"/>
      <c r="C1569" s="27"/>
      <c r="D1569" s="27"/>
      <c r="E1569" s="27"/>
      <c r="F1569" s="27"/>
      <c r="G1569" s="27"/>
      <c r="H1569" s="27"/>
      <c r="I1569" s="28"/>
      <c r="J1569" s="27"/>
      <c r="K1569" s="29"/>
      <c r="L1569" s="31"/>
      <c r="M1569" s="28"/>
      <c r="N1569" s="30"/>
      <c r="O1569" s="27"/>
      <c r="P1569" s="137"/>
    </row>
    <row r="1570" spans="1:16" x14ac:dyDescent="0.3">
      <c r="A1570" s="27"/>
      <c r="B1570" s="27"/>
      <c r="C1570" s="27"/>
      <c r="D1570" s="27"/>
      <c r="E1570" s="27"/>
      <c r="F1570" s="27"/>
      <c r="G1570" s="27"/>
      <c r="H1570" s="27"/>
      <c r="I1570" s="28"/>
      <c r="J1570" s="27"/>
      <c r="K1570" s="29"/>
      <c r="L1570" s="31"/>
      <c r="M1570" s="28"/>
      <c r="N1570" s="30"/>
      <c r="O1570" s="27"/>
      <c r="P1570" s="137"/>
    </row>
    <row r="1571" spans="1:16" x14ac:dyDescent="0.3">
      <c r="A1571" s="27"/>
      <c r="B1571" s="27"/>
      <c r="C1571" s="27"/>
      <c r="D1571" s="27"/>
      <c r="E1571" s="27"/>
      <c r="F1571" s="27"/>
      <c r="G1571" s="27"/>
      <c r="H1571" s="27"/>
      <c r="I1571" s="28"/>
      <c r="J1571" s="27"/>
      <c r="K1571" s="29"/>
      <c r="L1571" s="31"/>
      <c r="M1571" s="28"/>
      <c r="N1571" s="30"/>
      <c r="O1571" s="27"/>
      <c r="P1571" s="137"/>
    </row>
    <row r="1572" spans="1:16" x14ac:dyDescent="0.3">
      <c r="A1572" s="27"/>
      <c r="B1572" s="27"/>
      <c r="C1572" s="27"/>
      <c r="D1572" s="27"/>
      <c r="E1572" s="27"/>
      <c r="F1572" s="27"/>
      <c r="G1572" s="27"/>
      <c r="H1572" s="27"/>
      <c r="I1572" s="28"/>
      <c r="J1572" s="27"/>
      <c r="K1572" s="29"/>
      <c r="L1572" s="31"/>
      <c r="M1572" s="28"/>
      <c r="N1572" s="30"/>
      <c r="O1572" s="27"/>
      <c r="P1572" s="137"/>
    </row>
    <row r="1573" spans="1:16" x14ac:dyDescent="0.3">
      <c r="A1573" s="27"/>
      <c r="B1573" s="27"/>
      <c r="C1573" s="27"/>
      <c r="D1573" s="27"/>
      <c r="E1573" s="27"/>
      <c r="F1573" s="27"/>
      <c r="G1573" s="27"/>
      <c r="H1573" s="27"/>
      <c r="I1573" s="28"/>
      <c r="J1573" s="27"/>
      <c r="K1573" s="29"/>
      <c r="L1573" s="31"/>
      <c r="M1573" s="28"/>
      <c r="N1573" s="30"/>
      <c r="O1573" s="27"/>
      <c r="P1573" s="137"/>
    </row>
    <row r="1574" spans="1:16" x14ac:dyDescent="0.3">
      <c r="A1574" s="27"/>
      <c r="B1574" s="27"/>
      <c r="C1574" s="27"/>
      <c r="D1574" s="27"/>
      <c r="E1574" s="27"/>
      <c r="F1574" s="27"/>
      <c r="G1574" s="27"/>
      <c r="H1574" s="27"/>
      <c r="I1574" s="28"/>
      <c r="J1574" s="27"/>
      <c r="K1574" s="29"/>
      <c r="L1574" s="31"/>
      <c r="M1574" s="28"/>
      <c r="N1574" s="30"/>
      <c r="O1574" s="27"/>
      <c r="P1574" s="137"/>
    </row>
    <row r="1575" spans="1:16" x14ac:dyDescent="0.3">
      <c r="A1575" s="27"/>
      <c r="B1575" s="27"/>
      <c r="C1575" s="27"/>
      <c r="D1575" s="27"/>
      <c r="E1575" s="27"/>
      <c r="F1575" s="27"/>
      <c r="G1575" s="27"/>
      <c r="H1575" s="27"/>
      <c r="I1575" s="28"/>
      <c r="J1575" s="27"/>
      <c r="K1575" s="29"/>
      <c r="L1575" s="31"/>
      <c r="M1575" s="28"/>
      <c r="N1575" s="30"/>
      <c r="O1575" s="27"/>
      <c r="P1575" s="137"/>
    </row>
    <row r="1576" spans="1:16" x14ac:dyDescent="0.3">
      <c r="A1576" s="27"/>
      <c r="B1576" s="27"/>
      <c r="C1576" s="27"/>
      <c r="D1576" s="27"/>
      <c r="E1576" s="27"/>
      <c r="F1576" s="27"/>
      <c r="G1576" s="27"/>
      <c r="H1576" s="27"/>
      <c r="I1576" s="28"/>
      <c r="J1576" s="27"/>
      <c r="K1576" s="29"/>
      <c r="L1576" s="31"/>
      <c r="M1576" s="28"/>
      <c r="N1576" s="30"/>
      <c r="O1576" s="27"/>
      <c r="P1576" s="137"/>
    </row>
    <row r="1577" spans="1:16" x14ac:dyDescent="0.3">
      <c r="A1577" s="27"/>
      <c r="B1577" s="27"/>
      <c r="C1577" s="27"/>
      <c r="D1577" s="27"/>
      <c r="E1577" s="27"/>
      <c r="F1577" s="27"/>
      <c r="G1577" s="27"/>
      <c r="H1577" s="27"/>
      <c r="I1577" s="28"/>
      <c r="J1577" s="27"/>
      <c r="K1577" s="29"/>
      <c r="L1577" s="31"/>
      <c r="M1577" s="28"/>
      <c r="N1577" s="30"/>
      <c r="O1577" s="27"/>
      <c r="P1577" s="137"/>
    </row>
    <row r="1578" spans="1:16" x14ac:dyDescent="0.3">
      <c r="A1578" s="27"/>
      <c r="B1578" s="27"/>
      <c r="C1578" s="27"/>
      <c r="D1578" s="27"/>
      <c r="E1578" s="27"/>
      <c r="F1578" s="27"/>
      <c r="G1578" s="27"/>
      <c r="H1578" s="27"/>
      <c r="I1578" s="28"/>
      <c r="J1578" s="27"/>
      <c r="K1578" s="29"/>
      <c r="L1578" s="31"/>
      <c r="M1578" s="28"/>
      <c r="N1578" s="30"/>
      <c r="O1578" s="27"/>
      <c r="P1578" s="137"/>
    </row>
    <row r="1579" spans="1:16" x14ac:dyDescent="0.3">
      <c r="A1579" s="27"/>
      <c r="B1579" s="27"/>
      <c r="C1579" s="27"/>
      <c r="D1579" s="27"/>
      <c r="E1579" s="27"/>
      <c r="F1579" s="27"/>
      <c r="G1579" s="27"/>
      <c r="H1579" s="27"/>
      <c r="I1579" s="28"/>
      <c r="J1579" s="27"/>
      <c r="K1579" s="29"/>
      <c r="L1579" s="31"/>
      <c r="M1579" s="28"/>
      <c r="N1579" s="30"/>
      <c r="O1579" s="27"/>
      <c r="P1579" s="137"/>
    </row>
    <row r="1580" spans="1:16" x14ac:dyDescent="0.3">
      <c r="A1580" s="27"/>
      <c r="B1580" s="27"/>
      <c r="C1580" s="27"/>
      <c r="D1580" s="27"/>
      <c r="E1580" s="27"/>
      <c r="F1580" s="27"/>
      <c r="G1580" s="27"/>
      <c r="H1580" s="27"/>
      <c r="I1580" s="28"/>
      <c r="J1580" s="27"/>
      <c r="K1580" s="29"/>
      <c r="L1580" s="31"/>
      <c r="M1580" s="28"/>
      <c r="N1580" s="30"/>
      <c r="O1580" s="27"/>
      <c r="P1580" s="137"/>
    </row>
    <row r="1581" spans="1:16" x14ac:dyDescent="0.3">
      <c r="A1581" s="27"/>
      <c r="B1581" s="27"/>
      <c r="C1581" s="27"/>
      <c r="D1581" s="27"/>
      <c r="E1581" s="27"/>
      <c r="F1581" s="27"/>
      <c r="G1581" s="27"/>
      <c r="H1581" s="27"/>
      <c r="I1581" s="28"/>
      <c r="J1581" s="27"/>
      <c r="K1581" s="29"/>
      <c r="L1581" s="31"/>
      <c r="M1581" s="28"/>
      <c r="N1581" s="30"/>
      <c r="O1581" s="27"/>
      <c r="P1581" s="137"/>
    </row>
    <row r="1582" spans="1:16" x14ac:dyDescent="0.3">
      <c r="A1582" s="27"/>
      <c r="B1582" s="27"/>
      <c r="C1582" s="27"/>
      <c r="D1582" s="27"/>
      <c r="E1582" s="27"/>
      <c r="F1582" s="27"/>
      <c r="G1582" s="27"/>
      <c r="H1582" s="27"/>
      <c r="I1582" s="28"/>
      <c r="J1582" s="27"/>
      <c r="K1582" s="29"/>
      <c r="L1582" s="31"/>
      <c r="M1582" s="28"/>
      <c r="N1582" s="30"/>
      <c r="O1582" s="27"/>
      <c r="P1582" s="137"/>
    </row>
    <row r="1583" spans="1:16" x14ac:dyDescent="0.3">
      <c r="A1583" s="27"/>
      <c r="B1583" s="27"/>
      <c r="C1583" s="27"/>
      <c r="D1583" s="27"/>
      <c r="E1583" s="27"/>
      <c r="F1583" s="27"/>
      <c r="G1583" s="27"/>
      <c r="H1583" s="27"/>
      <c r="I1583" s="28"/>
      <c r="J1583" s="27"/>
      <c r="K1583" s="29"/>
      <c r="L1583" s="31"/>
      <c r="M1583" s="28"/>
      <c r="N1583" s="30"/>
      <c r="O1583" s="27"/>
      <c r="P1583" s="137"/>
    </row>
    <row r="1584" spans="1:16" x14ac:dyDescent="0.3">
      <c r="A1584" s="27"/>
      <c r="B1584" s="27"/>
      <c r="C1584" s="27"/>
      <c r="D1584" s="27"/>
      <c r="E1584" s="27"/>
      <c r="F1584" s="27"/>
      <c r="G1584" s="27"/>
      <c r="H1584" s="27"/>
      <c r="I1584" s="28"/>
      <c r="J1584" s="27"/>
      <c r="K1584" s="29"/>
      <c r="L1584" s="31"/>
      <c r="M1584" s="28"/>
      <c r="N1584" s="30"/>
      <c r="O1584" s="27"/>
      <c r="P1584" s="137"/>
    </row>
    <row r="1585" spans="1:16" x14ac:dyDescent="0.3">
      <c r="A1585" s="27"/>
      <c r="B1585" s="27"/>
      <c r="C1585" s="27"/>
      <c r="D1585" s="27"/>
      <c r="E1585" s="27"/>
      <c r="F1585" s="27"/>
      <c r="G1585" s="27"/>
      <c r="H1585" s="27"/>
      <c r="I1585" s="28"/>
      <c r="J1585" s="27"/>
      <c r="K1585" s="29"/>
      <c r="L1585" s="31"/>
      <c r="M1585" s="28"/>
      <c r="N1585" s="30"/>
      <c r="O1585" s="27"/>
      <c r="P1585" s="137"/>
    </row>
    <row r="1586" spans="1:16" x14ac:dyDescent="0.3">
      <c r="A1586" s="27"/>
      <c r="B1586" s="27"/>
      <c r="C1586" s="27"/>
      <c r="D1586" s="27"/>
      <c r="E1586" s="27"/>
      <c r="F1586" s="27"/>
      <c r="G1586" s="27"/>
      <c r="H1586" s="27"/>
      <c r="I1586" s="28"/>
      <c r="J1586" s="27"/>
      <c r="K1586" s="29"/>
      <c r="L1586" s="31"/>
      <c r="M1586" s="28"/>
      <c r="N1586" s="30"/>
      <c r="O1586" s="27"/>
      <c r="P1586" s="137"/>
    </row>
    <row r="1587" spans="1:16" x14ac:dyDescent="0.3">
      <c r="A1587" s="27"/>
      <c r="B1587" s="27"/>
      <c r="C1587" s="27"/>
      <c r="D1587" s="27"/>
      <c r="E1587" s="27"/>
      <c r="F1587" s="27"/>
      <c r="G1587" s="27"/>
      <c r="H1587" s="27"/>
      <c r="I1587" s="28"/>
      <c r="J1587" s="27"/>
      <c r="K1587" s="29"/>
      <c r="L1587" s="31"/>
      <c r="M1587" s="28"/>
      <c r="N1587" s="30"/>
      <c r="O1587" s="27"/>
      <c r="P1587" s="137"/>
    </row>
    <row r="1588" spans="1:16" x14ac:dyDescent="0.3">
      <c r="A1588" s="27"/>
      <c r="B1588" s="27"/>
      <c r="C1588" s="27"/>
      <c r="D1588" s="27"/>
      <c r="E1588" s="27"/>
      <c r="F1588" s="27"/>
      <c r="G1588" s="27"/>
      <c r="H1588" s="27"/>
      <c r="I1588" s="28"/>
      <c r="J1588" s="27"/>
      <c r="K1588" s="29"/>
      <c r="L1588" s="31"/>
      <c r="M1588" s="28"/>
      <c r="N1588" s="30"/>
      <c r="O1588" s="27"/>
      <c r="P1588" s="137"/>
    </row>
    <row r="1589" spans="1:16" x14ac:dyDescent="0.3">
      <c r="A1589" s="27"/>
      <c r="B1589" s="27"/>
      <c r="C1589" s="27"/>
      <c r="D1589" s="27"/>
      <c r="E1589" s="27"/>
      <c r="F1589" s="27"/>
      <c r="G1589" s="27"/>
      <c r="H1589" s="27"/>
      <c r="I1589" s="28"/>
      <c r="J1589" s="27"/>
      <c r="K1589" s="29"/>
      <c r="L1589" s="31"/>
      <c r="M1589" s="28"/>
      <c r="N1589" s="30"/>
      <c r="O1589" s="27"/>
      <c r="P1589" s="137"/>
    </row>
    <row r="1590" spans="1:16" x14ac:dyDescent="0.3">
      <c r="A1590" s="27"/>
      <c r="B1590" s="27"/>
      <c r="C1590" s="27"/>
      <c r="D1590" s="27"/>
      <c r="E1590" s="27"/>
      <c r="F1590" s="27"/>
      <c r="G1590" s="27"/>
      <c r="H1590" s="27"/>
      <c r="I1590" s="28"/>
      <c r="J1590" s="27"/>
      <c r="K1590" s="29"/>
      <c r="L1590" s="31"/>
      <c r="M1590" s="28"/>
      <c r="N1590" s="30"/>
      <c r="O1590" s="27"/>
      <c r="P1590" s="137"/>
    </row>
    <row r="1591" spans="1:16" x14ac:dyDescent="0.3">
      <c r="A1591" s="27"/>
      <c r="B1591" s="27"/>
      <c r="C1591" s="27"/>
      <c r="D1591" s="27"/>
      <c r="E1591" s="27"/>
      <c r="F1591" s="27"/>
      <c r="G1591" s="27"/>
      <c r="H1591" s="27"/>
      <c r="I1591" s="28"/>
      <c r="J1591" s="27"/>
      <c r="K1591" s="29"/>
      <c r="L1591" s="31"/>
      <c r="M1591" s="28"/>
      <c r="N1591" s="30"/>
      <c r="O1591" s="27"/>
      <c r="P1591" s="137"/>
    </row>
    <row r="1592" spans="1:16" x14ac:dyDescent="0.3">
      <c r="A1592" s="27"/>
      <c r="B1592" s="27"/>
      <c r="C1592" s="27"/>
      <c r="D1592" s="27"/>
      <c r="E1592" s="27"/>
      <c r="F1592" s="27"/>
      <c r="G1592" s="27"/>
      <c r="H1592" s="27"/>
      <c r="I1592" s="28"/>
      <c r="J1592" s="27"/>
      <c r="K1592" s="29"/>
      <c r="L1592" s="31"/>
      <c r="M1592" s="28"/>
      <c r="N1592" s="30"/>
      <c r="O1592" s="27"/>
      <c r="P1592" s="137"/>
    </row>
    <row r="1593" spans="1:16" x14ac:dyDescent="0.3">
      <c r="A1593" s="27"/>
      <c r="B1593" s="27"/>
      <c r="C1593" s="27"/>
      <c r="D1593" s="27"/>
      <c r="E1593" s="27"/>
      <c r="F1593" s="27"/>
      <c r="G1593" s="27"/>
      <c r="H1593" s="27"/>
      <c r="I1593" s="28"/>
      <c r="J1593" s="27"/>
      <c r="K1593" s="29"/>
      <c r="L1593" s="31"/>
      <c r="M1593" s="28"/>
      <c r="N1593" s="30"/>
      <c r="O1593" s="27"/>
      <c r="P1593" s="137"/>
    </row>
    <row r="1594" spans="1:16" x14ac:dyDescent="0.3">
      <c r="A1594" s="27"/>
      <c r="B1594" s="27"/>
      <c r="C1594" s="27"/>
      <c r="D1594" s="27"/>
      <c r="E1594" s="27"/>
      <c r="F1594" s="27"/>
      <c r="G1594" s="27"/>
      <c r="H1594" s="27"/>
      <c r="I1594" s="28"/>
      <c r="J1594" s="27"/>
      <c r="K1594" s="29"/>
      <c r="L1594" s="31"/>
      <c r="M1594" s="28"/>
      <c r="N1594" s="30"/>
      <c r="O1594" s="27"/>
      <c r="P1594" s="137"/>
    </row>
    <row r="1595" spans="1:16" x14ac:dyDescent="0.3">
      <c r="A1595" s="27"/>
      <c r="B1595" s="27"/>
      <c r="C1595" s="27"/>
      <c r="D1595" s="27"/>
      <c r="E1595" s="27"/>
      <c r="F1595" s="27"/>
      <c r="G1595" s="27"/>
      <c r="H1595" s="27"/>
      <c r="I1595" s="28"/>
      <c r="J1595" s="27"/>
      <c r="K1595" s="29"/>
      <c r="L1595" s="31"/>
      <c r="M1595" s="28"/>
      <c r="N1595" s="30"/>
      <c r="O1595" s="27"/>
      <c r="P1595" s="137"/>
    </row>
    <row r="1596" spans="1:16" x14ac:dyDescent="0.3">
      <c r="A1596" s="27"/>
      <c r="B1596" s="27"/>
      <c r="C1596" s="27"/>
      <c r="D1596" s="27"/>
      <c r="E1596" s="27"/>
      <c r="F1596" s="27"/>
      <c r="G1596" s="27"/>
      <c r="H1596" s="27"/>
      <c r="I1596" s="28"/>
      <c r="J1596" s="27"/>
      <c r="K1596" s="29"/>
      <c r="L1596" s="31"/>
      <c r="M1596" s="28"/>
      <c r="N1596" s="30"/>
      <c r="O1596" s="27"/>
      <c r="P1596" s="137"/>
    </row>
    <row r="1597" spans="1:16" x14ac:dyDescent="0.3">
      <c r="A1597" s="27"/>
      <c r="B1597" s="27"/>
      <c r="C1597" s="27"/>
      <c r="D1597" s="27"/>
      <c r="E1597" s="27"/>
      <c r="F1597" s="27"/>
      <c r="G1597" s="27"/>
      <c r="H1597" s="27"/>
      <c r="I1597" s="28"/>
      <c r="J1597" s="27"/>
      <c r="K1597" s="29"/>
      <c r="L1597" s="31"/>
      <c r="M1597" s="28"/>
      <c r="N1597" s="30"/>
      <c r="O1597" s="27"/>
      <c r="P1597" s="137"/>
    </row>
    <row r="1598" spans="1:16" x14ac:dyDescent="0.3">
      <c r="A1598" s="27"/>
      <c r="B1598" s="27"/>
      <c r="C1598" s="27"/>
      <c r="D1598" s="27"/>
      <c r="E1598" s="27"/>
      <c r="F1598" s="27"/>
      <c r="G1598" s="27"/>
      <c r="H1598" s="27"/>
      <c r="I1598" s="28"/>
      <c r="J1598" s="27"/>
      <c r="K1598" s="29"/>
      <c r="L1598" s="31"/>
      <c r="M1598" s="28"/>
      <c r="N1598" s="30"/>
      <c r="O1598" s="27"/>
      <c r="P1598" s="137"/>
    </row>
    <row r="1599" spans="1:16" x14ac:dyDescent="0.3">
      <c r="A1599" s="27"/>
      <c r="B1599" s="27"/>
      <c r="C1599" s="27"/>
      <c r="D1599" s="27"/>
      <c r="E1599" s="27"/>
      <c r="F1599" s="27"/>
      <c r="G1599" s="27"/>
      <c r="H1599" s="27"/>
      <c r="I1599" s="28"/>
      <c r="J1599" s="27"/>
      <c r="K1599" s="29"/>
      <c r="L1599" s="31"/>
      <c r="M1599" s="28"/>
      <c r="N1599" s="30"/>
      <c r="O1599" s="27"/>
      <c r="P1599" s="137"/>
    </row>
    <row r="1600" spans="1:16" x14ac:dyDescent="0.3">
      <c r="A1600" s="27"/>
      <c r="B1600" s="27"/>
      <c r="C1600" s="27"/>
      <c r="D1600" s="27"/>
      <c r="E1600" s="27"/>
      <c r="F1600" s="27"/>
      <c r="G1600" s="27"/>
      <c r="H1600" s="27"/>
      <c r="I1600" s="28"/>
      <c r="J1600" s="27"/>
      <c r="K1600" s="29"/>
      <c r="L1600" s="31"/>
      <c r="M1600" s="28"/>
      <c r="N1600" s="30"/>
      <c r="O1600" s="27"/>
      <c r="P1600" s="137"/>
    </row>
    <row r="1601" spans="1:16" x14ac:dyDescent="0.3">
      <c r="A1601" s="27"/>
      <c r="B1601" s="27"/>
      <c r="C1601" s="27"/>
      <c r="D1601" s="27"/>
      <c r="E1601" s="27"/>
      <c r="F1601" s="27"/>
      <c r="G1601" s="27"/>
      <c r="H1601" s="27"/>
      <c r="I1601" s="28"/>
      <c r="J1601" s="27"/>
      <c r="K1601" s="29"/>
      <c r="L1601" s="31"/>
      <c r="M1601" s="28"/>
      <c r="N1601" s="30"/>
      <c r="O1601" s="27"/>
      <c r="P1601" s="137"/>
    </row>
    <row r="1602" spans="1:16" x14ac:dyDescent="0.3">
      <c r="A1602" s="27"/>
      <c r="B1602" s="27"/>
      <c r="C1602" s="27"/>
      <c r="D1602" s="27"/>
      <c r="E1602" s="27"/>
      <c r="F1602" s="27"/>
      <c r="G1602" s="27"/>
      <c r="H1602" s="27"/>
      <c r="I1602" s="28"/>
      <c r="J1602" s="27"/>
      <c r="K1602" s="29"/>
      <c r="L1602" s="31"/>
      <c r="M1602" s="28"/>
      <c r="N1602" s="30"/>
      <c r="O1602" s="27"/>
      <c r="P1602" s="137"/>
    </row>
    <row r="1603" spans="1:16" x14ac:dyDescent="0.3">
      <c r="A1603" s="27"/>
      <c r="B1603" s="27"/>
      <c r="C1603" s="27"/>
      <c r="D1603" s="27"/>
      <c r="E1603" s="27"/>
      <c r="F1603" s="27"/>
      <c r="G1603" s="27"/>
      <c r="H1603" s="27"/>
      <c r="I1603" s="28"/>
      <c r="J1603" s="27"/>
      <c r="K1603" s="29"/>
      <c r="L1603" s="31"/>
      <c r="M1603" s="28"/>
      <c r="N1603" s="30"/>
      <c r="O1603" s="27"/>
      <c r="P1603" s="137"/>
    </row>
    <row r="1604" spans="1:16" x14ac:dyDescent="0.3">
      <c r="A1604" s="27"/>
      <c r="B1604" s="27"/>
      <c r="C1604" s="27"/>
      <c r="D1604" s="27"/>
      <c r="E1604" s="27"/>
      <c r="F1604" s="27"/>
      <c r="G1604" s="27"/>
      <c r="H1604" s="27"/>
      <c r="I1604" s="28"/>
      <c r="J1604" s="27"/>
      <c r="K1604" s="29"/>
      <c r="L1604" s="31"/>
      <c r="M1604" s="28"/>
      <c r="N1604" s="30"/>
      <c r="O1604" s="27"/>
      <c r="P1604" s="137"/>
    </row>
    <row r="1605" spans="1:16" x14ac:dyDescent="0.3">
      <c r="A1605" s="27"/>
      <c r="B1605" s="27"/>
      <c r="C1605" s="27"/>
      <c r="D1605" s="27"/>
      <c r="E1605" s="27"/>
      <c r="F1605" s="27"/>
      <c r="G1605" s="27"/>
      <c r="H1605" s="27"/>
      <c r="I1605" s="28"/>
      <c r="J1605" s="27"/>
      <c r="K1605" s="29"/>
      <c r="L1605" s="31"/>
      <c r="M1605" s="28"/>
      <c r="N1605" s="30"/>
      <c r="O1605" s="27"/>
      <c r="P1605" s="137"/>
    </row>
    <row r="1606" spans="1:16" x14ac:dyDescent="0.3">
      <c r="A1606" s="27"/>
      <c r="B1606" s="27"/>
      <c r="C1606" s="27"/>
      <c r="D1606" s="27"/>
      <c r="E1606" s="27"/>
      <c r="F1606" s="27"/>
      <c r="G1606" s="27"/>
      <c r="H1606" s="27"/>
      <c r="I1606" s="28"/>
      <c r="J1606" s="27"/>
      <c r="K1606" s="29"/>
      <c r="L1606" s="31"/>
      <c r="M1606" s="28"/>
      <c r="N1606" s="30"/>
      <c r="O1606" s="27"/>
      <c r="P1606" s="137"/>
    </row>
    <row r="1607" spans="1:16" x14ac:dyDescent="0.3">
      <c r="A1607" s="27"/>
      <c r="B1607" s="27"/>
      <c r="C1607" s="27"/>
      <c r="D1607" s="27"/>
      <c r="E1607" s="27"/>
      <c r="F1607" s="27"/>
      <c r="G1607" s="27"/>
      <c r="H1607" s="27"/>
      <c r="I1607" s="28"/>
      <c r="J1607" s="27"/>
      <c r="K1607" s="29"/>
      <c r="L1607" s="31"/>
      <c r="M1607" s="28"/>
      <c r="N1607" s="30"/>
      <c r="O1607" s="27"/>
      <c r="P1607" s="137"/>
    </row>
    <row r="1608" spans="1:16" x14ac:dyDescent="0.3">
      <c r="A1608" s="27"/>
      <c r="B1608" s="27"/>
      <c r="C1608" s="27"/>
      <c r="D1608" s="27"/>
      <c r="E1608" s="27"/>
      <c r="F1608" s="27"/>
      <c r="G1608" s="27"/>
      <c r="H1608" s="27"/>
      <c r="I1608" s="28"/>
      <c r="J1608" s="27"/>
      <c r="K1608" s="29"/>
      <c r="L1608" s="31"/>
      <c r="M1608" s="28"/>
      <c r="N1608" s="30"/>
      <c r="O1608" s="27"/>
      <c r="P1608" s="137"/>
    </row>
    <row r="1609" spans="1:16" x14ac:dyDescent="0.3">
      <c r="A1609" s="27"/>
      <c r="B1609" s="27"/>
      <c r="C1609" s="27"/>
      <c r="D1609" s="27"/>
      <c r="E1609" s="27"/>
      <c r="F1609" s="27"/>
      <c r="G1609" s="27"/>
      <c r="H1609" s="27"/>
      <c r="I1609" s="28"/>
      <c r="J1609" s="27"/>
      <c r="K1609" s="29"/>
      <c r="L1609" s="31"/>
      <c r="M1609" s="28"/>
      <c r="N1609" s="30"/>
      <c r="O1609" s="27"/>
      <c r="P1609" s="137"/>
    </row>
    <row r="1610" spans="1:16" x14ac:dyDescent="0.3">
      <c r="A1610" s="27"/>
      <c r="B1610" s="27"/>
      <c r="C1610" s="27"/>
      <c r="D1610" s="27"/>
      <c r="E1610" s="27"/>
      <c r="F1610" s="27"/>
      <c r="G1610" s="27"/>
      <c r="H1610" s="27"/>
      <c r="I1610" s="28"/>
      <c r="J1610" s="27"/>
      <c r="K1610" s="29"/>
      <c r="L1610" s="31"/>
      <c r="M1610" s="28"/>
      <c r="N1610" s="30"/>
      <c r="O1610" s="27"/>
      <c r="P1610" s="137"/>
    </row>
    <row r="1611" spans="1:16" x14ac:dyDescent="0.3">
      <c r="A1611" s="27"/>
      <c r="B1611" s="27"/>
      <c r="C1611" s="27"/>
      <c r="D1611" s="27"/>
      <c r="E1611" s="27"/>
      <c r="F1611" s="27"/>
      <c r="G1611" s="27"/>
      <c r="H1611" s="27"/>
      <c r="I1611" s="28"/>
      <c r="J1611" s="27"/>
      <c r="K1611" s="29"/>
      <c r="L1611" s="31"/>
      <c r="M1611" s="28"/>
      <c r="N1611" s="30"/>
      <c r="O1611" s="27"/>
      <c r="P1611" s="137"/>
    </row>
    <row r="1612" spans="1:16" x14ac:dyDescent="0.3">
      <c r="A1612" s="27"/>
      <c r="B1612" s="27"/>
      <c r="C1612" s="27"/>
      <c r="D1612" s="27"/>
      <c r="E1612" s="27"/>
      <c r="F1612" s="27"/>
      <c r="G1612" s="27"/>
      <c r="H1612" s="27"/>
      <c r="I1612" s="28"/>
      <c r="J1612" s="27"/>
      <c r="K1612" s="29"/>
      <c r="L1612" s="31"/>
      <c r="M1612" s="28"/>
      <c r="N1612" s="30"/>
      <c r="O1612" s="27"/>
      <c r="P1612" s="137"/>
    </row>
    <row r="1613" spans="1:16" x14ac:dyDescent="0.3">
      <c r="A1613" s="27"/>
      <c r="B1613" s="27"/>
      <c r="C1613" s="27"/>
      <c r="D1613" s="27"/>
      <c r="E1613" s="27"/>
      <c r="F1613" s="27"/>
      <c r="G1613" s="27"/>
      <c r="H1613" s="27"/>
      <c r="I1613" s="28"/>
      <c r="J1613" s="27"/>
      <c r="K1613" s="29"/>
      <c r="L1613" s="31"/>
      <c r="M1613" s="28"/>
      <c r="N1613" s="30"/>
      <c r="O1613" s="27"/>
      <c r="P1613" s="137"/>
    </row>
    <row r="1614" spans="1:16" x14ac:dyDescent="0.3">
      <c r="A1614" s="27"/>
      <c r="B1614" s="27"/>
      <c r="C1614" s="27"/>
      <c r="D1614" s="27"/>
      <c r="E1614" s="27"/>
      <c r="F1614" s="27"/>
      <c r="G1614" s="27"/>
      <c r="H1614" s="27"/>
      <c r="I1614" s="28"/>
      <c r="J1614" s="27"/>
      <c r="K1614" s="29"/>
      <c r="L1614" s="31"/>
      <c r="M1614" s="28"/>
      <c r="N1614" s="30"/>
      <c r="O1614" s="27"/>
      <c r="P1614" s="137"/>
    </row>
    <row r="1615" spans="1:16" x14ac:dyDescent="0.3">
      <c r="A1615" s="27"/>
      <c r="B1615" s="27"/>
      <c r="C1615" s="27"/>
      <c r="D1615" s="27"/>
      <c r="E1615" s="27"/>
      <c r="F1615" s="27"/>
      <c r="G1615" s="27"/>
      <c r="H1615" s="27"/>
      <c r="I1615" s="28"/>
      <c r="J1615" s="27"/>
      <c r="K1615" s="29"/>
      <c r="L1615" s="31"/>
      <c r="M1615" s="28"/>
      <c r="N1615" s="30"/>
      <c r="O1615" s="27"/>
      <c r="P1615" s="137"/>
    </row>
    <row r="1616" spans="1:16" x14ac:dyDescent="0.3">
      <c r="A1616" s="27"/>
      <c r="B1616" s="27"/>
      <c r="C1616" s="27"/>
      <c r="D1616" s="27"/>
      <c r="E1616" s="27"/>
      <c r="F1616" s="27"/>
      <c r="G1616" s="27"/>
      <c r="H1616" s="27"/>
      <c r="I1616" s="28"/>
      <c r="J1616" s="27"/>
      <c r="K1616" s="29"/>
      <c r="L1616" s="31"/>
      <c r="M1616" s="28"/>
      <c r="N1616" s="30"/>
      <c r="O1616" s="27"/>
      <c r="P1616" s="137"/>
    </row>
    <row r="1617" spans="1:16" x14ac:dyDescent="0.3">
      <c r="A1617" s="27"/>
      <c r="B1617" s="27"/>
      <c r="C1617" s="27"/>
      <c r="D1617" s="27"/>
      <c r="E1617" s="27"/>
      <c r="F1617" s="27"/>
      <c r="G1617" s="27"/>
      <c r="H1617" s="27"/>
      <c r="I1617" s="28"/>
      <c r="J1617" s="27"/>
      <c r="K1617" s="29"/>
      <c r="L1617" s="31"/>
      <c r="M1617" s="28"/>
      <c r="N1617" s="30"/>
      <c r="O1617" s="27"/>
      <c r="P1617" s="137"/>
    </row>
    <row r="1618" spans="1:16" x14ac:dyDescent="0.3">
      <c r="A1618" s="27"/>
      <c r="B1618" s="27"/>
      <c r="C1618" s="27"/>
      <c r="D1618" s="27"/>
      <c r="E1618" s="27"/>
      <c r="F1618" s="27"/>
      <c r="G1618" s="27"/>
      <c r="H1618" s="27"/>
      <c r="I1618" s="28"/>
      <c r="J1618" s="27"/>
      <c r="K1618" s="29"/>
      <c r="L1618" s="31"/>
      <c r="M1618" s="28"/>
      <c r="N1618" s="30"/>
      <c r="O1618" s="27"/>
      <c r="P1618" s="137"/>
    </row>
    <row r="1619" spans="1:16" x14ac:dyDescent="0.3">
      <c r="A1619" s="27"/>
      <c r="B1619" s="27"/>
      <c r="C1619" s="27"/>
      <c r="D1619" s="27"/>
      <c r="E1619" s="27"/>
      <c r="F1619" s="27"/>
      <c r="G1619" s="27"/>
      <c r="H1619" s="27"/>
      <c r="I1619" s="28"/>
      <c r="J1619" s="27"/>
      <c r="K1619" s="29"/>
      <c r="L1619" s="31"/>
      <c r="M1619" s="28"/>
      <c r="N1619" s="30"/>
      <c r="O1619" s="27"/>
      <c r="P1619" s="137"/>
    </row>
    <row r="1620" spans="1:16" x14ac:dyDescent="0.3">
      <c r="A1620" s="27"/>
      <c r="B1620" s="27"/>
      <c r="C1620" s="27"/>
      <c r="D1620" s="27"/>
      <c r="E1620" s="27"/>
      <c r="F1620" s="27"/>
      <c r="G1620" s="27"/>
      <c r="H1620" s="27"/>
      <c r="I1620" s="28"/>
      <c r="J1620" s="27"/>
      <c r="K1620" s="29"/>
      <c r="L1620" s="31"/>
      <c r="M1620" s="28"/>
      <c r="N1620" s="30"/>
      <c r="O1620" s="27"/>
      <c r="P1620" s="137"/>
    </row>
    <row r="1621" spans="1:16" x14ac:dyDescent="0.3">
      <c r="A1621" s="27"/>
      <c r="B1621" s="27"/>
      <c r="C1621" s="27"/>
      <c r="D1621" s="27"/>
      <c r="E1621" s="27"/>
      <c r="F1621" s="27"/>
      <c r="G1621" s="27"/>
      <c r="H1621" s="27"/>
      <c r="I1621" s="28"/>
      <c r="J1621" s="27"/>
      <c r="K1621" s="29"/>
      <c r="L1621" s="31"/>
      <c r="M1621" s="28"/>
      <c r="N1621" s="30"/>
      <c r="O1621" s="27"/>
      <c r="P1621" s="137"/>
    </row>
    <row r="1622" spans="1:16" x14ac:dyDescent="0.3">
      <c r="A1622" s="27"/>
      <c r="B1622" s="27"/>
      <c r="C1622" s="27"/>
      <c r="D1622" s="27"/>
      <c r="E1622" s="27"/>
      <c r="F1622" s="27"/>
      <c r="G1622" s="27"/>
      <c r="H1622" s="27"/>
      <c r="I1622" s="28"/>
      <c r="J1622" s="27"/>
      <c r="K1622" s="29"/>
      <c r="L1622" s="31"/>
      <c r="M1622" s="28"/>
      <c r="N1622" s="30"/>
      <c r="O1622" s="27"/>
      <c r="P1622" s="137"/>
    </row>
    <row r="1623" spans="1:16" x14ac:dyDescent="0.3">
      <c r="A1623" s="27"/>
      <c r="B1623" s="27"/>
      <c r="C1623" s="27"/>
      <c r="D1623" s="27"/>
      <c r="E1623" s="27"/>
      <c r="F1623" s="27"/>
      <c r="G1623" s="27"/>
      <c r="H1623" s="27"/>
      <c r="I1623" s="28"/>
      <c r="J1623" s="27"/>
      <c r="K1623" s="29"/>
      <c r="L1623" s="31"/>
      <c r="M1623" s="28"/>
      <c r="N1623" s="30"/>
      <c r="O1623" s="27"/>
      <c r="P1623" s="137"/>
    </row>
    <row r="1624" spans="1:16" x14ac:dyDescent="0.3">
      <c r="A1624" s="27"/>
      <c r="B1624" s="27"/>
      <c r="C1624" s="27"/>
      <c r="D1624" s="27"/>
      <c r="E1624" s="27"/>
      <c r="F1624" s="27"/>
      <c r="G1624" s="27"/>
      <c r="H1624" s="27"/>
      <c r="I1624" s="28"/>
      <c r="J1624" s="27"/>
      <c r="K1624" s="29"/>
      <c r="L1624" s="31"/>
      <c r="M1624" s="28"/>
      <c r="N1624" s="30"/>
      <c r="O1624" s="27"/>
      <c r="P1624" s="137"/>
    </row>
    <row r="1625" spans="1:16" x14ac:dyDescent="0.3">
      <c r="A1625" s="27"/>
      <c r="B1625" s="27"/>
      <c r="C1625" s="27"/>
      <c r="D1625" s="27"/>
      <c r="E1625" s="27"/>
      <c r="F1625" s="27"/>
      <c r="G1625" s="27"/>
      <c r="H1625" s="27"/>
      <c r="I1625" s="28"/>
      <c r="J1625" s="27"/>
      <c r="K1625" s="29"/>
      <c r="L1625" s="31"/>
      <c r="M1625" s="28"/>
      <c r="N1625" s="30"/>
      <c r="O1625" s="27"/>
      <c r="P1625" s="137"/>
    </row>
    <row r="1626" spans="1:16" x14ac:dyDescent="0.3">
      <c r="A1626" s="27"/>
      <c r="B1626" s="27"/>
      <c r="C1626" s="27"/>
      <c r="D1626" s="27"/>
      <c r="E1626" s="27"/>
      <c r="F1626" s="27"/>
      <c r="G1626" s="27"/>
      <c r="H1626" s="27"/>
      <c r="I1626" s="28"/>
      <c r="J1626" s="27"/>
      <c r="K1626" s="29"/>
      <c r="L1626" s="31"/>
      <c r="M1626" s="28"/>
      <c r="N1626" s="30"/>
      <c r="O1626" s="27"/>
      <c r="P1626" s="137"/>
    </row>
    <row r="1627" spans="1:16" x14ac:dyDescent="0.3">
      <c r="A1627" s="27"/>
      <c r="B1627" s="27"/>
      <c r="C1627" s="27"/>
      <c r="D1627" s="27"/>
      <c r="E1627" s="27"/>
      <c r="F1627" s="27"/>
      <c r="G1627" s="27"/>
      <c r="H1627" s="27"/>
      <c r="I1627" s="28"/>
      <c r="J1627" s="27"/>
      <c r="K1627" s="29"/>
      <c r="L1627" s="31"/>
      <c r="M1627" s="28"/>
      <c r="N1627" s="30"/>
      <c r="O1627" s="27"/>
      <c r="P1627" s="137"/>
    </row>
    <row r="1628" spans="1:16" x14ac:dyDescent="0.3">
      <c r="A1628" s="27"/>
      <c r="B1628" s="27"/>
      <c r="C1628" s="27"/>
      <c r="D1628" s="27"/>
      <c r="E1628" s="27"/>
      <c r="F1628" s="27"/>
      <c r="G1628" s="27"/>
      <c r="H1628" s="27"/>
      <c r="I1628" s="28"/>
      <c r="J1628" s="27"/>
      <c r="K1628" s="29"/>
      <c r="L1628" s="31"/>
      <c r="M1628" s="28"/>
      <c r="N1628" s="30"/>
      <c r="O1628" s="27"/>
      <c r="P1628" s="137"/>
    </row>
    <row r="1629" spans="1:16" x14ac:dyDescent="0.3">
      <c r="A1629" s="27"/>
      <c r="B1629" s="27"/>
      <c r="C1629" s="27"/>
      <c r="D1629" s="27"/>
      <c r="E1629" s="27"/>
      <c r="F1629" s="27"/>
      <c r="G1629" s="27"/>
      <c r="H1629" s="27"/>
      <c r="I1629" s="28"/>
      <c r="J1629" s="27"/>
      <c r="K1629" s="29"/>
      <c r="L1629" s="31"/>
      <c r="M1629" s="28"/>
      <c r="N1629" s="30"/>
      <c r="O1629" s="27"/>
      <c r="P1629" s="137"/>
    </row>
    <row r="1630" spans="1:16" x14ac:dyDescent="0.3">
      <c r="A1630" s="27"/>
      <c r="B1630" s="27"/>
      <c r="C1630" s="27"/>
      <c r="D1630" s="27"/>
      <c r="E1630" s="27"/>
      <c r="F1630" s="27"/>
      <c r="G1630" s="27"/>
      <c r="H1630" s="27"/>
      <c r="I1630" s="28"/>
      <c r="J1630" s="27"/>
      <c r="K1630" s="29"/>
      <c r="L1630" s="31"/>
      <c r="M1630" s="28"/>
      <c r="N1630" s="30"/>
      <c r="O1630" s="27"/>
      <c r="P1630" s="137"/>
    </row>
    <row r="1631" spans="1:16" x14ac:dyDescent="0.3">
      <c r="A1631" s="27"/>
      <c r="B1631" s="27"/>
      <c r="C1631" s="27"/>
      <c r="D1631" s="27"/>
      <c r="E1631" s="27"/>
      <c r="F1631" s="27"/>
      <c r="G1631" s="27"/>
      <c r="H1631" s="27"/>
      <c r="I1631" s="28"/>
      <c r="J1631" s="27"/>
      <c r="K1631" s="29"/>
      <c r="L1631" s="31"/>
      <c r="M1631" s="28"/>
      <c r="N1631" s="30"/>
      <c r="O1631" s="27"/>
      <c r="P1631" s="137"/>
    </row>
    <row r="1632" spans="1:16" x14ac:dyDescent="0.3">
      <c r="A1632" s="27"/>
      <c r="B1632" s="27"/>
      <c r="C1632" s="27"/>
      <c r="D1632" s="27"/>
      <c r="E1632" s="27"/>
      <c r="F1632" s="27"/>
      <c r="G1632" s="27"/>
      <c r="H1632" s="27"/>
      <c r="I1632" s="28"/>
      <c r="J1632" s="27"/>
      <c r="K1632" s="29"/>
      <c r="L1632" s="31"/>
      <c r="M1632" s="28"/>
      <c r="N1632" s="30"/>
      <c r="O1632" s="27"/>
      <c r="P1632" s="137"/>
    </row>
    <row r="1633" spans="1:16" x14ac:dyDescent="0.3">
      <c r="A1633" s="27"/>
      <c r="B1633" s="27"/>
      <c r="C1633" s="27"/>
      <c r="D1633" s="27"/>
      <c r="E1633" s="27"/>
      <c r="F1633" s="27"/>
      <c r="G1633" s="27"/>
      <c r="H1633" s="27"/>
      <c r="I1633" s="28"/>
      <c r="J1633" s="27"/>
      <c r="K1633" s="29"/>
      <c r="L1633" s="31"/>
      <c r="M1633" s="28"/>
      <c r="N1633" s="30"/>
      <c r="O1633" s="27"/>
      <c r="P1633" s="137"/>
    </row>
    <row r="1634" spans="1:16" x14ac:dyDescent="0.3">
      <c r="A1634" s="27"/>
      <c r="B1634" s="27"/>
      <c r="C1634" s="27"/>
      <c r="D1634" s="27"/>
      <c r="E1634" s="27"/>
      <c r="F1634" s="27"/>
      <c r="G1634" s="27"/>
      <c r="H1634" s="27"/>
      <c r="I1634" s="28"/>
      <c r="J1634" s="27"/>
      <c r="K1634" s="29"/>
      <c r="L1634" s="31"/>
      <c r="M1634" s="28"/>
      <c r="N1634" s="30"/>
      <c r="O1634" s="27"/>
      <c r="P1634" s="137"/>
    </row>
    <row r="1635" spans="1:16" x14ac:dyDescent="0.3">
      <c r="A1635" s="27"/>
      <c r="B1635" s="27"/>
      <c r="C1635" s="27"/>
      <c r="D1635" s="27"/>
      <c r="E1635" s="27"/>
      <c r="F1635" s="27"/>
      <c r="G1635" s="27"/>
      <c r="H1635" s="27"/>
      <c r="I1635" s="28"/>
      <c r="J1635" s="27"/>
      <c r="K1635" s="29"/>
      <c r="L1635" s="31"/>
      <c r="M1635" s="28"/>
      <c r="N1635" s="30"/>
      <c r="O1635" s="27"/>
      <c r="P1635" s="137"/>
    </row>
    <row r="1636" spans="1:16" x14ac:dyDescent="0.3">
      <c r="A1636" s="27"/>
      <c r="B1636" s="27"/>
      <c r="C1636" s="27"/>
      <c r="D1636" s="27"/>
      <c r="E1636" s="27"/>
      <c r="F1636" s="27"/>
      <c r="G1636" s="27"/>
      <c r="H1636" s="27"/>
      <c r="I1636" s="28"/>
      <c r="J1636" s="27"/>
      <c r="K1636" s="29"/>
      <c r="L1636" s="31"/>
      <c r="M1636" s="28"/>
      <c r="N1636" s="30"/>
      <c r="O1636" s="27"/>
      <c r="P1636" s="137"/>
    </row>
    <row r="1637" spans="1:16" x14ac:dyDescent="0.3">
      <c r="A1637" s="27"/>
      <c r="B1637" s="27"/>
      <c r="C1637" s="27"/>
      <c r="D1637" s="27"/>
      <c r="E1637" s="27"/>
      <c r="F1637" s="27"/>
      <c r="G1637" s="27"/>
      <c r="H1637" s="27"/>
      <c r="I1637" s="28"/>
      <c r="J1637" s="27"/>
      <c r="K1637" s="29"/>
      <c r="L1637" s="31"/>
      <c r="M1637" s="28"/>
      <c r="N1637" s="30"/>
      <c r="O1637" s="27"/>
      <c r="P1637" s="137"/>
    </row>
    <row r="1638" spans="1:16" x14ac:dyDescent="0.3">
      <c r="A1638" s="27"/>
      <c r="B1638" s="27"/>
      <c r="C1638" s="27"/>
      <c r="D1638" s="27"/>
      <c r="E1638" s="27"/>
      <c r="F1638" s="27"/>
      <c r="G1638" s="27"/>
      <c r="H1638" s="27"/>
      <c r="I1638" s="28"/>
      <c r="J1638" s="27"/>
      <c r="K1638" s="29"/>
      <c r="L1638" s="31"/>
      <c r="M1638" s="28"/>
      <c r="N1638" s="30"/>
      <c r="O1638" s="27"/>
      <c r="P1638" s="137"/>
    </row>
    <row r="1639" spans="1:16" x14ac:dyDescent="0.3">
      <c r="A1639" s="27"/>
      <c r="B1639" s="27"/>
      <c r="C1639" s="27"/>
      <c r="D1639" s="27"/>
      <c r="E1639" s="27"/>
      <c r="F1639" s="27"/>
      <c r="G1639" s="27"/>
      <c r="H1639" s="27"/>
      <c r="I1639" s="28"/>
      <c r="J1639" s="27"/>
      <c r="K1639" s="29"/>
      <c r="L1639" s="31"/>
      <c r="M1639" s="28"/>
      <c r="N1639" s="30"/>
      <c r="O1639" s="27"/>
      <c r="P1639" s="137"/>
    </row>
    <row r="1640" spans="1:16" x14ac:dyDescent="0.3">
      <c r="A1640" s="27"/>
      <c r="B1640" s="27"/>
      <c r="C1640" s="27"/>
      <c r="D1640" s="27"/>
      <c r="E1640" s="27"/>
      <c r="F1640" s="27"/>
      <c r="G1640" s="27"/>
      <c r="H1640" s="27"/>
      <c r="I1640" s="28"/>
      <c r="J1640" s="27"/>
      <c r="K1640" s="29"/>
      <c r="L1640" s="31"/>
      <c r="M1640" s="28"/>
      <c r="N1640" s="30"/>
      <c r="O1640" s="27"/>
      <c r="P1640" s="137"/>
    </row>
    <row r="1641" spans="1:16" x14ac:dyDescent="0.3">
      <c r="A1641" s="27"/>
      <c r="B1641" s="27"/>
      <c r="C1641" s="27"/>
      <c r="D1641" s="27"/>
      <c r="E1641" s="27"/>
      <c r="F1641" s="27"/>
      <c r="G1641" s="27"/>
      <c r="H1641" s="27"/>
      <c r="I1641" s="28"/>
      <c r="J1641" s="27"/>
      <c r="K1641" s="29"/>
      <c r="L1641" s="31"/>
      <c r="M1641" s="28"/>
      <c r="N1641" s="30"/>
      <c r="O1641" s="27"/>
      <c r="P1641" s="137"/>
    </row>
    <row r="1642" spans="1:16" x14ac:dyDescent="0.3">
      <c r="A1642" s="27"/>
      <c r="B1642" s="27"/>
      <c r="C1642" s="27"/>
      <c r="D1642" s="27"/>
      <c r="E1642" s="27"/>
      <c r="F1642" s="27"/>
      <c r="G1642" s="27"/>
      <c r="H1642" s="27"/>
      <c r="I1642" s="28"/>
      <c r="J1642" s="27"/>
      <c r="K1642" s="29"/>
      <c r="L1642" s="31"/>
      <c r="M1642" s="28"/>
      <c r="N1642" s="30"/>
      <c r="O1642" s="27"/>
      <c r="P1642" s="137"/>
    </row>
    <row r="1643" spans="1:16" x14ac:dyDescent="0.3">
      <c r="A1643" s="27"/>
      <c r="B1643" s="27"/>
      <c r="C1643" s="27"/>
      <c r="D1643" s="27"/>
      <c r="E1643" s="27"/>
      <c r="F1643" s="27"/>
      <c r="G1643" s="27"/>
      <c r="H1643" s="27"/>
      <c r="I1643" s="28"/>
      <c r="J1643" s="27"/>
      <c r="K1643" s="29"/>
      <c r="L1643" s="31"/>
      <c r="M1643" s="28"/>
      <c r="N1643" s="30"/>
      <c r="O1643" s="27"/>
      <c r="P1643" s="137"/>
    </row>
    <row r="1644" spans="1:16" x14ac:dyDescent="0.3">
      <c r="A1644" s="27"/>
      <c r="B1644" s="27"/>
      <c r="C1644" s="27"/>
      <c r="D1644" s="27"/>
      <c r="E1644" s="27"/>
      <c r="F1644" s="27"/>
      <c r="G1644" s="27"/>
      <c r="H1644" s="27"/>
      <c r="I1644" s="28"/>
      <c r="J1644" s="27"/>
      <c r="K1644" s="29"/>
      <c r="L1644" s="31"/>
      <c r="M1644" s="28"/>
      <c r="N1644" s="30"/>
      <c r="O1644" s="27"/>
      <c r="P1644" s="137"/>
    </row>
    <row r="1645" spans="1:16" x14ac:dyDescent="0.3">
      <c r="A1645" s="27"/>
      <c r="B1645" s="27"/>
      <c r="C1645" s="27"/>
      <c r="D1645" s="27"/>
      <c r="E1645" s="27"/>
      <c r="F1645" s="27"/>
      <c r="G1645" s="27"/>
      <c r="H1645" s="27"/>
      <c r="I1645" s="28"/>
      <c r="J1645" s="27"/>
      <c r="K1645" s="29"/>
      <c r="L1645" s="31"/>
      <c r="M1645" s="28"/>
      <c r="N1645" s="30"/>
      <c r="O1645" s="27"/>
      <c r="P1645" s="137"/>
    </row>
    <row r="1646" spans="1:16" x14ac:dyDescent="0.3">
      <c r="A1646" s="27"/>
      <c r="B1646" s="27"/>
      <c r="C1646" s="27"/>
      <c r="D1646" s="27"/>
      <c r="E1646" s="27"/>
      <c r="F1646" s="27"/>
      <c r="G1646" s="27"/>
      <c r="H1646" s="27"/>
      <c r="I1646" s="28"/>
      <c r="J1646" s="27"/>
      <c r="K1646" s="29"/>
      <c r="L1646" s="31"/>
      <c r="M1646" s="28"/>
      <c r="N1646" s="30"/>
      <c r="O1646" s="27"/>
      <c r="P1646" s="137"/>
    </row>
    <row r="1647" spans="1:16" x14ac:dyDescent="0.3">
      <c r="A1647" s="27"/>
      <c r="B1647" s="27"/>
      <c r="C1647" s="27"/>
      <c r="D1647" s="27"/>
      <c r="E1647" s="27"/>
      <c r="F1647" s="27"/>
      <c r="G1647" s="27"/>
      <c r="H1647" s="27"/>
      <c r="I1647" s="28"/>
      <c r="J1647" s="27"/>
      <c r="K1647" s="29"/>
      <c r="L1647" s="31"/>
      <c r="M1647" s="28"/>
      <c r="N1647" s="30"/>
      <c r="O1647" s="27"/>
      <c r="P1647" s="137"/>
    </row>
    <row r="1648" spans="1:16" x14ac:dyDescent="0.3">
      <c r="A1648" s="27"/>
      <c r="B1648" s="27"/>
      <c r="C1648" s="27"/>
      <c r="D1648" s="27"/>
      <c r="E1648" s="27"/>
      <c r="F1648" s="27"/>
      <c r="G1648" s="27"/>
      <c r="H1648" s="27"/>
      <c r="I1648" s="28"/>
      <c r="J1648" s="27"/>
      <c r="K1648" s="29"/>
      <c r="L1648" s="31"/>
      <c r="M1648" s="28"/>
      <c r="N1648" s="30"/>
      <c r="O1648" s="27"/>
      <c r="P1648" s="137"/>
    </row>
    <row r="1649" spans="1:16" x14ac:dyDescent="0.3">
      <c r="A1649" s="27"/>
      <c r="B1649" s="27"/>
      <c r="C1649" s="27"/>
      <c r="D1649" s="27"/>
      <c r="E1649" s="27"/>
      <c r="F1649" s="27"/>
      <c r="G1649" s="27"/>
      <c r="H1649" s="27"/>
      <c r="I1649" s="28"/>
      <c r="J1649" s="27"/>
      <c r="K1649" s="29"/>
      <c r="L1649" s="31"/>
      <c r="M1649" s="28"/>
      <c r="N1649" s="30"/>
      <c r="O1649" s="27"/>
      <c r="P1649" s="137"/>
    </row>
    <row r="1650" spans="1:16" x14ac:dyDescent="0.3">
      <c r="A1650" s="27"/>
      <c r="B1650" s="27"/>
      <c r="C1650" s="27"/>
      <c r="D1650" s="27"/>
      <c r="E1650" s="27"/>
      <c r="F1650" s="27"/>
      <c r="G1650" s="27"/>
      <c r="H1650" s="27"/>
      <c r="I1650" s="28"/>
      <c r="J1650" s="27"/>
      <c r="K1650" s="29"/>
      <c r="L1650" s="31"/>
      <c r="M1650" s="28"/>
      <c r="N1650" s="30"/>
      <c r="O1650" s="27"/>
      <c r="P1650" s="137"/>
    </row>
    <row r="1651" spans="1:16" x14ac:dyDescent="0.3">
      <c r="A1651" s="27"/>
      <c r="B1651" s="27"/>
      <c r="C1651" s="27"/>
      <c r="D1651" s="27"/>
      <c r="E1651" s="27"/>
      <c r="F1651" s="27"/>
      <c r="G1651" s="27"/>
      <c r="H1651" s="27"/>
      <c r="I1651" s="28"/>
      <c r="J1651" s="27"/>
      <c r="K1651" s="29"/>
      <c r="L1651" s="31"/>
      <c r="M1651" s="28"/>
      <c r="N1651" s="30"/>
      <c r="O1651" s="27"/>
      <c r="P1651" s="137"/>
    </row>
    <row r="1652" spans="1:16" x14ac:dyDescent="0.3">
      <c r="A1652" s="27"/>
      <c r="B1652" s="27"/>
      <c r="C1652" s="27"/>
      <c r="D1652" s="27"/>
      <c r="E1652" s="27"/>
      <c r="F1652" s="27"/>
      <c r="G1652" s="27"/>
      <c r="H1652" s="27"/>
      <c r="I1652" s="28"/>
      <c r="J1652" s="27"/>
      <c r="K1652" s="29"/>
      <c r="L1652" s="31"/>
      <c r="M1652" s="28"/>
      <c r="N1652" s="30"/>
      <c r="O1652" s="27"/>
      <c r="P1652" s="137"/>
    </row>
    <row r="1653" spans="1:16" x14ac:dyDescent="0.3">
      <c r="A1653" s="27"/>
      <c r="B1653" s="27"/>
      <c r="C1653" s="27"/>
      <c r="D1653" s="27"/>
      <c r="E1653" s="27"/>
      <c r="F1653" s="27"/>
      <c r="G1653" s="27"/>
      <c r="H1653" s="27"/>
      <c r="I1653" s="28"/>
      <c r="J1653" s="27"/>
      <c r="K1653" s="29"/>
      <c r="L1653" s="31"/>
      <c r="M1653" s="28"/>
      <c r="N1653" s="30"/>
      <c r="O1653" s="27"/>
      <c r="P1653" s="137"/>
    </row>
    <row r="1654" spans="1:16" x14ac:dyDescent="0.3">
      <c r="A1654" s="27"/>
      <c r="B1654" s="27"/>
      <c r="C1654" s="27"/>
      <c r="D1654" s="27"/>
      <c r="E1654" s="27"/>
      <c r="F1654" s="27"/>
      <c r="G1654" s="27"/>
      <c r="H1654" s="27"/>
      <c r="I1654" s="28"/>
      <c r="J1654" s="27"/>
      <c r="K1654" s="29"/>
      <c r="L1654" s="31"/>
      <c r="M1654" s="28"/>
      <c r="N1654" s="30"/>
      <c r="O1654" s="27"/>
      <c r="P1654" s="137"/>
    </row>
    <row r="1655" spans="1:16" x14ac:dyDescent="0.3">
      <c r="A1655" s="27"/>
      <c r="B1655" s="27"/>
      <c r="C1655" s="27"/>
      <c r="D1655" s="27"/>
      <c r="E1655" s="27"/>
      <c r="F1655" s="27"/>
      <c r="G1655" s="27"/>
      <c r="H1655" s="27"/>
      <c r="I1655" s="28"/>
      <c r="J1655" s="27"/>
      <c r="K1655" s="29"/>
      <c r="L1655" s="31"/>
      <c r="M1655" s="28"/>
      <c r="N1655" s="30"/>
      <c r="O1655" s="27"/>
      <c r="P1655" s="137"/>
    </row>
    <row r="1656" spans="1:16" x14ac:dyDescent="0.3">
      <c r="A1656" s="27"/>
      <c r="B1656" s="27"/>
      <c r="C1656" s="27"/>
      <c r="D1656" s="27"/>
      <c r="E1656" s="27"/>
      <c r="F1656" s="27"/>
      <c r="G1656" s="27"/>
      <c r="H1656" s="27"/>
      <c r="I1656" s="28"/>
      <c r="J1656" s="27"/>
      <c r="K1656" s="29"/>
      <c r="L1656" s="31"/>
      <c r="M1656" s="28"/>
      <c r="N1656" s="30"/>
      <c r="O1656" s="27"/>
      <c r="P1656" s="137"/>
    </row>
    <row r="1657" spans="1:16" x14ac:dyDescent="0.3">
      <c r="A1657" s="27"/>
      <c r="B1657" s="27"/>
      <c r="C1657" s="27"/>
      <c r="D1657" s="27"/>
      <c r="E1657" s="27"/>
      <c r="F1657" s="27"/>
      <c r="G1657" s="27"/>
      <c r="H1657" s="27"/>
      <c r="I1657" s="28"/>
      <c r="J1657" s="27"/>
      <c r="K1657" s="29"/>
      <c r="L1657" s="31"/>
      <c r="M1657" s="28"/>
      <c r="N1657" s="30"/>
      <c r="O1657" s="27"/>
      <c r="P1657" s="137"/>
    </row>
    <row r="1658" spans="1:16" x14ac:dyDescent="0.3">
      <c r="A1658" s="27"/>
      <c r="B1658" s="27"/>
      <c r="C1658" s="27"/>
      <c r="D1658" s="27"/>
      <c r="E1658" s="27"/>
      <c r="F1658" s="27"/>
      <c r="G1658" s="27"/>
      <c r="H1658" s="27"/>
      <c r="I1658" s="28"/>
      <c r="J1658" s="27"/>
      <c r="K1658" s="29"/>
      <c r="L1658" s="31"/>
      <c r="M1658" s="28"/>
      <c r="N1658" s="30"/>
      <c r="O1658" s="27"/>
      <c r="P1658" s="137"/>
    </row>
    <row r="1659" spans="1:16" x14ac:dyDescent="0.3">
      <c r="A1659" s="27"/>
      <c r="B1659" s="27"/>
      <c r="C1659" s="27"/>
      <c r="D1659" s="27"/>
      <c r="E1659" s="27"/>
      <c r="F1659" s="27"/>
      <c r="G1659" s="27"/>
      <c r="H1659" s="27"/>
      <c r="I1659" s="28"/>
      <c r="J1659" s="27"/>
      <c r="K1659" s="29"/>
      <c r="L1659" s="31"/>
      <c r="M1659" s="28"/>
      <c r="N1659" s="30"/>
      <c r="O1659" s="27"/>
      <c r="P1659" s="137"/>
    </row>
    <row r="1660" spans="1:16" x14ac:dyDescent="0.3">
      <c r="A1660" s="27"/>
      <c r="B1660" s="27"/>
      <c r="C1660" s="27"/>
      <c r="D1660" s="27"/>
      <c r="E1660" s="27"/>
      <c r="F1660" s="27"/>
      <c r="G1660" s="27"/>
      <c r="H1660" s="27"/>
      <c r="I1660" s="28"/>
      <c r="J1660" s="27"/>
      <c r="K1660" s="29"/>
      <c r="L1660" s="31"/>
      <c r="M1660" s="28"/>
      <c r="N1660" s="30"/>
      <c r="O1660" s="27"/>
      <c r="P1660" s="137"/>
    </row>
    <row r="1661" spans="1:16" x14ac:dyDescent="0.3">
      <c r="A1661" s="27"/>
      <c r="B1661" s="27"/>
      <c r="C1661" s="27"/>
      <c r="D1661" s="27"/>
      <c r="E1661" s="27"/>
      <c r="F1661" s="27"/>
      <c r="G1661" s="27"/>
      <c r="H1661" s="27"/>
      <c r="I1661" s="28"/>
      <c r="J1661" s="27"/>
      <c r="K1661" s="29"/>
      <c r="L1661" s="31"/>
      <c r="M1661" s="28"/>
      <c r="N1661" s="30"/>
      <c r="O1661" s="27"/>
      <c r="P1661" s="137"/>
    </row>
    <row r="1662" spans="1:16" x14ac:dyDescent="0.3">
      <c r="A1662" s="27"/>
      <c r="B1662" s="27"/>
      <c r="C1662" s="27"/>
      <c r="D1662" s="27"/>
      <c r="E1662" s="27"/>
      <c r="F1662" s="27"/>
      <c r="G1662" s="27"/>
      <c r="H1662" s="27"/>
      <c r="I1662" s="28"/>
      <c r="J1662" s="27"/>
      <c r="K1662" s="29"/>
      <c r="L1662" s="31"/>
      <c r="M1662" s="28"/>
      <c r="N1662" s="30"/>
      <c r="O1662" s="27"/>
      <c r="P1662" s="137"/>
    </row>
    <row r="1663" spans="1:16" x14ac:dyDescent="0.3">
      <c r="A1663" s="27"/>
      <c r="B1663" s="27"/>
      <c r="C1663" s="27"/>
      <c r="D1663" s="27"/>
      <c r="E1663" s="27"/>
      <c r="F1663" s="27"/>
      <c r="G1663" s="27"/>
      <c r="H1663" s="27"/>
      <c r="I1663" s="28"/>
      <c r="J1663" s="27"/>
      <c r="K1663" s="29"/>
      <c r="L1663" s="31"/>
      <c r="M1663" s="28"/>
      <c r="N1663" s="30"/>
      <c r="O1663" s="27"/>
      <c r="P1663" s="137"/>
    </row>
    <row r="1664" spans="1:16" x14ac:dyDescent="0.3">
      <c r="A1664" s="27"/>
      <c r="B1664" s="27"/>
      <c r="C1664" s="27"/>
      <c r="D1664" s="27"/>
      <c r="E1664" s="27"/>
      <c r="F1664" s="27"/>
      <c r="G1664" s="27"/>
      <c r="H1664" s="27"/>
      <c r="I1664" s="28"/>
      <c r="J1664" s="27"/>
      <c r="K1664" s="29"/>
      <c r="L1664" s="31"/>
      <c r="M1664" s="28"/>
      <c r="N1664" s="30"/>
      <c r="O1664" s="27"/>
      <c r="P1664" s="137"/>
    </row>
    <row r="1665" spans="1:16" x14ac:dyDescent="0.3">
      <c r="A1665" s="27"/>
      <c r="B1665" s="27"/>
      <c r="C1665" s="27"/>
      <c r="D1665" s="27"/>
      <c r="E1665" s="27"/>
      <c r="F1665" s="27"/>
      <c r="G1665" s="27"/>
      <c r="H1665" s="27"/>
      <c r="I1665" s="28"/>
      <c r="J1665" s="27"/>
      <c r="K1665" s="29"/>
      <c r="L1665" s="31"/>
      <c r="M1665" s="28"/>
      <c r="N1665" s="30"/>
      <c r="O1665" s="27"/>
      <c r="P1665" s="137"/>
    </row>
    <row r="1666" spans="1:16" x14ac:dyDescent="0.3">
      <c r="A1666" s="27"/>
      <c r="B1666" s="27"/>
      <c r="C1666" s="27"/>
      <c r="D1666" s="27"/>
      <c r="E1666" s="27"/>
      <c r="F1666" s="27"/>
      <c r="G1666" s="27"/>
      <c r="H1666" s="27"/>
      <c r="I1666" s="28"/>
      <c r="J1666" s="27"/>
      <c r="K1666" s="29"/>
      <c r="L1666" s="31"/>
      <c r="M1666" s="28"/>
      <c r="N1666" s="30"/>
      <c r="O1666" s="27"/>
      <c r="P1666" s="137"/>
    </row>
    <row r="1667" spans="1:16" x14ac:dyDescent="0.3">
      <c r="A1667" s="27"/>
      <c r="B1667" s="27"/>
      <c r="C1667" s="27"/>
      <c r="D1667" s="27"/>
      <c r="E1667" s="27"/>
      <c r="F1667" s="27"/>
      <c r="G1667" s="27"/>
      <c r="H1667" s="27"/>
      <c r="I1667" s="28"/>
      <c r="J1667" s="27"/>
      <c r="K1667" s="29"/>
      <c r="L1667" s="31"/>
      <c r="M1667" s="28"/>
      <c r="N1667" s="30"/>
      <c r="O1667" s="27"/>
      <c r="P1667" s="137"/>
    </row>
    <row r="1668" spans="1:16" x14ac:dyDescent="0.3">
      <c r="A1668" s="27"/>
      <c r="B1668" s="27"/>
      <c r="C1668" s="27"/>
      <c r="D1668" s="27"/>
      <c r="E1668" s="27"/>
      <c r="F1668" s="27"/>
      <c r="G1668" s="27"/>
      <c r="H1668" s="27"/>
      <c r="I1668" s="28"/>
      <c r="J1668" s="27"/>
      <c r="K1668" s="29"/>
      <c r="L1668" s="31"/>
      <c r="M1668" s="28"/>
      <c r="N1668" s="30"/>
      <c r="O1668" s="27"/>
      <c r="P1668" s="137"/>
    </row>
    <row r="1669" spans="1:16" x14ac:dyDescent="0.3">
      <c r="A1669" s="27"/>
      <c r="B1669" s="27"/>
      <c r="C1669" s="27"/>
      <c r="D1669" s="27"/>
      <c r="E1669" s="27"/>
      <c r="F1669" s="27"/>
      <c r="G1669" s="27"/>
      <c r="H1669" s="27"/>
      <c r="I1669" s="28"/>
      <c r="J1669" s="27"/>
      <c r="K1669" s="29"/>
      <c r="L1669" s="31"/>
      <c r="M1669" s="28"/>
      <c r="N1669" s="30"/>
      <c r="O1669" s="27"/>
      <c r="P1669" s="137"/>
    </row>
    <row r="1670" spans="1:16" x14ac:dyDescent="0.3">
      <c r="A1670" s="27"/>
      <c r="B1670" s="27"/>
      <c r="C1670" s="27"/>
      <c r="D1670" s="27"/>
      <c r="E1670" s="27"/>
      <c r="F1670" s="27"/>
      <c r="G1670" s="27"/>
      <c r="H1670" s="27"/>
      <c r="I1670" s="28"/>
      <c r="J1670" s="27"/>
      <c r="K1670" s="29"/>
      <c r="L1670" s="31"/>
      <c r="M1670" s="28"/>
      <c r="N1670" s="30"/>
      <c r="O1670" s="27"/>
      <c r="P1670" s="137"/>
    </row>
    <row r="1671" spans="1:16" x14ac:dyDescent="0.3">
      <c r="A1671" s="27"/>
      <c r="B1671" s="27"/>
      <c r="C1671" s="27"/>
      <c r="D1671" s="27"/>
      <c r="E1671" s="27"/>
      <c r="F1671" s="27"/>
      <c r="G1671" s="27"/>
      <c r="H1671" s="27"/>
      <c r="I1671" s="28"/>
      <c r="J1671" s="27"/>
      <c r="K1671" s="29"/>
      <c r="L1671" s="31"/>
      <c r="M1671" s="28"/>
      <c r="N1671" s="30"/>
      <c r="O1671" s="27"/>
      <c r="P1671" s="137"/>
    </row>
    <row r="1672" spans="1:16" x14ac:dyDescent="0.3">
      <c r="A1672" s="27"/>
      <c r="B1672" s="27"/>
      <c r="C1672" s="27"/>
      <c r="D1672" s="27"/>
      <c r="E1672" s="27"/>
      <c r="F1672" s="27"/>
      <c r="G1672" s="27"/>
      <c r="H1672" s="27"/>
      <c r="I1672" s="28"/>
      <c r="J1672" s="27"/>
      <c r="K1672" s="29"/>
      <c r="L1672" s="31"/>
      <c r="M1672" s="28"/>
      <c r="N1672" s="30"/>
      <c r="O1672" s="27"/>
      <c r="P1672" s="137"/>
    </row>
    <row r="1673" spans="1:16" x14ac:dyDescent="0.3">
      <c r="A1673" s="27"/>
      <c r="B1673" s="27"/>
      <c r="C1673" s="27"/>
      <c r="D1673" s="27"/>
      <c r="E1673" s="27"/>
      <c r="F1673" s="27"/>
      <c r="G1673" s="27"/>
      <c r="H1673" s="27"/>
      <c r="I1673" s="28"/>
      <c r="J1673" s="27"/>
      <c r="K1673" s="29"/>
      <c r="L1673" s="31"/>
      <c r="M1673" s="28"/>
      <c r="N1673" s="30"/>
      <c r="O1673" s="27"/>
      <c r="P1673" s="137"/>
    </row>
    <row r="1674" spans="1:16" x14ac:dyDescent="0.3">
      <c r="A1674" s="27"/>
      <c r="B1674" s="27"/>
      <c r="C1674" s="27"/>
      <c r="D1674" s="27"/>
      <c r="E1674" s="27"/>
      <c r="F1674" s="27"/>
      <c r="G1674" s="27"/>
      <c r="H1674" s="27"/>
      <c r="I1674" s="28"/>
      <c r="J1674" s="27"/>
      <c r="K1674" s="29"/>
      <c r="L1674" s="31"/>
      <c r="M1674" s="28"/>
      <c r="N1674" s="30"/>
      <c r="O1674" s="27"/>
      <c r="P1674" s="137"/>
    </row>
    <row r="1675" spans="1:16" x14ac:dyDescent="0.3">
      <c r="A1675" s="27"/>
      <c r="B1675" s="27"/>
      <c r="C1675" s="27"/>
      <c r="D1675" s="27"/>
      <c r="E1675" s="27"/>
      <c r="F1675" s="27"/>
      <c r="G1675" s="27"/>
      <c r="H1675" s="27"/>
      <c r="I1675" s="28"/>
      <c r="J1675" s="27"/>
      <c r="K1675" s="29"/>
      <c r="L1675" s="31"/>
      <c r="M1675" s="28"/>
      <c r="N1675" s="30"/>
      <c r="O1675" s="27"/>
      <c r="P1675" s="137"/>
    </row>
    <row r="1676" spans="1:16" x14ac:dyDescent="0.3">
      <c r="A1676" s="27"/>
      <c r="B1676" s="27"/>
      <c r="C1676" s="27"/>
      <c r="D1676" s="27"/>
      <c r="E1676" s="27"/>
      <c r="F1676" s="27"/>
      <c r="G1676" s="27"/>
      <c r="H1676" s="27"/>
      <c r="I1676" s="28"/>
      <c r="J1676" s="27"/>
      <c r="K1676" s="29"/>
      <c r="L1676" s="31"/>
      <c r="M1676" s="28"/>
      <c r="N1676" s="30"/>
      <c r="O1676" s="27"/>
      <c r="P1676" s="137"/>
    </row>
    <row r="1677" spans="1:16" x14ac:dyDescent="0.3">
      <c r="A1677" s="27"/>
      <c r="B1677" s="27"/>
      <c r="C1677" s="27"/>
      <c r="D1677" s="27"/>
      <c r="E1677" s="27"/>
      <c r="F1677" s="27"/>
      <c r="G1677" s="27"/>
      <c r="H1677" s="27"/>
      <c r="I1677" s="28"/>
      <c r="J1677" s="27"/>
      <c r="K1677" s="29"/>
      <c r="L1677" s="31"/>
      <c r="M1677" s="28"/>
      <c r="N1677" s="30"/>
      <c r="O1677" s="27"/>
      <c r="P1677" s="137"/>
    </row>
    <row r="1678" spans="1:16" x14ac:dyDescent="0.3">
      <c r="A1678" s="27"/>
      <c r="B1678" s="27"/>
      <c r="C1678" s="27"/>
      <c r="D1678" s="27"/>
      <c r="E1678" s="27"/>
      <c r="F1678" s="27"/>
      <c r="G1678" s="27"/>
      <c r="H1678" s="27"/>
      <c r="I1678" s="28"/>
      <c r="J1678" s="27"/>
      <c r="K1678" s="29"/>
      <c r="L1678" s="31"/>
      <c r="M1678" s="28"/>
      <c r="N1678" s="30"/>
      <c r="O1678" s="27"/>
      <c r="P1678" s="137"/>
    </row>
    <row r="1679" spans="1:16" x14ac:dyDescent="0.3">
      <c r="A1679" s="27"/>
      <c r="B1679" s="27"/>
      <c r="C1679" s="27"/>
      <c r="D1679" s="27"/>
      <c r="E1679" s="27"/>
      <c r="F1679" s="27"/>
      <c r="G1679" s="27"/>
      <c r="H1679" s="27"/>
      <c r="I1679" s="28"/>
      <c r="J1679" s="27"/>
      <c r="K1679" s="29"/>
      <c r="L1679" s="31"/>
      <c r="M1679" s="28"/>
      <c r="N1679" s="30"/>
      <c r="O1679" s="27"/>
      <c r="P1679" s="137"/>
    </row>
    <row r="1680" spans="1:16" x14ac:dyDescent="0.3">
      <c r="A1680" s="27"/>
      <c r="B1680" s="27"/>
      <c r="C1680" s="27"/>
      <c r="D1680" s="27"/>
      <c r="E1680" s="27"/>
      <c r="F1680" s="27"/>
      <c r="G1680" s="27"/>
      <c r="H1680" s="27"/>
      <c r="I1680" s="28"/>
      <c r="J1680" s="27"/>
      <c r="K1680" s="29"/>
      <c r="L1680" s="31"/>
      <c r="M1680" s="28"/>
      <c r="N1680" s="30"/>
      <c r="O1680" s="27"/>
      <c r="P1680" s="137"/>
    </row>
    <row r="1681" spans="1:16" x14ac:dyDescent="0.3">
      <c r="A1681" s="27"/>
      <c r="B1681" s="27"/>
      <c r="C1681" s="27"/>
      <c r="D1681" s="27"/>
      <c r="E1681" s="27"/>
      <c r="F1681" s="27"/>
      <c r="G1681" s="27"/>
      <c r="H1681" s="27"/>
      <c r="I1681" s="28"/>
      <c r="J1681" s="27"/>
      <c r="K1681" s="29"/>
      <c r="L1681" s="31"/>
      <c r="M1681" s="28"/>
      <c r="N1681" s="30"/>
      <c r="O1681" s="27"/>
      <c r="P1681" s="137"/>
    </row>
    <row r="1682" spans="1:16" x14ac:dyDescent="0.3">
      <c r="A1682" s="27"/>
      <c r="B1682" s="27"/>
      <c r="C1682" s="27"/>
      <c r="D1682" s="27"/>
      <c r="E1682" s="27"/>
      <c r="F1682" s="27"/>
      <c r="G1682" s="27"/>
      <c r="H1682" s="27"/>
      <c r="I1682" s="28"/>
      <c r="J1682" s="27"/>
      <c r="K1682" s="29"/>
      <c r="L1682" s="31"/>
      <c r="M1682" s="28"/>
      <c r="N1682" s="30"/>
      <c r="O1682" s="27"/>
      <c r="P1682" s="137"/>
    </row>
  </sheetData>
  <autoFilter ref="A1:S1700" xr:uid="{5518A1B4-62AB-46DE-9693-26622AB6D6D5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13D97-850D-4BF5-B33F-1AF47A925C29}">
  <sheetPr codeName="Sheet3" filterMode="1">
    <tabColor theme="5" tint="0.39997558519241921"/>
  </sheetPr>
  <dimension ref="A1:AK455"/>
  <sheetViews>
    <sheetView workbookViewId="0">
      <pane ySplit="3" topLeftCell="A4" activePane="bottomLeft" state="frozen"/>
      <selection pane="bottomLeft" activeCell="J66" sqref="J66"/>
    </sheetView>
  </sheetViews>
  <sheetFormatPr defaultRowHeight="14.4" x14ac:dyDescent="0.3"/>
  <cols>
    <col min="1" max="1" width="11" bestFit="1" customWidth="1"/>
    <col min="2" max="3" width="11" style="35" customWidth="1"/>
    <col min="4" max="4" width="3.21875" style="34" customWidth="1"/>
    <col min="5" max="5" width="17.77734375" style="37" bestFit="1" customWidth="1"/>
    <col min="6" max="6" width="21.109375" bestFit="1" customWidth="1"/>
    <col min="7" max="7" width="22.44140625" style="127" bestFit="1" customWidth="1"/>
    <col min="8" max="8" width="43" style="35" bestFit="1" customWidth="1"/>
    <col min="9" max="9" width="8.5546875" bestFit="1" customWidth="1"/>
    <col min="10" max="10" width="15.44140625" bestFit="1" customWidth="1"/>
    <col min="11" max="11" width="12.109375" bestFit="1" customWidth="1"/>
  </cols>
  <sheetData>
    <row r="1" spans="1:37" s="90" customFormat="1" ht="14.4" customHeight="1" x14ac:dyDescent="0.3">
      <c r="A1" s="209"/>
      <c r="B1" s="210"/>
      <c r="C1" s="87"/>
      <c r="D1" s="88"/>
      <c r="E1" s="55"/>
      <c r="F1" s="47"/>
      <c r="G1" s="1"/>
      <c r="H1" s="124"/>
      <c r="I1" s="47"/>
      <c r="J1" s="47"/>
      <c r="K1" s="89"/>
      <c r="L1" s="89"/>
      <c r="M1" s="89"/>
      <c r="N1" s="49"/>
      <c r="O1" s="50"/>
      <c r="P1" s="50"/>
      <c r="Q1" s="51"/>
      <c r="R1" s="2">
        <v>40000051</v>
      </c>
      <c r="S1" s="2">
        <v>40000057</v>
      </c>
      <c r="T1" s="2">
        <v>40000048</v>
      </c>
      <c r="U1" s="2">
        <v>40000059</v>
      </c>
      <c r="V1" s="2">
        <v>40000049</v>
      </c>
      <c r="W1" s="2">
        <v>40000050</v>
      </c>
      <c r="X1" s="2">
        <v>40000009</v>
      </c>
      <c r="Y1" s="2">
        <v>40000052</v>
      </c>
      <c r="Z1" s="3">
        <v>20000475</v>
      </c>
      <c r="AA1" s="2">
        <v>40000055</v>
      </c>
      <c r="AB1" s="4">
        <v>20000478</v>
      </c>
      <c r="AC1" s="4">
        <v>20000480</v>
      </c>
      <c r="AD1" s="2">
        <v>80000054</v>
      </c>
      <c r="AE1" s="2">
        <v>40000083</v>
      </c>
      <c r="AF1" s="2">
        <v>11000008</v>
      </c>
      <c r="AG1" s="2">
        <v>11000266</v>
      </c>
      <c r="AH1" s="2">
        <v>11000304</v>
      </c>
      <c r="AI1" s="2">
        <v>40000011</v>
      </c>
      <c r="AJ1" s="2">
        <v>20001077</v>
      </c>
      <c r="AK1" s="2">
        <v>40000012</v>
      </c>
    </row>
    <row r="2" spans="1:37" s="90" customFormat="1" ht="84" x14ac:dyDescent="0.3">
      <c r="A2" s="209"/>
      <c r="B2" s="210"/>
      <c r="C2" s="87"/>
      <c r="D2" s="88"/>
      <c r="E2" s="56"/>
      <c r="F2" s="48"/>
      <c r="G2" s="91"/>
      <c r="H2" s="125"/>
      <c r="I2" s="48"/>
      <c r="J2" s="48"/>
      <c r="K2" s="5"/>
      <c r="L2" s="6"/>
      <c r="M2" s="7"/>
      <c r="N2" s="52"/>
      <c r="O2" s="53"/>
      <c r="P2" s="53"/>
      <c r="Q2" s="54"/>
      <c r="R2" s="6" t="s">
        <v>10</v>
      </c>
      <c r="S2" s="6" t="s">
        <v>11</v>
      </c>
      <c r="T2" s="6" t="s">
        <v>12</v>
      </c>
      <c r="U2" s="6" t="s">
        <v>13</v>
      </c>
      <c r="V2" s="6" t="s">
        <v>14</v>
      </c>
      <c r="W2" s="6" t="s">
        <v>15</v>
      </c>
      <c r="X2" s="6" t="s">
        <v>16</v>
      </c>
      <c r="Y2" s="6" t="s">
        <v>17</v>
      </c>
      <c r="Z2" s="6" t="s">
        <v>18</v>
      </c>
      <c r="AA2" s="6" t="s">
        <v>19</v>
      </c>
      <c r="AB2" s="6" t="s">
        <v>20</v>
      </c>
      <c r="AC2" s="6" t="s">
        <v>21</v>
      </c>
      <c r="AD2" s="6" t="s">
        <v>22</v>
      </c>
      <c r="AE2" s="6" t="s">
        <v>23</v>
      </c>
      <c r="AF2" s="6" t="s">
        <v>24</v>
      </c>
      <c r="AG2" s="6" t="s">
        <v>25</v>
      </c>
      <c r="AH2" s="6" t="s">
        <v>26</v>
      </c>
      <c r="AI2" s="6" t="s">
        <v>27</v>
      </c>
      <c r="AJ2" s="6" t="s">
        <v>28</v>
      </c>
      <c r="AK2" s="6" t="s">
        <v>29</v>
      </c>
    </row>
    <row r="3" spans="1:37" s="186" customFormat="1" ht="60" x14ac:dyDescent="0.3">
      <c r="A3" s="177" t="s">
        <v>81</v>
      </c>
      <c r="B3" s="178" t="s">
        <v>100</v>
      </c>
      <c r="C3" s="178" t="s">
        <v>58</v>
      </c>
      <c r="D3" s="178"/>
      <c r="E3" s="179" t="s">
        <v>0</v>
      </c>
      <c r="F3" s="180" t="s">
        <v>1</v>
      </c>
      <c r="G3" s="181" t="s">
        <v>2</v>
      </c>
      <c r="H3" s="180" t="s">
        <v>3</v>
      </c>
      <c r="I3" s="180" t="s">
        <v>4</v>
      </c>
      <c r="J3" s="180" t="s">
        <v>5</v>
      </c>
      <c r="K3" s="182" t="s">
        <v>92</v>
      </c>
      <c r="L3" s="182" t="s">
        <v>30</v>
      </c>
      <c r="M3" s="182" t="s">
        <v>31</v>
      </c>
      <c r="N3" s="183" t="s">
        <v>6</v>
      </c>
      <c r="O3" s="183" t="s">
        <v>7</v>
      </c>
      <c r="P3" s="183" t="s">
        <v>8</v>
      </c>
      <c r="Q3" s="184" t="s">
        <v>9</v>
      </c>
      <c r="R3" s="185" t="s">
        <v>32</v>
      </c>
      <c r="S3" s="185" t="s">
        <v>33</v>
      </c>
      <c r="T3" s="185" t="s">
        <v>34</v>
      </c>
      <c r="U3" s="185" t="s">
        <v>35</v>
      </c>
      <c r="V3" s="185" t="s">
        <v>36</v>
      </c>
      <c r="W3" s="185" t="s">
        <v>37</v>
      </c>
      <c r="X3" s="185" t="s">
        <v>38</v>
      </c>
      <c r="Y3" s="185" t="s">
        <v>39</v>
      </c>
      <c r="Z3" s="185" t="s">
        <v>40</v>
      </c>
      <c r="AA3" s="185" t="s">
        <v>41</v>
      </c>
      <c r="AB3" s="185" t="s">
        <v>42</v>
      </c>
      <c r="AC3" s="185" t="s">
        <v>43</v>
      </c>
      <c r="AD3" s="185" t="s">
        <v>44</v>
      </c>
      <c r="AE3" s="185" t="s">
        <v>45</v>
      </c>
      <c r="AF3" s="185" t="s">
        <v>46</v>
      </c>
      <c r="AG3" s="185" t="s">
        <v>47</v>
      </c>
      <c r="AH3" s="185" t="s">
        <v>48</v>
      </c>
      <c r="AI3" s="185" t="s">
        <v>49</v>
      </c>
      <c r="AJ3" s="185" t="s">
        <v>49</v>
      </c>
      <c r="AK3" s="185" t="s">
        <v>49</v>
      </c>
    </row>
    <row r="4" spans="1:37" ht="60" hidden="1" x14ac:dyDescent="0.3">
      <c r="A4" t="str">
        <f>_xlfn.XLOOKUP(J4,'Checking(ZSERIALS)'!G:G,'Checking(ZSERIALS)'!C:C)</f>
        <v>4900120406</v>
      </c>
      <c r="B4" s="35" t="str">
        <f>IF(J4="","",IF(COUNTIFS('Checking(ZSERIALS)'!J:J,MLR!G4,'Checking(ZSERIALS)'!G:G,MLR!J4)=1,"Correct",IF(COUNTIFS('Checking(ZSERIALS)'!J:J,MLR!G4,'Checking(ZSERIALS)'!G:G,MLR!J4)=0,"Incorrect","Err.")))</f>
        <v>Correct</v>
      </c>
      <c r="C4" s="63" t="str">
        <f>_xlfn.XLOOKUP(J4,'Checking(ZSERIALS)'!G:G,'Checking(ZSERIALS)'!F:F)</f>
        <v>CHRISTBELLA CONSTRUCTION MANAGEMENT</v>
      </c>
      <c r="E4" s="140" t="s">
        <v>411</v>
      </c>
      <c r="F4" s="141" t="s">
        <v>412</v>
      </c>
      <c r="G4" s="142">
        <v>1680000691706</v>
      </c>
      <c r="H4" s="143" t="s">
        <v>413</v>
      </c>
      <c r="I4" s="144" t="s">
        <v>89</v>
      </c>
      <c r="J4" s="141" t="s">
        <v>331</v>
      </c>
      <c r="K4" s="145"/>
      <c r="L4" s="145"/>
      <c r="M4" s="145"/>
      <c r="N4" s="146">
        <v>682</v>
      </c>
      <c r="O4" s="146">
        <v>327</v>
      </c>
      <c r="P4" s="146">
        <v>2000</v>
      </c>
      <c r="Q4" s="146" t="s">
        <v>97</v>
      </c>
      <c r="R4" s="61">
        <v>355</v>
      </c>
      <c r="S4" s="61">
        <v>2</v>
      </c>
      <c r="T4" s="61">
        <v>12</v>
      </c>
      <c r="U4" s="61">
        <v>1</v>
      </c>
      <c r="V4" s="61">
        <v>0</v>
      </c>
      <c r="W4" s="61">
        <v>0</v>
      </c>
      <c r="X4" s="61">
        <v>5</v>
      </c>
      <c r="Y4" s="61">
        <v>1</v>
      </c>
      <c r="Z4" s="95"/>
      <c r="AA4" s="95"/>
      <c r="AB4" s="95"/>
      <c r="AC4" s="95"/>
      <c r="AD4" s="95"/>
      <c r="AE4" s="95"/>
      <c r="AF4" s="95"/>
      <c r="AG4" s="95"/>
      <c r="AH4" s="95"/>
      <c r="AI4" s="61">
        <v>10</v>
      </c>
      <c r="AJ4" s="95"/>
      <c r="AK4" s="95"/>
    </row>
    <row r="5" spans="1:37" ht="60" hidden="1" x14ac:dyDescent="0.3">
      <c r="A5" t="str">
        <f>_xlfn.XLOOKUP(J5,'Checking(ZSERIALS)'!G:G,'Checking(ZSERIALS)'!C:C)</f>
        <v>4900123874</v>
      </c>
      <c r="B5" s="35" t="str">
        <f>IF(J5="","",IF(COUNTIFS('Checking(ZSERIALS)'!J:J,MLR!G5,'Checking(ZSERIALS)'!G:G,MLR!J5)=1,"Correct",IF(COUNTIFS('Checking(ZSERIALS)'!J:J,MLR!G5,'Checking(ZSERIALS)'!G:G,MLR!J5)=0,"Incorrect","Err.")))</f>
        <v>Correct</v>
      </c>
      <c r="C5" s="63" t="str">
        <f>_xlfn.XLOOKUP(J5,'Checking(ZSERIALS)'!G:G,'Checking(ZSERIALS)'!F:F)</f>
        <v>CHRISTBELLA CONSTRUCTION MANAGEMENT</v>
      </c>
      <c r="E5" s="140" t="s">
        <v>414</v>
      </c>
      <c r="F5" s="141" t="s">
        <v>415</v>
      </c>
      <c r="G5" s="142">
        <v>1680000693742</v>
      </c>
      <c r="H5" s="143" t="s">
        <v>416</v>
      </c>
      <c r="I5" s="144" t="s">
        <v>89</v>
      </c>
      <c r="J5" s="141" t="s">
        <v>334</v>
      </c>
      <c r="K5" s="145"/>
      <c r="L5" s="145"/>
      <c r="M5" s="145"/>
      <c r="N5" s="146">
        <v>1775</v>
      </c>
      <c r="O5" s="146">
        <v>1716</v>
      </c>
      <c r="P5" s="146">
        <v>2000</v>
      </c>
      <c r="Q5" s="146" t="s">
        <v>99</v>
      </c>
      <c r="R5" s="61">
        <v>59</v>
      </c>
      <c r="S5" s="61">
        <v>2</v>
      </c>
      <c r="T5" s="61">
        <v>6</v>
      </c>
      <c r="U5" s="61">
        <v>1</v>
      </c>
      <c r="V5" s="61">
        <v>0</v>
      </c>
      <c r="W5" s="61">
        <v>0</v>
      </c>
      <c r="X5" s="61">
        <v>5</v>
      </c>
      <c r="Y5" s="61">
        <v>1</v>
      </c>
      <c r="Z5" s="95"/>
      <c r="AA5" s="95"/>
      <c r="AB5" s="95"/>
      <c r="AC5" s="95"/>
      <c r="AD5" s="95"/>
      <c r="AE5" s="95"/>
      <c r="AF5" s="95"/>
      <c r="AG5" s="95"/>
      <c r="AH5" s="95"/>
      <c r="AI5" s="61">
        <v>10</v>
      </c>
      <c r="AJ5" s="95"/>
      <c r="AK5" s="95"/>
    </row>
    <row r="6" spans="1:37" ht="60" hidden="1" x14ac:dyDescent="0.3">
      <c r="A6" t="str">
        <f>_xlfn.XLOOKUP(J6,'Checking(ZSERIALS)'!G:G,'Checking(ZSERIALS)'!C:C)</f>
        <v>4900125232</v>
      </c>
      <c r="B6" s="35" t="str">
        <f>IF(J6="","",IF(COUNTIFS('Checking(ZSERIALS)'!J:J,MLR!G6,'Checking(ZSERIALS)'!G:G,MLR!J6)=1,"Correct",IF(COUNTIFS('Checking(ZSERIALS)'!J:J,MLR!G6,'Checking(ZSERIALS)'!G:G,MLR!J6)=0,"Incorrect","Err.")))</f>
        <v>Correct</v>
      </c>
      <c r="C6" s="63" t="str">
        <f>_xlfn.XLOOKUP(J6,'Checking(ZSERIALS)'!G:G,'Checking(ZSERIALS)'!F:F)</f>
        <v>CHRISTBELLA CONSTRUCTION MANAGEMENT</v>
      </c>
      <c r="E6" s="140" t="s">
        <v>414</v>
      </c>
      <c r="F6" s="141" t="s">
        <v>417</v>
      </c>
      <c r="G6" s="142">
        <v>1680000692270</v>
      </c>
      <c r="H6" s="143" t="s">
        <v>418</v>
      </c>
      <c r="I6" s="144" t="s">
        <v>89</v>
      </c>
      <c r="J6" s="141" t="s">
        <v>339</v>
      </c>
      <c r="K6" s="145"/>
      <c r="L6" s="145"/>
      <c r="M6" s="145"/>
      <c r="N6" s="146">
        <v>327</v>
      </c>
      <c r="O6" s="146">
        <v>132</v>
      </c>
      <c r="P6" s="146">
        <v>2000</v>
      </c>
      <c r="Q6" s="146" t="s">
        <v>97</v>
      </c>
      <c r="R6" s="61">
        <v>195</v>
      </c>
      <c r="S6" s="61">
        <v>2</v>
      </c>
      <c r="T6" s="61">
        <v>6</v>
      </c>
      <c r="U6" s="61">
        <v>1</v>
      </c>
      <c r="V6" s="61">
        <v>0</v>
      </c>
      <c r="W6" s="61">
        <v>0</v>
      </c>
      <c r="X6" s="61">
        <v>5</v>
      </c>
      <c r="Y6" s="61">
        <v>1</v>
      </c>
      <c r="Z6" s="95"/>
      <c r="AA6" s="95"/>
      <c r="AB6" s="95"/>
      <c r="AC6" s="95"/>
      <c r="AD6" s="95"/>
      <c r="AE6" s="95"/>
      <c r="AF6" s="95"/>
      <c r="AG6" s="95"/>
      <c r="AH6" s="95"/>
      <c r="AI6" s="61">
        <v>8</v>
      </c>
      <c r="AJ6" s="95"/>
      <c r="AK6" s="95"/>
    </row>
    <row r="7" spans="1:37" ht="60" hidden="1" x14ac:dyDescent="0.3">
      <c r="A7" t="str">
        <f>_xlfn.XLOOKUP(J7,'Checking(ZSERIALS)'!G:G,'Checking(ZSERIALS)'!C:C)</f>
        <v>4900129297</v>
      </c>
      <c r="B7" s="35" t="str">
        <f>IF(J7="","",IF(COUNTIFS('Checking(ZSERIALS)'!J:J,MLR!G7,'Checking(ZSERIALS)'!G:G,MLR!J7)=1,"Correct",IF(COUNTIFS('Checking(ZSERIALS)'!J:J,MLR!G7,'Checking(ZSERIALS)'!G:G,MLR!J7)=0,"Incorrect","Err.")))</f>
        <v>Correct</v>
      </c>
      <c r="C7" s="63" t="str">
        <f>_xlfn.XLOOKUP(J7,'Checking(ZSERIALS)'!G:G,'Checking(ZSERIALS)'!F:F)</f>
        <v>CHRISTBELLA CONSTRUCTION MANAGEMENT</v>
      </c>
      <c r="E7" s="140" t="s">
        <v>419</v>
      </c>
      <c r="F7" s="143" t="s">
        <v>420</v>
      </c>
      <c r="G7" s="147">
        <v>1680000696970</v>
      </c>
      <c r="H7" s="143" t="s">
        <v>421</v>
      </c>
      <c r="I7" s="144" t="s">
        <v>89</v>
      </c>
      <c r="J7" s="141" t="s">
        <v>356</v>
      </c>
      <c r="K7" s="145"/>
      <c r="L7" s="145"/>
      <c r="M7" s="145"/>
      <c r="N7" s="146">
        <v>2002</v>
      </c>
      <c r="O7" s="146">
        <v>1679</v>
      </c>
      <c r="P7" s="146">
        <v>2000</v>
      </c>
      <c r="Q7" s="146" t="s">
        <v>422</v>
      </c>
      <c r="R7" s="61">
        <v>323</v>
      </c>
      <c r="S7" s="61">
        <v>2</v>
      </c>
      <c r="T7" s="61">
        <v>12</v>
      </c>
      <c r="U7" s="61">
        <v>1</v>
      </c>
      <c r="V7" s="61">
        <v>0</v>
      </c>
      <c r="W7" s="61">
        <v>0</v>
      </c>
      <c r="X7" s="61">
        <v>6</v>
      </c>
      <c r="Y7" s="61">
        <v>1</v>
      </c>
      <c r="Z7" s="95"/>
      <c r="AA7" s="95"/>
      <c r="AB7" s="95"/>
      <c r="AC7" s="95"/>
      <c r="AD7" s="95"/>
      <c r="AE7" s="95"/>
      <c r="AF7" s="95"/>
      <c r="AG7" s="95"/>
      <c r="AH7" s="95"/>
      <c r="AI7" s="61">
        <v>8</v>
      </c>
      <c r="AJ7" s="95"/>
      <c r="AK7" s="95"/>
    </row>
    <row r="8" spans="1:37" ht="60" hidden="1" x14ac:dyDescent="0.3">
      <c r="A8" t="str">
        <f>_xlfn.XLOOKUP(J8,'Checking(ZSERIALS)'!G:G,'Checking(ZSERIALS)'!C:C)</f>
        <v>4900128935</v>
      </c>
      <c r="B8" s="35" t="str">
        <f>IF(J8="","",IF(COUNTIFS('Checking(ZSERIALS)'!J:J,MLR!G8,'Checking(ZSERIALS)'!G:G,MLR!J8)=1,"Correct",IF(COUNTIFS('Checking(ZSERIALS)'!J:J,MLR!G8,'Checking(ZSERIALS)'!G:G,MLR!J8)=0,"Incorrect","Err.")))</f>
        <v>Correct</v>
      </c>
      <c r="C8" s="63" t="str">
        <f>_xlfn.XLOOKUP(J8,'Checking(ZSERIALS)'!G:G,'Checking(ZSERIALS)'!F:F)</f>
        <v>CHRISTBELLA CONSTRUCTION MANAGEMENT</v>
      </c>
      <c r="E8" s="140" t="s">
        <v>419</v>
      </c>
      <c r="F8" s="143" t="s">
        <v>423</v>
      </c>
      <c r="G8" s="147">
        <v>1680000697505</v>
      </c>
      <c r="H8" s="143" t="s">
        <v>424</v>
      </c>
      <c r="I8" s="144" t="s">
        <v>89</v>
      </c>
      <c r="J8" s="141" t="s">
        <v>348</v>
      </c>
      <c r="K8" s="145"/>
      <c r="L8" s="145"/>
      <c r="M8" s="145"/>
      <c r="N8" s="146">
        <v>1559</v>
      </c>
      <c r="O8" s="146">
        <v>1262</v>
      </c>
      <c r="P8" s="146">
        <v>2000</v>
      </c>
      <c r="Q8" s="146" t="s">
        <v>99</v>
      </c>
      <c r="R8" s="61">
        <v>297</v>
      </c>
      <c r="S8" s="61">
        <v>2</v>
      </c>
      <c r="T8" s="61">
        <v>10</v>
      </c>
      <c r="U8" s="61">
        <v>1</v>
      </c>
      <c r="V8" s="61">
        <v>0</v>
      </c>
      <c r="W8" s="61">
        <v>0</v>
      </c>
      <c r="X8" s="61">
        <v>10</v>
      </c>
      <c r="Y8" s="61">
        <v>1</v>
      </c>
      <c r="Z8" s="95"/>
      <c r="AA8" s="95"/>
      <c r="AB8" s="95"/>
      <c r="AC8" s="95"/>
      <c r="AD8" s="95"/>
      <c r="AE8" s="95"/>
      <c r="AF8" s="95"/>
      <c r="AG8" s="95"/>
      <c r="AH8" s="95"/>
      <c r="AI8" s="61">
        <v>8</v>
      </c>
      <c r="AJ8" s="95"/>
      <c r="AK8" s="95"/>
    </row>
    <row r="9" spans="1:37" ht="60" hidden="1" x14ac:dyDescent="0.3">
      <c r="A9" t="str">
        <f>_xlfn.XLOOKUP(J9,'Checking(ZSERIALS)'!G:G,'Checking(ZSERIALS)'!C:C)</f>
        <v>4900127846</v>
      </c>
      <c r="B9" s="35" t="str">
        <f>IF(J9="","",IF(COUNTIFS('Checking(ZSERIALS)'!J:J,MLR!G9,'Checking(ZSERIALS)'!G:G,MLR!J9)=1,"Correct",IF(COUNTIFS('Checking(ZSERIALS)'!J:J,MLR!G9,'Checking(ZSERIALS)'!G:G,MLR!J9)=0,"Incorrect","Err.")))</f>
        <v>Correct</v>
      </c>
      <c r="C9" s="63" t="str">
        <f>_xlfn.XLOOKUP(J9,'Checking(ZSERIALS)'!G:G,'Checking(ZSERIALS)'!F:F)</f>
        <v>CHRISTBELLA CONSTRUCTION MANAGEMENT</v>
      </c>
      <c r="E9" s="140" t="s">
        <v>419</v>
      </c>
      <c r="F9" s="143" t="s">
        <v>425</v>
      </c>
      <c r="G9" s="147">
        <v>1680000696871</v>
      </c>
      <c r="H9" s="143" t="s">
        <v>426</v>
      </c>
      <c r="I9" s="144" t="s">
        <v>89</v>
      </c>
      <c r="J9" s="141" t="s">
        <v>345</v>
      </c>
      <c r="K9" s="145"/>
      <c r="L9" s="145"/>
      <c r="M9" s="145"/>
      <c r="N9" s="146">
        <v>1627</v>
      </c>
      <c r="O9" s="146">
        <v>1559</v>
      </c>
      <c r="P9" s="146">
        <v>2000</v>
      </c>
      <c r="Q9" s="146" t="s">
        <v>99</v>
      </c>
      <c r="R9" s="61">
        <v>68</v>
      </c>
      <c r="S9" s="61">
        <v>2</v>
      </c>
      <c r="T9" s="61">
        <v>4</v>
      </c>
      <c r="U9" s="61">
        <v>1</v>
      </c>
      <c r="V9" s="61">
        <v>0</v>
      </c>
      <c r="W9" s="61">
        <v>0</v>
      </c>
      <c r="X9" s="61">
        <v>5</v>
      </c>
      <c r="Y9" s="61">
        <v>1</v>
      </c>
      <c r="Z9" s="95"/>
      <c r="AA9" s="95"/>
      <c r="AB9" s="95"/>
      <c r="AC9" s="95"/>
      <c r="AD9" s="95"/>
      <c r="AE9" s="95"/>
      <c r="AF9" s="95"/>
      <c r="AG9" s="95"/>
      <c r="AH9" s="95"/>
      <c r="AI9" s="61">
        <v>10</v>
      </c>
      <c r="AJ9" s="95"/>
      <c r="AK9" s="95"/>
    </row>
    <row r="10" spans="1:37" ht="60" hidden="1" x14ac:dyDescent="0.3">
      <c r="A10" t="str">
        <f>_xlfn.XLOOKUP(J10,'Checking(ZSERIALS)'!G:G,'Checking(ZSERIALS)'!C:C)</f>
        <v>4900129225</v>
      </c>
      <c r="B10" s="35" t="str">
        <f>IF(J10="","",IF(COUNTIFS('Checking(ZSERIALS)'!J:J,MLR!G10,'Checking(ZSERIALS)'!G:G,MLR!J10)=1,"Correct",IF(COUNTIFS('Checking(ZSERIALS)'!J:J,MLR!G10,'Checking(ZSERIALS)'!G:G,MLR!J10)=0,"Incorrect","Err.")))</f>
        <v>Correct</v>
      </c>
      <c r="C10" s="63" t="str">
        <f>_xlfn.XLOOKUP(J10,'Checking(ZSERIALS)'!G:G,'Checking(ZSERIALS)'!F:F)</f>
        <v>CHRISTBELLA CONSTRUCTION MANAGEMENT</v>
      </c>
      <c r="E10" s="140" t="s">
        <v>419</v>
      </c>
      <c r="F10" s="141" t="s">
        <v>427</v>
      </c>
      <c r="G10" s="142">
        <v>1680000696047</v>
      </c>
      <c r="H10" s="143" t="s">
        <v>428</v>
      </c>
      <c r="I10" s="144" t="s">
        <v>89</v>
      </c>
      <c r="J10" s="141" t="s">
        <v>353</v>
      </c>
      <c r="K10" s="145"/>
      <c r="L10" s="145"/>
      <c r="M10" s="145"/>
      <c r="N10" s="146">
        <v>132</v>
      </c>
      <c r="O10" s="146">
        <v>0</v>
      </c>
      <c r="P10" s="146">
        <v>2000</v>
      </c>
      <c r="Q10" s="146" t="s">
        <v>97</v>
      </c>
      <c r="R10" s="61">
        <v>132</v>
      </c>
      <c r="S10" s="61">
        <v>2</v>
      </c>
      <c r="T10" s="61">
        <v>6</v>
      </c>
      <c r="U10" s="61">
        <v>1</v>
      </c>
      <c r="V10" s="61">
        <v>0</v>
      </c>
      <c r="W10" s="61">
        <v>0</v>
      </c>
      <c r="X10" s="61">
        <v>5</v>
      </c>
      <c r="Y10" s="61">
        <v>1</v>
      </c>
      <c r="Z10" s="95"/>
      <c r="AA10" s="95"/>
      <c r="AB10" s="95"/>
      <c r="AC10" s="95"/>
      <c r="AD10" s="95"/>
      <c r="AE10" s="95"/>
      <c r="AF10" s="95"/>
      <c r="AG10" s="95"/>
      <c r="AH10" s="95"/>
      <c r="AI10" s="61">
        <v>10</v>
      </c>
      <c r="AJ10" s="95"/>
      <c r="AK10" s="95"/>
    </row>
    <row r="11" spans="1:37" ht="60" hidden="1" x14ac:dyDescent="0.3">
      <c r="A11" t="str">
        <f>_xlfn.XLOOKUP(J11,'Checking(ZSERIALS)'!G:G,'Checking(ZSERIALS)'!C:C)</f>
        <v>4900126967</v>
      </c>
      <c r="B11" s="35" t="str">
        <f>IF(J11="","",IF(COUNTIFS('Checking(ZSERIALS)'!J:J,MLR!G11,'Checking(ZSERIALS)'!G:G,MLR!J11)=1,"Correct",IF(COUNTIFS('Checking(ZSERIALS)'!J:J,MLR!G11,'Checking(ZSERIALS)'!G:G,MLR!J11)=0,"Incorrect","Err.")))</f>
        <v>Correct</v>
      </c>
      <c r="C11" s="63" t="str">
        <f>_xlfn.XLOOKUP(J11,'Checking(ZSERIALS)'!G:G,'Checking(ZSERIALS)'!F:F)</f>
        <v>CHRISTBELLA CONSTRUCTION MANAGEMENT</v>
      </c>
      <c r="E11" s="140" t="s">
        <v>419</v>
      </c>
      <c r="F11" s="141" t="s">
        <v>429</v>
      </c>
      <c r="G11" s="142">
        <v>1680000695397</v>
      </c>
      <c r="H11" s="141" t="s">
        <v>430</v>
      </c>
      <c r="I11" s="144" t="s">
        <v>89</v>
      </c>
      <c r="J11" s="141" t="s">
        <v>342</v>
      </c>
      <c r="K11" s="145"/>
      <c r="L11" s="145"/>
      <c r="M11" s="145"/>
      <c r="N11" s="146">
        <v>1716</v>
      </c>
      <c r="O11" s="146">
        <v>1627</v>
      </c>
      <c r="P11" s="146">
        <v>2000</v>
      </c>
      <c r="Q11" s="146" t="s">
        <v>99</v>
      </c>
      <c r="R11" s="61">
        <v>89</v>
      </c>
      <c r="S11" s="61">
        <v>2</v>
      </c>
      <c r="T11" s="61">
        <v>6</v>
      </c>
      <c r="U11" s="61">
        <v>1</v>
      </c>
      <c r="V11" s="61">
        <v>0</v>
      </c>
      <c r="W11" s="61">
        <v>0</v>
      </c>
      <c r="X11" s="61">
        <v>5</v>
      </c>
      <c r="Y11" s="61">
        <v>1</v>
      </c>
      <c r="Z11" s="95"/>
      <c r="AA11" s="95"/>
      <c r="AB11" s="95"/>
      <c r="AC11" s="95"/>
      <c r="AD11" s="95"/>
      <c r="AE11" s="95"/>
      <c r="AF11" s="95"/>
      <c r="AG11" s="95"/>
      <c r="AH11" s="95"/>
      <c r="AI11" s="61">
        <v>8</v>
      </c>
      <c r="AJ11" s="95"/>
      <c r="AK11" s="95"/>
    </row>
    <row r="12" spans="1:37" ht="60" hidden="1" x14ac:dyDescent="0.3">
      <c r="A12" t="str">
        <f>_xlfn.XLOOKUP(J12,'Checking(ZSERIALS)'!G:G,'Checking(ZSERIALS)'!C:C)</f>
        <v>4900132653</v>
      </c>
      <c r="B12" s="35" t="str">
        <f>IF(J12="","",IF(COUNTIFS('Checking(ZSERIALS)'!J:J,MLR!G12,'Checking(ZSERIALS)'!G:G,MLR!J12)=1,"Correct",IF(COUNTIFS('Checking(ZSERIALS)'!J:J,MLR!G12,'Checking(ZSERIALS)'!G:G,MLR!J12)=0,"Incorrect","Err.")))</f>
        <v>Correct</v>
      </c>
      <c r="C12" s="63" t="str">
        <f>_xlfn.XLOOKUP(J12,'Checking(ZSERIALS)'!G:G,'Checking(ZSERIALS)'!F:F)</f>
        <v>CHRISTBELLA CONSTRUCTION MANAGEMENT</v>
      </c>
      <c r="E12" s="140" t="s">
        <v>431</v>
      </c>
      <c r="F12" s="141" t="s">
        <v>432</v>
      </c>
      <c r="G12" s="142">
        <v>1680000699895</v>
      </c>
      <c r="H12" s="143" t="s">
        <v>433</v>
      </c>
      <c r="I12" s="144" t="s">
        <v>89</v>
      </c>
      <c r="J12" s="141" t="s">
        <v>359</v>
      </c>
      <c r="K12" s="145"/>
      <c r="L12" s="145"/>
      <c r="M12" s="145"/>
      <c r="N12" s="146">
        <v>1262</v>
      </c>
      <c r="O12" s="146">
        <v>1221</v>
      </c>
      <c r="P12" s="146">
        <v>2000</v>
      </c>
      <c r="Q12" s="146" t="s">
        <v>99</v>
      </c>
      <c r="R12" s="61">
        <v>41</v>
      </c>
      <c r="S12" s="61">
        <v>2</v>
      </c>
      <c r="T12" s="61">
        <v>6</v>
      </c>
      <c r="U12" s="61">
        <v>1</v>
      </c>
      <c r="V12" s="61">
        <v>0</v>
      </c>
      <c r="W12" s="61">
        <v>0</v>
      </c>
      <c r="X12" s="61">
        <v>10</v>
      </c>
      <c r="Y12" s="61">
        <v>1</v>
      </c>
      <c r="Z12" s="95"/>
      <c r="AA12" s="95"/>
      <c r="AB12" s="95"/>
      <c r="AC12" s="95"/>
      <c r="AD12" s="95"/>
      <c r="AE12" s="95"/>
      <c r="AF12" s="95"/>
      <c r="AG12" s="95"/>
      <c r="AH12" s="95"/>
      <c r="AI12" s="61">
        <v>10</v>
      </c>
      <c r="AJ12" s="95"/>
      <c r="AK12" s="95"/>
    </row>
    <row r="13" spans="1:37" ht="60" hidden="1" x14ac:dyDescent="0.3">
      <c r="A13" t="str">
        <f>_xlfn.XLOOKUP(J13,'Checking(ZSERIALS)'!G:G,'Checking(ZSERIALS)'!C:C)</f>
        <v>4900133939</v>
      </c>
      <c r="B13" s="35" t="str">
        <f>IF(J13="","",IF(COUNTIFS('Checking(ZSERIALS)'!J:J,MLR!G13,'Checking(ZSERIALS)'!G:G,MLR!J13)=1,"Correct",IF(COUNTIFS('Checking(ZSERIALS)'!J:J,MLR!G13,'Checking(ZSERIALS)'!G:G,MLR!J13)=0,"Incorrect","Err.")))</f>
        <v>Correct</v>
      </c>
      <c r="C13" s="63" t="str">
        <f>_xlfn.XLOOKUP(J13,'Checking(ZSERIALS)'!G:G,'Checking(ZSERIALS)'!F:F)</f>
        <v>CHRISTBELLA CONSTRUCTION MANAGEMENT</v>
      </c>
      <c r="E13" s="140" t="s">
        <v>431</v>
      </c>
      <c r="F13" s="141" t="s">
        <v>434</v>
      </c>
      <c r="G13" s="142">
        <v>1680000700086</v>
      </c>
      <c r="H13" s="141" t="s">
        <v>435</v>
      </c>
      <c r="I13" s="144" t="s">
        <v>89</v>
      </c>
      <c r="J13" s="141" t="s">
        <v>362</v>
      </c>
      <c r="K13" s="145"/>
      <c r="L13" s="145"/>
      <c r="M13" s="145"/>
      <c r="N13" s="146">
        <v>1221</v>
      </c>
      <c r="O13" s="146">
        <v>1163</v>
      </c>
      <c r="P13" s="146">
        <v>2000</v>
      </c>
      <c r="Q13" s="146" t="s">
        <v>99</v>
      </c>
      <c r="R13" s="61">
        <v>58</v>
      </c>
      <c r="S13" s="61">
        <v>2</v>
      </c>
      <c r="T13" s="61">
        <v>6</v>
      </c>
      <c r="U13" s="61">
        <v>1</v>
      </c>
      <c r="V13" s="61">
        <v>0</v>
      </c>
      <c r="W13" s="61">
        <v>0</v>
      </c>
      <c r="X13" s="61">
        <v>8</v>
      </c>
      <c r="Y13" s="61">
        <v>1</v>
      </c>
      <c r="Z13" s="95"/>
      <c r="AA13" s="95"/>
      <c r="AB13" s="95"/>
      <c r="AC13" s="95"/>
      <c r="AD13" s="95"/>
      <c r="AE13" s="95"/>
      <c r="AF13" s="95"/>
      <c r="AG13" s="95"/>
      <c r="AH13" s="95"/>
      <c r="AI13" s="61">
        <v>10</v>
      </c>
      <c r="AJ13" s="95"/>
      <c r="AK13" s="95"/>
    </row>
    <row r="14" spans="1:37" ht="60" hidden="1" x14ac:dyDescent="0.3">
      <c r="A14" t="str">
        <f>_xlfn.XLOOKUP(J14,'Checking(ZSERIALS)'!G:G,'Checking(ZSERIALS)'!C:C)</f>
        <v>4900134100</v>
      </c>
      <c r="B14" s="35" t="str">
        <f>IF(J14="","",IF(COUNTIFS('Checking(ZSERIALS)'!J:J,MLR!G14,'Checking(ZSERIALS)'!G:G,MLR!J14)=1,"Correct",IF(COUNTIFS('Checking(ZSERIALS)'!J:J,MLR!G14,'Checking(ZSERIALS)'!G:G,MLR!J14)=0,"Incorrect","Err.")))</f>
        <v>Correct</v>
      </c>
      <c r="C14" s="63" t="str">
        <f>_xlfn.XLOOKUP(J14,'Checking(ZSERIALS)'!G:G,'Checking(ZSERIALS)'!F:F)</f>
        <v>CHRISTBELLA CONSTRUCTION MANAGEMENT</v>
      </c>
      <c r="E14" s="140" t="s">
        <v>431</v>
      </c>
      <c r="F14" s="141" t="s">
        <v>436</v>
      </c>
      <c r="G14" s="142">
        <v>1680000700506</v>
      </c>
      <c r="H14" s="143" t="s">
        <v>437</v>
      </c>
      <c r="I14" s="144" t="s">
        <v>89</v>
      </c>
      <c r="J14" s="141" t="s">
        <v>365</v>
      </c>
      <c r="K14" s="145"/>
      <c r="L14" s="145"/>
      <c r="M14" s="145"/>
      <c r="N14" s="146">
        <v>1679</v>
      </c>
      <c r="O14" s="146">
        <v>1592</v>
      </c>
      <c r="P14" s="146">
        <v>2000</v>
      </c>
      <c r="Q14" s="146" t="s">
        <v>422</v>
      </c>
      <c r="R14" s="96">
        <v>87</v>
      </c>
      <c r="S14" s="61">
        <v>2</v>
      </c>
      <c r="T14" s="61">
        <v>4</v>
      </c>
      <c r="U14" s="61">
        <v>1</v>
      </c>
      <c r="V14" s="61">
        <v>0</v>
      </c>
      <c r="W14" s="61">
        <v>0</v>
      </c>
      <c r="X14" s="61">
        <v>5</v>
      </c>
      <c r="Y14" s="61">
        <v>1</v>
      </c>
      <c r="Z14" s="95"/>
      <c r="AA14" s="95"/>
      <c r="AB14" s="95"/>
      <c r="AC14" s="95"/>
      <c r="AD14" s="95"/>
      <c r="AE14" s="95"/>
      <c r="AF14" s="95"/>
      <c r="AG14" s="95"/>
      <c r="AH14" s="95"/>
      <c r="AI14" s="61">
        <v>8</v>
      </c>
      <c r="AJ14" s="95"/>
      <c r="AK14" s="95"/>
    </row>
    <row r="15" spans="1:37" ht="60" hidden="1" x14ac:dyDescent="0.3">
      <c r="A15" t="str">
        <f>_xlfn.XLOOKUP(J15,'Checking(ZSERIALS)'!G:G,'Checking(ZSERIALS)'!C:C)</f>
        <v>4900134266</v>
      </c>
      <c r="B15" s="35" t="str">
        <f>IF(J15="","",IF(COUNTIFS('Checking(ZSERIALS)'!J:J,MLR!G15,'Checking(ZSERIALS)'!G:G,MLR!J15)=1,"Correct",IF(COUNTIFS('Checking(ZSERIALS)'!J:J,MLR!G15,'Checking(ZSERIALS)'!G:G,MLR!J15)=0,"Incorrect","Err.")))</f>
        <v>Correct</v>
      </c>
      <c r="C15" s="63" t="str">
        <f>_xlfn.XLOOKUP(J15,'Checking(ZSERIALS)'!G:G,'Checking(ZSERIALS)'!F:F)</f>
        <v>CHRISTBELLA CONSTRUCTION MANAGEMENT</v>
      </c>
      <c r="E15" s="140" t="s">
        <v>431</v>
      </c>
      <c r="F15" s="141" t="s">
        <v>438</v>
      </c>
      <c r="G15" s="142">
        <v>1680000699442</v>
      </c>
      <c r="H15" s="141" t="s">
        <v>439</v>
      </c>
      <c r="I15" s="144" t="s">
        <v>89</v>
      </c>
      <c r="J15" s="141" t="s">
        <v>368</v>
      </c>
      <c r="K15" s="145"/>
      <c r="L15" s="145"/>
      <c r="M15" s="145"/>
      <c r="N15" s="146">
        <v>1592</v>
      </c>
      <c r="O15" s="146">
        <v>1503</v>
      </c>
      <c r="P15" s="146">
        <v>2000</v>
      </c>
      <c r="Q15" s="146" t="s">
        <v>422</v>
      </c>
      <c r="R15" s="61">
        <v>89</v>
      </c>
      <c r="S15" s="61">
        <v>2</v>
      </c>
      <c r="T15" s="61">
        <v>5</v>
      </c>
      <c r="U15" s="61">
        <v>1</v>
      </c>
      <c r="V15" s="61">
        <v>0</v>
      </c>
      <c r="W15" s="61">
        <v>0</v>
      </c>
      <c r="X15" s="61">
        <v>2</v>
      </c>
      <c r="Y15" s="61">
        <v>1</v>
      </c>
      <c r="Z15" s="95"/>
      <c r="AA15" s="95"/>
      <c r="AB15" s="95"/>
      <c r="AC15" s="95"/>
      <c r="AD15" s="95"/>
      <c r="AE15" s="95"/>
      <c r="AF15" s="95"/>
      <c r="AG15" s="95"/>
      <c r="AH15" s="95"/>
      <c r="AI15" s="61">
        <v>8</v>
      </c>
      <c r="AJ15" s="95"/>
      <c r="AK15" s="95"/>
    </row>
    <row r="16" spans="1:37" ht="60" hidden="1" x14ac:dyDescent="0.3">
      <c r="A16" t="str">
        <f>_xlfn.XLOOKUP(J16,'Checking(ZSERIALS)'!G:G,'Checking(ZSERIALS)'!C:C)</f>
        <v>4900134949</v>
      </c>
      <c r="B16" s="35" t="str">
        <f>IF(J16="","",IF(COUNTIFS('Checking(ZSERIALS)'!J:J,MLR!G16,'Checking(ZSERIALS)'!G:G,MLR!J16)=1,"Correct",IF(COUNTIFS('Checking(ZSERIALS)'!J:J,MLR!G16,'Checking(ZSERIALS)'!G:G,MLR!J16)=0,"Incorrect","Err.")))</f>
        <v>Correct</v>
      </c>
      <c r="C16" s="63" t="str">
        <f>_xlfn.XLOOKUP(J16,'Checking(ZSERIALS)'!G:G,'Checking(ZSERIALS)'!F:F)</f>
        <v>CHRISTBELLA CONSTRUCTION MANAGEMENT</v>
      </c>
      <c r="E16" s="140" t="s">
        <v>431</v>
      </c>
      <c r="F16" s="141" t="s">
        <v>440</v>
      </c>
      <c r="G16" s="142">
        <v>1680000697821</v>
      </c>
      <c r="H16" s="141" t="s">
        <v>441</v>
      </c>
      <c r="I16" s="144" t="s">
        <v>89</v>
      </c>
      <c r="J16" s="141" t="s">
        <v>373</v>
      </c>
      <c r="K16" s="145"/>
      <c r="L16" s="145"/>
      <c r="M16" s="145"/>
      <c r="N16" s="146">
        <v>1503</v>
      </c>
      <c r="O16" s="146">
        <v>1240</v>
      </c>
      <c r="P16" s="146">
        <v>2000</v>
      </c>
      <c r="Q16" s="146" t="s">
        <v>422</v>
      </c>
      <c r="R16" s="61">
        <v>263</v>
      </c>
      <c r="S16" s="61">
        <v>2</v>
      </c>
      <c r="T16" s="61">
        <v>9</v>
      </c>
      <c r="U16" s="61">
        <v>1</v>
      </c>
      <c r="V16" s="61">
        <v>0</v>
      </c>
      <c r="W16" s="61">
        <v>0</v>
      </c>
      <c r="X16" s="61">
        <v>2</v>
      </c>
      <c r="Y16" s="61">
        <v>1</v>
      </c>
      <c r="Z16" s="95"/>
      <c r="AA16" s="95"/>
      <c r="AB16" s="95"/>
      <c r="AC16" s="95"/>
      <c r="AD16" s="95"/>
      <c r="AE16" s="95"/>
      <c r="AF16" s="95"/>
      <c r="AG16" s="95"/>
      <c r="AH16" s="95"/>
      <c r="AI16" s="61">
        <v>8</v>
      </c>
      <c r="AJ16" s="95"/>
      <c r="AK16" s="95"/>
    </row>
    <row r="17" spans="1:37" ht="60" hidden="1" x14ac:dyDescent="0.3">
      <c r="A17" t="str">
        <f>_xlfn.XLOOKUP(J17,'Checking(ZSERIALS)'!G:G,'Checking(ZSERIALS)'!C:C)</f>
        <v>4900136769</v>
      </c>
      <c r="B17" s="35" t="str">
        <f>IF(J17="","",IF(COUNTIFS('Checking(ZSERIALS)'!J:J,MLR!G17,'Checking(ZSERIALS)'!G:G,MLR!J17)=1,"Correct",IF(COUNTIFS('Checking(ZSERIALS)'!J:J,MLR!G17,'Checking(ZSERIALS)'!G:G,MLR!J17)=0,"Incorrect","Err.")))</f>
        <v>Correct</v>
      </c>
      <c r="C17" s="63" t="str">
        <f>_xlfn.XLOOKUP(J17,'Checking(ZSERIALS)'!G:G,'Checking(ZSERIALS)'!F:F)</f>
        <v>CHRISTBELLA CONSTRUCTION MANAGEMENT</v>
      </c>
      <c r="E17" s="140" t="s">
        <v>442</v>
      </c>
      <c r="F17" s="141" t="s">
        <v>443</v>
      </c>
      <c r="G17" s="142">
        <v>1680000697589</v>
      </c>
      <c r="H17" s="141" t="s">
        <v>444</v>
      </c>
      <c r="I17" s="144" t="s">
        <v>89</v>
      </c>
      <c r="J17" s="141" t="s">
        <v>376</v>
      </c>
      <c r="K17" s="145"/>
      <c r="L17" s="145"/>
      <c r="M17" s="145"/>
      <c r="N17" s="146">
        <v>1240</v>
      </c>
      <c r="O17" s="146">
        <v>1190</v>
      </c>
      <c r="P17" s="146">
        <v>2000</v>
      </c>
      <c r="Q17" s="146" t="s">
        <v>422</v>
      </c>
      <c r="R17" s="61">
        <v>50</v>
      </c>
      <c r="S17" s="61">
        <v>2</v>
      </c>
      <c r="T17" s="61">
        <v>4</v>
      </c>
      <c r="U17" s="61">
        <v>1</v>
      </c>
      <c r="V17" s="61">
        <v>0</v>
      </c>
      <c r="W17" s="61">
        <v>0</v>
      </c>
      <c r="X17" s="61">
        <v>5</v>
      </c>
      <c r="Y17" s="61">
        <v>1</v>
      </c>
      <c r="Z17" s="95"/>
      <c r="AA17" s="95"/>
      <c r="AB17" s="95"/>
      <c r="AC17" s="95"/>
      <c r="AD17" s="95"/>
      <c r="AE17" s="95"/>
      <c r="AF17" s="95"/>
      <c r="AG17" s="95"/>
      <c r="AH17" s="95"/>
      <c r="AI17" s="61">
        <v>10</v>
      </c>
      <c r="AJ17" s="95"/>
      <c r="AK17" s="95"/>
    </row>
    <row r="18" spans="1:37" ht="60" hidden="1" x14ac:dyDescent="0.3">
      <c r="A18" t="str">
        <f>_xlfn.XLOOKUP(J18,'Checking(ZSERIALS)'!G:G,'Checking(ZSERIALS)'!C:C)</f>
        <v>4900138145</v>
      </c>
      <c r="B18" s="35" t="str">
        <f>IF(J18="","",IF(COUNTIFS('Checking(ZSERIALS)'!J:J,MLR!G18,'Checking(ZSERIALS)'!G:G,MLR!J18)=1,"Correct",IF(COUNTIFS('Checking(ZSERIALS)'!J:J,MLR!G18,'Checking(ZSERIALS)'!G:G,MLR!J18)=0,"Incorrect","Err.")))</f>
        <v>Correct</v>
      </c>
      <c r="C18" s="63" t="str">
        <f>_xlfn.XLOOKUP(J18,'Checking(ZSERIALS)'!G:G,'Checking(ZSERIALS)'!F:F)</f>
        <v>CHRISTBELLA CONSTRUCTION MANAGEMENT</v>
      </c>
      <c r="E18" s="140" t="s">
        <v>442</v>
      </c>
      <c r="F18" s="143" t="s">
        <v>445</v>
      </c>
      <c r="G18" s="147">
        <v>1680000697080</v>
      </c>
      <c r="H18" s="143" t="s">
        <v>446</v>
      </c>
      <c r="I18" s="144" t="s">
        <v>89</v>
      </c>
      <c r="J18" s="141" t="s">
        <v>382</v>
      </c>
      <c r="K18" s="145"/>
      <c r="L18" s="145"/>
      <c r="M18" s="145"/>
      <c r="N18" s="146">
        <v>1190</v>
      </c>
      <c r="O18" s="146">
        <v>925</v>
      </c>
      <c r="P18" s="146">
        <v>2000</v>
      </c>
      <c r="Q18" s="146" t="s">
        <v>422</v>
      </c>
      <c r="R18" s="61">
        <v>265</v>
      </c>
      <c r="S18" s="61">
        <v>2</v>
      </c>
      <c r="T18" s="61">
        <v>9</v>
      </c>
      <c r="U18" s="61">
        <v>1</v>
      </c>
      <c r="V18" s="61">
        <v>0</v>
      </c>
      <c r="W18" s="61">
        <v>0</v>
      </c>
      <c r="X18" s="61">
        <v>6</v>
      </c>
      <c r="Y18" s="61">
        <v>1</v>
      </c>
      <c r="Z18" s="95"/>
      <c r="AA18" s="95"/>
      <c r="AB18" s="95"/>
      <c r="AC18" s="95"/>
      <c r="AD18" s="95"/>
      <c r="AE18" s="95"/>
      <c r="AF18" s="95"/>
      <c r="AG18" s="95"/>
      <c r="AH18" s="95"/>
      <c r="AI18" s="61">
        <v>8</v>
      </c>
      <c r="AJ18" s="95"/>
      <c r="AK18" s="95"/>
    </row>
    <row r="19" spans="1:37" ht="60" hidden="1" x14ac:dyDescent="0.3">
      <c r="A19" t="str">
        <f>_xlfn.XLOOKUP(J19,'Checking(ZSERIALS)'!G:G,'Checking(ZSERIALS)'!C:C)</f>
        <v>4900140011</v>
      </c>
      <c r="B19" s="35" t="str">
        <f>IF(J19="","",IF(COUNTIFS('Checking(ZSERIALS)'!J:J,MLR!G19,'Checking(ZSERIALS)'!G:G,MLR!J19)=1,"Correct",IF(COUNTIFS('Checking(ZSERIALS)'!J:J,MLR!G19,'Checking(ZSERIALS)'!G:G,MLR!J19)=0,"Incorrect","Err.")))</f>
        <v>Correct</v>
      </c>
      <c r="C19" s="63" t="str">
        <f>_xlfn.XLOOKUP(J19,'Checking(ZSERIALS)'!G:G,'Checking(ZSERIALS)'!F:F)</f>
        <v>CHRISTBELLA CONSTRUCTION MANAGEMENT</v>
      </c>
      <c r="E19" s="140" t="s">
        <v>442</v>
      </c>
      <c r="F19" s="141" t="s">
        <v>447</v>
      </c>
      <c r="G19" s="142">
        <v>1680000701541</v>
      </c>
      <c r="H19" s="143" t="s">
        <v>448</v>
      </c>
      <c r="I19" s="144" t="s">
        <v>89</v>
      </c>
      <c r="J19" s="141" t="s">
        <v>388</v>
      </c>
      <c r="K19" s="145"/>
      <c r="L19" s="145"/>
      <c r="M19" s="145"/>
      <c r="N19" s="146">
        <v>2002</v>
      </c>
      <c r="O19" s="146">
        <v>1757</v>
      </c>
      <c r="P19" s="146">
        <v>2000</v>
      </c>
      <c r="Q19" s="146" t="s">
        <v>98</v>
      </c>
      <c r="R19" s="61">
        <v>245</v>
      </c>
      <c r="S19" s="61">
        <v>2</v>
      </c>
      <c r="T19" s="61">
        <v>10</v>
      </c>
      <c r="U19" s="61">
        <v>1</v>
      </c>
      <c r="V19" s="61">
        <v>0</v>
      </c>
      <c r="W19" s="61">
        <v>0</v>
      </c>
      <c r="X19" s="61">
        <v>10</v>
      </c>
      <c r="Y19" s="61">
        <v>1</v>
      </c>
      <c r="Z19" s="95"/>
      <c r="AA19" s="95"/>
      <c r="AB19" s="95"/>
      <c r="AC19" s="95"/>
      <c r="AD19" s="95"/>
      <c r="AE19" s="95"/>
      <c r="AF19" s="95"/>
      <c r="AG19" s="95"/>
      <c r="AH19" s="95"/>
      <c r="AI19" s="61">
        <v>10</v>
      </c>
      <c r="AJ19" s="95"/>
      <c r="AK19" s="95"/>
    </row>
    <row r="20" spans="1:37" ht="60" hidden="1" x14ac:dyDescent="0.3">
      <c r="A20" t="str">
        <f>_xlfn.XLOOKUP(J20,'Checking(ZSERIALS)'!G:G,'Checking(ZSERIALS)'!C:C)</f>
        <v>4900137895</v>
      </c>
      <c r="B20" s="35" t="str">
        <f>IF(J20="","",IF(COUNTIFS('Checking(ZSERIALS)'!J:J,MLR!G20,'Checking(ZSERIALS)'!G:G,MLR!J20)=1,"Correct",IF(COUNTIFS('Checking(ZSERIALS)'!J:J,MLR!G20,'Checking(ZSERIALS)'!G:G,MLR!J20)=0,"Incorrect","Err.")))</f>
        <v>Correct</v>
      </c>
      <c r="C20" s="63" t="str">
        <f>_xlfn.XLOOKUP(J20,'Checking(ZSERIALS)'!G:G,'Checking(ZSERIALS)'!F:F)</f>
        <v>CHRISTBELLA CONSTRUCTION MANAGEMENT</v>
      </c>
      <c r="E20" s="140" t="s">
        <v>442</v>
      </c>
      <c r="F20" s="141" t="s">
        <v>449</v>
      </c>
      <c r="G20" s="142">
        <v>1680000698603</v>
      </c>
      <c r="H20" s="141" t="s">
        <v>450</v>
      </c>
      <c r="I20" s="144" t="s">
        <v>89</v>
      </c>
      <c r="J20" s="141" t="s">
        <v>379</v>
      </c>
      <c r="K20" s="145"/>
      <c r="L20" s="145"/>
      <c r="M20" s="145"/>
      <c r="N20" s="146">
        <v>1757</v>
      </c>
      <c r="O20" s="146">
        <v>1447</v>
      </c>
      <c r="P20" s="146">
        <v>2000</v>
      </c>
      <c r="Q20" s="146" t="s">
        <v>98</v>
      </c>
      <c r="R20" s="61">
        <v>310</v>
      </c>
      <c r="S20" s="61">
        <v>2</v>
      </c>
      <c r="T20" s="61">
        <v>14</v>
      </c>
      <c r="U20" s="61">
        <v>1</v>
      </c>
      <c r="V20" s="61">
        <v>0</v>
      </c>
      <c r="W20" s="61">
        <v>0</v>
      </c>
      <c r="X20" s="61">
        <v>10</v>
      </c>
      <c r="Y20" s="61">
        <v>1</v>
      </c>
      <c r="Z20" s="95"/>
      <c r="AA20" s="95"/>
      <c r="AB20" s="95"/>
      <c r="AC20" s="95"/>
      <c r="AD20" s="95"/>
      <c r="AE20" s="95"/>
      <c r="AF20" s="95"/>
      <c r="AG20" s="95"/>
      <c r="AH20" s="95"/>
      <c r="AI20" s="61">
        <v>8</v>
      </c>
      <c r="AJ20" s="95"/>
      <c r="AK20" s="95"/>
    </row>
    <row r="21" spans="1:37" ht="60" hidden="1" x14ac:dyDescent="0.3">
      <c r="A21" t="str">
        <f>_xlfn.XLOOKUP(J21,'Checking(ZSERIALS)'!G:G,'Checking(ZSERIALS)'!C:C)</f>
        <v>4900139036</v>
      </c>
      <c r="B21" s="35" t="str">
        <f>IF(J21="","",IF(COUNTIFS('Checking(ZSERIALS)'!J:J,MLR!G21,'Checking(ZSERIALS)'!G:G,MLR!J21)=1,"Correct",IF(COUNTIFS('Checking(ZSERIALS)'!J:J,MLR!G21,'Checking(ZSERIALS)'!G:G,MLR!J21)=0,"Incorrect","Err.")))</f>
        <v>Correct</v>
      </c>
      <c r="C21" s="63" t="str">
        <f>_xlfn.XLOOKUP(J21,'Checking(ZSERIALS)'!G:G,'Checking(ZSERIALS)'!F:F)</f>
        <v>CHRISTBELLA CONSTRUCTION MANAGEMENT</v>
      </c>
      <c r="E21" s="140" t="s">
        <v>442</v>
      </c>
      <c r="F21" s="141" t="s">
        <v>451</v>
      </c>
      <c r="G21" s="142">
        <v>1680000700557</v>
      </c>
      <c r="H21" s="141" t="s">
        <v>452</v>
      </c>
      <c r="I21" s="144" t="s">
        <v>89</v>
      </c>
      <c r="J21" s="141" t="s">
        <v>385</v>
      </c>
      <c r="K21" s="145"/>
      <c r="L21" s="145"/>
      <c r="M21" s="145"/>
      <c r="N21" s="146">
        <v>1447</v>
      </c>
      <c r="O21" s="146">
        <v>1357</v>
      </c>
      <c r="P21" s="146">
        <v>2000</v>
      </c>
      <c r="Q21" s="146" t="s">
        <v>98</v>
      </c>
      <c r="R21" s="61">
        <v>90</v>
      </c>
      <c r="S21" s="61">
        <v>2</v>
      </c>
      <c r="T21" s="61">
        <v>7</v>
      </c>
      <c r="U21" s="61">
        <v>1</v>
      </c>
      <c r="V21" s="61">
        <v>0</v>
      </c>
      <c r="W21" s="61">
        <v>0</v>
      </c>
      <c r="X21" s="61">
        <v>10</v>
      </c>
      <c r="Y21" s="61">
        <v>1</v>
      </c>
      <c r="Z21" s="95"/>
      <c r="AA21" s="95"/>
      <c r="AB21" s="95"/>
      <c r="AC21" s="95"/>
      <c r="AD21" s="95"/>
      <c r="AE21" s="95"/>
      <c r="AF21" s="95"/>
      <c r="AG21" s="95"/>
      <c r="AH21" s="95"/>
      <c r="AI21" s="61">
        <v>10</v>
      </c>
      <c r="AJ21" s="95"/>
      <c r="AK21" s="95"/>
    </row>
    <row r="22" spans="1:37" ht="60" hidden="1" x14ac:dyDescent="0.3">
      <c r="A22" t="str">
        <f>_xlfn.XLOOKUP(J22,'Checking(ZSERIALS)'!G:G,'Checking(ZSERIALS)'!C:C)</f>
        <v>4900140568</v>
      </c>
      <c r="B22" s="35" t="str">
        <f>IF(J22="","",IF(COUNTIFS('Checking(ZSERIALS)'!J:J,MLR!G22,'Checking(ZSERIALS)'!G:G,MLR!J22)=1,"Correct",IF(COUNTIFS('Checking(ZSERIALS)'!J:J,MLR!G22,'Checking(ZSERIALS)'!G:G,MLR!J22)=0,"Incorrect","Err.")))</f>
        <v>Correct</v>
      </c>
      <c r="C22" s="63" t="str">
        <f>_xlfn.XLOOKUP(J22,'Checking(ZSERIALS)'!G:G,'Checking(ZSERIALS)'!F:F)</f>
        <v>CHRISTBELLA CONSTRUCTION MANAGEMENT</v>
      </c>
      <c r="E22" s="140" t="s">
        <v>453</v>
      </c>
      <c r="F22" s="141" t="s">
        <v>454</v>
      </c>
      <c r="G22" s="142">
        <v>1680000701674</v>
      </c>
      <c r="H22" s="143" t="s">
        <v>455</v>
      </c>
      <c r="I22" s="144" t="s">
        <v>89</v>
      </c>
      <c r="J22" s="141" t="s">
        <v>391</v>
      </c>
      <c r="K22" s="145"/>
      <c r="L22" s="145"/>
      <c r="M22" s="145"/>
      <c r="N22" s="146">
        <v>1163</v>
      </c>
      <c r="O22" s="146">
        <v>1053</v>
      </c>
      <c r="P22" s="146">
        <v>2000</v>
      </c>
      <c r="Q22" s="146" t="s">
        <v>99</v>
      </c>
      <c r="R22" s="61">
        <v>110</v>
      </c>
      <c r="S22" s="61">
        <v>2</v>
      </c>
      <c r="T22" s="61">
        <v>6</v>
      </c>
      <c r="U22" s="61">
        <v>1</v>
      </c>
      <c r="V22" s="61">
        <v>0</v>
      </c>
      <c r="W22" s="61">
        <v>0</v>
      </c>
      <c r="X22" s="61">
        <v>8</v>
      </c>
      <c r="Y22" s="61">
        <v>1</v>
      </c>
      <c r="Z22" s="95"/>
      <c r="AA22" s="95"/>
      <c r="AB22" s="95"/>
      <c r="AC22" s="95"/>
      <c r="AD22" s="95"/>
      <c r="AE22" s="95"/>
      <c r="AF22" s="95"/>
      <c r="AG22" s="95"/>
      <c r="AH22" s="95"/>
      <c r="AI22" s="61">
        <v>10</v>
      </c>
      <c r="AJ22" s="95"/>
      <c r="AK22" s="95"/>
    </row>
    <row r="23" spans="1:37" ht="60" hidden="1" x14ac:dyDescent="0.3">
      <c r="A23" t="str">
        <f>_xlfn.XLOOKUP(J23,'Checking(ZSERIALS)'!G:G,'Checking(ZSERIALS)'!C:C)</f>
        <v>4900140957</v>
      </c>
      <c r="B23" s="35" t="str">
        <f>IF(J23="","",IF(COUNTIFS('Checking(ZSERIALS)'!J:J,MLR!G23,'Checking(ZSERIALS)'!G:G,MLR!J23)=1,"Correct",IF(COUNTIFS('Checking(ZSERIALS)'!J:J,MLR!G23,'Checking(ZSERIALS)'!G:G,MLR!J23)=0,"Incorrect","Err.")))</f>
        <v>Correct</v>
      </c>
      <c r="C23" s="63" t="str">
        <f>_xlfn.XLOOKUP(J23,'Checking(ZSERIALS)'!G:G,'Checking(ZSERIALS)'!F:F)</f>
        <v>CHRISTBELLA CONSTRUCTION MANAGEMENT</v>
      </c>
      <c r="E23" s="140" t="s">
        <v>453</v>
      </c>
      <c r="F23" s="141" t="s">
        <v>456</v>
      </c>
      <c r="G23" s="142">
        <v>1680000701780</v>
      </c>
      <c r="H23" s="143" t="s">
        <v>457</v>
      </c>
      <c r="I23" s="144" t="s">
        <v>89</v>
      </c>
      <c r="J23" s="141" t="s">
        <v>394</v>
      </c>
      <c r="K23" s="145"/>
      <c r="L23" s="145"/>
      <c r="M23" s="145"/>
      <c r="N23" s="146">
        <v>1280</v>
      </c>
      <c r="O23" s="146">
        <v>1184</v>
      </c>
      <c r="P23" s="146">
        <v>2000</v>
      </c>
      <c r="Q23" s="146" t="s">
        <v>98</v>
      </c>
      <c r="R23" s="61">
        <v>96</v>
      </c>
      <c r="S23" s="61">
        <v>2</v>
      </c>
      <c r="T23" s="61">
        <v>8</v>
      </c>
      <c r="U23" s="61">
        <v>1</v>
      </c>
      <c r="V23" s="61">
        <v>0</v>
      </c>
      <c r="W23" s="61">
        <v>0</v>
      </c>
      <c r="X23" s="61">
        <v>10</v>
      </c>
      <c r="Y23" s="61">
        <v>1</v>
      </c>
      <c r="Z23" s="95"/>
      <c r="AA23" s="95"/>
      <c r="AB23" s="95"/>
      <c r="AC23" s="95"/>
      <c r="AD23" s="95"/>
      <c r="AE23" s="95"/>
      <c r="AF23" s="95"/>
      <c r="AG23" s="95"/>
      <c r="AH23" s="95"/>
      <c r="AI23" s="61">
        <v>8</v>
      </c>
      <c r="AJ23" s="95"/>
      <c r="AK23" s="95"/>
    </row>
    <row r="24" spans="1:37" ht="60" hidden="1" x14ac:dyDescent="0.3">
      <c r="A24" t="str">
        <f>_xlfn.XLOOKUP(J24,'Checking(ZSERIALS)'!G:G,'Checking(ZSERIALS)'!C:C)</f>
        <v>4900141173</v>
      </c>
      <c r="B24" s="35" t="str">
        <f>IF(J24="","",IF(COUNTIFS('Checking(ZSERIALS)'!J:J,MLR!G24,'Checking(ZSERIALS)'!G:G,MLR!J24)=1,"Correct",IF(COUNTIFS('Checking(ZSERIALS)'!J:J,MLR!G24,'Checking(ZSERIALS)'!G:G,MLR!J24)=0,"Incorrect","Err.")))</f>
        <v>Correct</v>
      </c>
      <c r="C24" s="63" t="str">
        <f>_xlfn.XLOOKUP(J24,'Checking(ZSERIALS)'!G:G,'Checking(ZSERIALS)'!F:F)</f>
        <v>CHRISTBELLA CONSTRUCTION MANAGEMENT</v>
      </c>
      <c r="E24" s="140" t="s">
        <v>453</v>
      </c>
      <c r="F24" s="141" t="s">
        <v>458</v>
      </c>
      <c r="G24" s="142">
        <v>1680000703178</v>
      </c>
      <c r="H24" s="141" t="s">
        <v>459</v>
      </c>
      <c r="I24" s="144" t="s">
        <v>89</v>
      </c>
      <c r="J24" s="141" t="s">
        <v>397</v>
      </c>
      <c r="K24" s="145"/>
      <c r="L24" s="145"/>
      <c r="M24" s="145"/>
      <c r="N24" s="146">
        <v>1184</v>
      </c>
      <c r="O24" s="146">
        <v>1077</v>
      </c>
      <c r="P24" s="146">
        <v>2000</v>
      </c>
      <c r="Q24" s="146" t="s">
        <v>98</v>
      </c>
      <c r="R24" s="61">
        <v>107</v>
      </c>
      <c r="S24" s="61">
        <v>2</v>
      </c>
      <c r="T24" s="61">
        <v>10</v>
      </c>
      <c r="U24" s="61">
        <v>1</v>
      </c>
      <c r="V24" s="61">
        <v>0</v>
      </c>
      <c r="W24" s="61">
        <v>0</v>
      </c>
      <c r="X24" s="61">
        <v>10</v>
      </c>
      <c r="Y24" s="61">
        <v>1</v>
      </c>
      <c r="Z24" s="95"/>
      <c r="AA24" s="95"/>
      <c r="AB24" s="95"/>
      <c r="AC24" s="95"/>
      <c r="AD24" s="95"/>
      <c r="AE24" s="95"/>
      <c r="AF24" s="95"/>
      <c r="AG24" s="95"/>
      <c r="AH24" s="95"/>
      <c r="AI24" s="61">
        <v>10</v>
      </c>
      <c r="AJ24" s="95"/>
      <c r="AK24" s="95"/>
    </row>
    <row r="25" spans="1:37" ht="60" hidden="1" x14ac:dyDescent="0.3">
      <c r="A25" t="str">
        <f>_xlfn.XLOOKUP(J25,'Checking(ZSERIALS)'!G:G,'Checking(ZSERIALS)'!C:C)</f>
        <v>4900141415</v>
      </c>
      <c r="B25" s="35" t="str">
        <f>IF(J25="","",IF(COUNTIFS('Checking(ZSERIALS)'!J:J,MLR!G25,'Checking(ZSERIALS)'!G:G,MLR!J25)=1,"Correct",IF(COUNTIFS('Checking(ZSERIALS)'!J:J,MLR!G25,'Checking(ZSERIALS)'!G:G,MLR!J25)=0,"Incorrect","Err.")))</f>
        <v>Correct</v>
      </c>
      <c r="C25" s="63" t="str">
        <f>_xlfn.XLOOKUP(J25,'Checking(ZSERIALS)'!G:G,'Checking(ZSERIALS)'!F:F)</f>
        <v>CHRISTBELLA CONSTRUCTION MANAGEMENT</v>
      </c>
      <c r="E25" s="140" t="s">
        <v>453</v>
      </c>
      <c r="F25" s="141" t="s">
        <v>460</v>
      </c>
      <c r="G25" s="142">
        <v>1680000704326</v>
      </c>
      <c r="H25" s="143" t="s">
        <v>461</v>
      </c>
      <c r="I25" s="144" t="s">
        <v>89</v>
      </c>
      <c r="J25" s="141" t="s">
        <v>403</v>
      </c>
      <c r="K25" s="145"/>
      <c r="L25" s="145"/>
      <c r="M25" s="145"/>
      <c r="N25" s="146">
        <v>1076</v>
      </c>
      <c r="O25" s="146">
        <v>1007</v>
      </c>
      <c r="P25" s="146">
        <v>2000</v>
      </c>
      <c r="Q25" s="146" t="s">
        <v>98</v>
      </c>
      <c r="R25" s="61">
        <v>69</v>
      </c>
      <c r="S25" s="61">
        <v>2</v>
      </c>
      <c r="T25" s="61">
        <v>6</v>
      </c>
      <c r="U25" s="61">
        <v>1</v>
      </c>
      <c r="V25" s="61">
        <v>0</v>
      </c>
      <c r="W25" s="61">
        <v>0</v>
      </c>
      <c r="X25" s="61">
        <v>10</v>
      </c>
      <c r="Y25" s="61">
        <v>1</v>
      </c>
      <c r="Z25" s="95"/>
      <c r="AA25" s="95"/>
      <c r="AB25" s="95"/>
      <c r="AC25" s="95"/>
      <c r="AD25" s="95"/>
      <c r="AE25" s="95"/>
      <c r="AF25" s="95"/>
      <c r="AG25" s="95"/>
      <c r="AH25" s="95"/>
      <c r="AI25" s="61">
        <v>8</v>
      </c>
      <c r="AJ25" s="95"/>
      <c r="AK25" s="95"/>
    </row>
    <row r="26" spans="1:37" ht="60" hidden="1" x14ac:dyDescent="0.3">
      <c r="A26" t="str">
        <f>_xlfn.XLOOKUP(J26,'Checking(ZSERIALS)'!G:G,'Checking(ZSERIALS)'!C:C)</f>
        <v>4900141376</v>
      </c>
      <c r="B26" s="35" t="str">
        <f>IF(J26="","",IF(COUNTIFS('Checking(ZSERIALS)'!J:J,MLR!G26,'Checking(ZSERIALS)'!G:G,MLR!J26)=1,"Correct",IF(COUNTIFS('Checking(ZSERIALS)'!J:J,MLR!G26,'Checking(ZSERIALS)'!G:G,MLR!J26)=0,"Incorrect","Err.")))</f>
        <v>Correct</v>
      </c>
      <c r="C26" s="63" t="str">
        <f>_xlfn.XLOOKUP(J26,'Checking(ZSERIALS)'!G:G,'Checking(ZSERIALS)'!F:F)</f>
        <v>CHRISTBELLA CONSTRUCTION MANAGEMENT</v>
      </c>
      <c r="E26" s="140" t="s">
        <v>453</v>
      </c>
      <c r="F26" s="141" t="s">
        <v>462</v>
      </c>
      <c r="G26" s="142">
        <v>1680000703147</v>
      </c>
      <c r="H26" s="143" t="s">
        <v>463</v>
      </c>
      <c r="I26" s="144" t="s">
        <v>89</v>
      </c>
      <c r="J26" s="141" t="s">
        <v>400</v>
      </c>
      <c r="K26" s="145"/>
      <c r="L26" s="145"/>
      <c r="M26" s="145"/>
      <c r="N26" s="146">
        <v>925</v>
      </c>
      <c r="O26" s="146">
        <v>799</v>
      </c>
      <c r="P26" s="146">
        <v>2000</v>
      </c>
      <c r="Q26" s="146" t="s">
        <v>422</v>
      </c>
      <c r="R26" s="61">
        <v>126</v>
      </c>
      <c r="S26" s="61">
        <v>2</v>
      </c>
      <c r="T26" s="61">
        <v>6</v>
      </c>
      <c r="U26" s="61">
        <v>1</v>
      </c>
      <c r="V26" s="61">
        <v>0</v>
      </c>
      <c r="W26" s="61">
        <v>0</v>
      </c>
      <c r="X26" s="61">
        <v>5</v>
      </c>
      <c r="Y26" s="61">
        <v>1</v>
      </c>
      <c r="Z26" s="95"/>
      <c r="AA26" s="95"/>
      <c r="AB26" s="95"/>
      <c r="AC26" s="95"/>
      <c r="AD26" s="95"/>
      <c r="AE26" s="95"/>
      <c r="AF26" s="95"/>
      <c r="AG26" s="95"/>
      <c r="AH26" s="95"/>
      <c r="AI26" s="61">
        <v>18</v>
      </c>
      <c r="AJ26" s="95"/>
      <c r="AK26" s="95"/>
    </row>
    <row r="27" spans="1:37" ht="60" hidden="1" x14ac:dyDescent="0.3">
      <c r="A27" t="str">
        <f>_xlfn.XLOOKUP(J27,'Checking(ZSERIALS)'!G:G,'Checking(ZSERIALS)'!C:C)</f>
        <v>4900141594</v>
      </c>
      <c r="B27" s="35" t="str">
        <f>IF(J27="","",IF(COUNTIFS('Checking(ZSERIALS)'!J:J,MLR!G27,'Checking(ZSERIALS)'!G:G,MLR!J27)=1,"Correct",IF(COUNTIFS('Checking(ZSERIALS)'!J:J,MLR!G27,'Checking(ZSERIALS)'!G:G,MLR!J27)=0,"Incorrect","Err.")))</f>
        <v>Correct</v>
      </c>
      <c r="C27" s="63" t="str">
        <f>_xlfn.XLOOKUP(J27,'Checking(ZSERIALS)'!G:G,'Checking(ZSERIALS)'!F:F)</f>
        <v>CHRISTBELLA CONSTRUCTION MANAGEMENT</v>
      </c>
      <c r="E27" s="140" t="s">
        <v>453</v>
      </c>
      <c r="F27" s="141" t="s">
        <v>464</v>
      </c>
      <c r="G27" s="142">
        <v>1680000698441</v>
      </c>
      <c r="H27" s="143" t="s">
        <v>465</v>
      </c>
      <c r="I27" s="144" t="s">
        <v>89</v>
      </c>
      <c r="J27" s="141" t="s">
        <v>409</v>
      </c>
      <c r="K27" s="145"/>
      <c r="L27" s="145"/>
      <c r="M27" s="145"/>
      <c r="N27" s="146">
        <v>1053</v>
      </c>
      <c r="O27" s="146">
        <v>888</v>
      </c>
      <c r="P27" s="146">
        <v>2000</v>
      </c>
      <c r="Q27" s="146" t="s">
        <v>99</v>
      </c>
      <c r="R27" s="61">
        <v>165</v>
      </c>
      <c r="S27" s="61">
        <v>2</v>
      </c>
      <c r="T27" s="61">
        <v>6</v>
      </c>
      <c r="U27" s="61">
        <v>1</v>
      </c>
      <c r="V27" s="61">
        <v>0</v>
      </c>
      <c r="W27" s="61">
        <v>0</v>
      </c>
      <c r="X27" s="61">
        <v>8</v>
      </c>
      <c r="Y27" s="61">
        <v>1</v>
      </c>
      <c r="Z27" s="95"/>
      <c r="AA27" s="95"/>
      <c r="AB27" s="95"/>
      <c r="AC27" s="95"/>
      <c r="AD27" s="95"/>
      <c r="AE27" s="95"/>
      <c r="AF27" s="95"/>
      <c r="AG27" s="95"/>
      <c r="AH27" s="95"/>
      <c r="AI27" s="61">
        <v>8</v>
      </c>
      <c r="AJ27" s="95"/>
      <c r="AK27" s="95"/>
    </row>
    <row r="28" spans="1:37" ht="60" hidden="1" x14ac:dyDescent="0.3">
      <c r="A28" t="str">
        <f>_xlfn.XLOOKUP(J28,'Checking(ZSERIALS)'!G:G,'Checking(ZSERIALS)'!C:C)</f>
        <v>4900141475</v>
      </c>
      <c r="B28" s="35" t="str">
        <f>IF(J28="","",IF(COUNTIFS('Checking(ZSERIALS)'!J:J,MLR!G28,'Checking(ZSERIALS)'!G:G,MLR!J28)=1,"Correct",IF(COUNTIFS('Checking(ZSERIALS)'!J:J,MLR!G28,'Checking(ZSERIALS)'!G:G,MLR!J28)=0,"Incorrect","Err.")))</f>
        <v>Correct</v>
      </c>
      <c r="C28" s="63" t="str">
        <f>_xlfn.XLOOKUP(J28,'Checking(ZSERIALS)'!G:G,'Checking(ZSERIALS)'!F:F)</f>
        <v>CHRISTBELLA CONSTRUCTION MANAGEMENT</v>
      </c>
      <c r="E28" s="140" t="s">
        <v>453</v>
      </c>
      <c r="F28" s="141" t="s">
        <v>466</v>
      </c>
      <c r="G28" s="142">
        <v>1680000700083</v>
      </c>
      <c r="H28" s="143" t="s">
        <v>467</v>
      </c>
      <c r="I28" s="144" t="s">
        <v>89</v>
      </c>
      <c r="J28" s="141" t="s">
        <v>406</v>
      </c>
      <c r="K28" s="145"/>
      <c r="L28" s="145"/>
      <c r="M28" s="145"/>
      <c r="N28" s="146">
        <v>799</v>
      </c>
      <c r="O28" s="146">
        <v>614</v>
      </c>
      <c r="P28" s="146">
        <v>2000</v>
      </c>
      <c r="Q28" s="146" t="s">
        <v>422</v>
      </c>
      <c r="R28" s="61">
        <v>185</v>
      </c>
      <c r="S28" s="61">
        <v>2</v>
      </c>
      <c r="T28" s="61">
        <v>8</v>
      </c>
      <c r="U28" s="61">
        <v>1</v>
      </c>
      <c r="V28" s="61">
        <v>0</v>
      </c>
      <c r="W28" s="61">
        <v>0</v>
      </c>
      <c r="X28" s="61">
        <v>9</v>
      </c>
      <c r="Y28" s="61">
        <v>1</v>
      </c>
      <c r="Z28" s="95"/>
      <c r="AA28" s="95"/>
      <c r="AB28" s="95"/>
      <c r="AC28" s="95"/>
      <c r="AD28" s="95"/>
      <c r="AE28" s="95"/>
      <c r="AF28" s="95"/>
      <c r="AG28" s="95"/>
      <c r="AH28" s="95"/>
      <c r="AI28" s="61">
        <v>8</v>
      </c>
      <c r="AJ28" s="95"/>
      <c r="AK28" s="95"/>
    </row>
    <row r="29" spans="1:37" ht="60" hidden="1" x14ac:dyDescent="0.3">
      <c r="A29" t="str">
        <f>_xlfn.XLOOKUP(J29,'Checking(ZSERIALS)'!G:G,'Checking(ZSERIALS)'!C:C)</f>
        <v>4900003796</v>
      </c>
      <c r="B29" s="35" t="str">
        <f>IF(J29="","",IF(COUNTIFS('Checking(ZSERIALS)'!J:J,MLR!G29,'Checking(ZSERIALS)'!G:G,MLR!J29)=1,"Correct",IF(COUNTIFS('Checking(ZSERIALS)'!J:J,MLR!G29,'Checking(ZSERIALS)'!G:G,MLR!J29)=0,"Incorrect","Err.")))</f>
        <v>Correct</v>
      </c>
      <c r="C29" s="63" t="str">
        <f>_xlfn.XLOOKUP(J29,'Checking(ZSERIALS)'!G:G,'Checking(ZSERIALS)'!F:F)</f>
        <v>CHRISTBELLA CONSTRUCTION MANAGEMENT</v>
      </c>
      <c r="E29" s="148">
        <v>45352</v>
      </c>
      <c r="F29" s="141" t="s">
        <v>468</v>
      </c>
      <c r="G29" s="142">
        <v>1680000705942</v>
      </c>
      <c r="H29" s="141" t="s">
        <v>469</v>
      </c>
      <c r="I29" s="144" t="s">
        <v>89</v>
      </c>
      <c r="J29" s="141" t="s">
        <v>106</v>
      </c>
      <c r="K29" s="145"/>
      <c r="L29" s="145"/>
      <c r="M29" s="145"/>
      <c r="N29" s="146">
        <v>614</v>
      </c>
      <c r="O29" s="146">
        <v>492</v>
      </c>
      <c r="P29" s="146">
        <v>2000</v>
      </c>
      <c r="Q29" s="146" t="s">
        <v>422</v>
      </c>
      <c r="R29" s="61">
        <v>122</v>
      </c>
      <c r="S29" s="61">
        <v>2</v>
      </c>
      <c r="T29" s="61">
        <v>7</v>
      </c>
      <c r="U29" s="61">
        <v>1</v>
      </c>
      <c r="V29" s="61">
        <v>0</v>
      </c>
      <c r="W29" s="61">
        <v>0</v>
      </c>
      <c r="X29" s="61">
        <v>5</v>
      </c>
      <c r="Y29" s="61">
        <v>1</v>
      </c>
      <c r="Z29" s="95"/>
      <c r="AA29" s="95"/>
      <c r="AB29" s="95"/>
      <c r="AC29" s="95"/>
      <c r="AD29" s="95"/>
      <c r="AE29" s="95"/>
      <c r="AF29" s="95"/>
      <c r="AG29" s="95"/>
      <c r="AH29" s="95"/>
      <c r="AI29" s="61">
        <v>10</v>
      </c>
      <c r="AJ29" s="95"/>
      <c r="AK29" s="95"/>
    </row>
    <row r="30" spans="1:37" ht="60" hidden="1" x14ac:dyDescent="0.3">
      <c r="A30" t="str">
        <f>_xlfn.XLOOKUP(J30,'Checking(ZSERIALS)'!G:G,'Checking(ZSERIALS)'!C:C)</f>
        <v>4900004105</v>
      </c>
      <c r="B30" s="35" t="str">
        <f>IF(J30="","",IF(COUNTIFS('Checking(ZSERIALS)'!J:J,MLR!G30,'Checking(ZSERIALS)'!G:G,MLR!J30)=1,"Correct",IF(COUNTIFS('Checking(ZSERIALS)'!J:J,MLR!G30,'Checking(ZSERIALS)'!G:G,MLR!J30)=0,"Incorrect","Err.")))</f>
        <v>Correct</v>
      </c>
      <c r="C30" s="63" t="str">
        <f>_xlfn.XLOOKUP(J30,'Checking(ZSERIALS)'!G:G,'Checking(ZSERIALS)'!F:F)</f>
        <v>CHRISTBELLA CONSTRUCTION MANAGEMENT</v>
      </c>
      <c r="E30" s="148">
        <v>45352</v>
      </c>
      <c r="F30" s="141" t="s">
        <v>470</v>
      </c>
      <c r="G30" s="142">
        <v>1680000701938</v>
      </c>
      <c r="H30" s="143" t="s">
        <v>471</v>
      </c>
      <c r="I30" s="144" t="s">
        <v>89</v>
      </c>
      <c r="J30" s="141" t="s">
        <v>109</v>
      </c>
      <c r="K30" s="145"/>
      <c r="L30" s="145"/>
      <c r="M30" s="145"/>
      <c r="N30" s="146">
        <v>888</v>
      </c>
      <c r="O30" s="146">
        <v>484</v>
      </c>
      <c r="P30" s="146">
        <v>2000</v>
      </c>
      <c r="Q30" s="146" t="s">
        <v>99</v>
      </c>
      <c r="R30" s="61">
        <v>404</v>
      </c>
      <c r="S30" s="61">
        <v>2</v>
      </c>
      <c r="T30" s="61">
        <v>18</v>
      </c>
      <c r="U30" s="61">
        <v>1</v>
      </c>
      <c r="V30" s="61">
        <v>0</v>
      </c>
      <c r="W30" s="61">
        <v>0</v>
      </c>
      <c r="X30" s="61">
        <v>10</v>
      </c>
      <c r="Y30" s="61">
        <v>1</v>
      </c>
      <c r="Z30" s="95"/>
      <c r="AA30" s="95"/>
      <c r="AB30" s="95"/>
      <c r="AC30" s="95"/>
      <c r="AD30" s="95"/>
      <c r="AE30" s="95"/>
      <c r="AF30" s="95"/>
      <c r="AG30" s="95"/>
      <c r="AH30" s="95"/>
      <c r="AI30" s="61">
        <v>10</v>
      </c>
      <c r="AJ30" s="95"/>
      <c r="AK30" s="95"/>
    </row>
    <row r="31" spans="1:37" ht="60" hidden="1" x14ac:dyDescent="0.3">
      <c r="A31" t="str">
        <f>_xlfn.XLOOKUP(J31,'Checking(ZSERIALS)'!G:G,'Checking(ZSERIALS)'!C:C)</f>
        <v>4900008762</v>
      </c>
      <c r="B31" s="35" t="str">
        <f>IF(J31="","",IF(COUNTIFS('Checking(ZSERIALS)'!J:J,MLR!G31,'Checking(ZSERIALS)'!G:G,MLR!J31)=1,"Correct",IF(COUNTIFS('Checking(ZSERIALS)'!J:J,MLR!G31,'Checking(ZSERIALS)'!G:G,MLR!J31)=0,"Incorrect","Err.")))</f>
        <v>Correct</v>
      </c>
      <c r="C31" s="63" t="str">
        <f>_xlfn.XLOOKUP(J31,'Checking(ZSERIALS)'!G:G,'Checking(ZSERIALS)'!F:F)</f>
        <v>CHRISTBELLA CONSTRUCTION MANAGEMENT</v>
      </c>
      <c r="E31" s="148">
        <v>45383</v>
      </c>
      <c r="F31" s="141" t="s">
        <v>472</v>
      </c>
      <c r="G31" s="142">
        <v>1680000692316</v>
      </c>
      <c r="H31" s="141" t="s">
        <v>473</v>
      </c>
      <c r="I31" s="144" t="s">
        <v>89</v>
      </c>
      <c r="J31" s="141" t="s">
        <v>112</v>
      </c>
      <c r="K31" s="145"/>
      <c r="L31" s="145"/>
      <c r="M31" s="145"/>
      <c r="N31" s="146">
        <v>1077</v>
      </c>
      <c r="O31" s="146">
        <v>744</v>
      </c>
      <c r="P31" s="146">
        <v>2000</v>
      </c>
      <c r="Q31" s="146" t="s">
        <v>98</v>
      </c>
      <c r="R31" s="61">
        <v>333</v>
      </c>
      <c r="S31" s="61">
        <v>2</v>
      </c>
      <c r="T31" s="61">
        <v>10</v>
      </c>
      <c r="U31" s="61">
        <v>1</v>
      </c>
      <c r="V31" s="61">
        <v>0</v>
      </c>
      <c r="W31" s="61">
        <v>0</v>
      </c>
      <c r="X31" s="61">
        <v>10</v>
      </c>
      <c r="Y31" s="61">
        <v>1</v>
      </c>
      <c r="Z31" s="95"/>
      <c r="AA31" s="95"/>
      <c r="AB31" s="95"/>
      <c r="AC31" s="95"/>
      <c r="AD31" s="95"/>
      <c r="AE31" s="95"/>
      <c r="AF31" s="95"/>
      <c r="AG31" s="95"/>
      <c r="AH31" s="95"/>
      <c r="AI31" s="61">
        <v>8</v>
      </c>
      <c r="AJ31" s="95"/>
      <c r="AK31" s="95"/>
    </row>
    <row r="32" spans="1:37" ht="60" hidden="1" x14ac:dyDescent="0.3">
      <c r="A32" t="str">
        <f>_xlfn.XLOOKUP(J32,'Checking(ZSERIALS)'!G:G,'Checking(ZSERIALS)'!C:C)</f>
        <v>4900010286</v>
      </c>
      <c r="B32" s="35" t="str">
        <f>IF(J32="","",IF(COUNTIFS('Checking(ZSERIALS)'!J:J,MLR!G32,'Checking(ZSERIALS)'!G:G,MLR!J32)=1,"Correct",IF(COUNTIFS('Checking(ZSERIALS)'!J:J,MLR!G32,'Checking(ZSERIALS)'!G:G,MLR!J32)=0,"Incorrect","Err.")))</f>
        <v>Correct</v>
      </c>
      <c r="C32" s="63" t="str">
        <f>_xlfn.XLOOKUP(J32,'Checking(ZSERIALS)'!G:G,'Checking(ZSERIALS)'!F:F)</f>
        <v>CHRISTBELLA CONSTRUCTION MANAGEMENT</v>
      </c>
      <c r="E32" s="148">
        <v>45383</v>
      </c>
      <c r="F32" s="141" t="s">
        <v>474</v>
      </c>
      <c r="G32" s="142">
        <v>1680000706966</v>
      </c>
      <c r="H32" s="143" t="s">
        <v>475</v>
      </c>
      <c r="I32" s="144" t="s">
        <v>89</v>
      </c>
      <c r="J32" s="141" t="s">
        <v>115</v>
      </c>
      <c r="K32" s="145"/>
      <c r="L32" s="145"/>
      <c r="M32" s="145"/>
      <c r="N32" s="146">
        <v>2003</v>
      </c>
      <c r="O32" s="146">
        <v>1823</v>
      </c>
      <c r="P32" s="146">
        <v>2000</v>
      </c>
      <c r="Q32" s="146" t="s">
        <v>476</v>
      </c>
      <c r="R32" s="61">
        <v>180</v>
      </c>
      <c r="S32" s="61">
        <v>2</v>
      </c>
      <c r="T32" s="61">
        <v>8</v>
      </c>
      <c r="U32" s="61">
        <v>1</v>
      </c>
      <c r="V32" s="61">
        <v>0</v>
      </c>
      <c r="W32" s="61">
        <v>0</v>
      </c>
      <c r="X32" s="61">
        <v>10</v>
      </c>
      <c r="Y32" s="61">
        <v>1</v>
      </c>
      <c r="Z32" s="95"/>
      <c r="AA32" s="95"/>
      <c r="AB32" s="95"/>
      <c r="AC32" s="95"/>
      <c r="AD32" s="95"/>
      <c r="AE32" s="95"/>
      <c r="AF32" s="95"/>
      <c r="AG32" s="95"/>
      <c r="AH32" s="95"/>
      <c r="AI32" s="61">
        <v>10</v>
      </c>
      <c r="AJ32" s="95"/>
      <c r="AK32" s="95"/>
    </row>
    <row r="33" spans="1:37" ht="60" hidden="1" x14ac:dyDescent="0.3">
      <c r="A33" t="str">
        <f>_xlfn.XLOOKUP(J33,'Checking(ZSERIALS)'!G:G,'Checking(ZSERIALS)'!C:C)</f>
        <v>4900010390</v>
      </c>
      <c r="B33" s="35" t="str">
        <f>IF(J33="","",IF(COUNTIFS('Checking(ZSERIALS)'!J:J,MLR!G33,'Checking(ZSERIALS)'!G:G,MLR!J33)=1,"Correct",IF(COUNTIFS('Checking(ZSERIALS)'!J:J,MLR!G33,'Checking(ZSERIALS)'!G:G,MLR!J33)=0,"Incorrect","Err.")))</f>
        <v>Correct</v>
      </c>
      <c r="C33" s="63" t="str">
        <f>_xlfn.XLOOKUP(J33,'Checking(ZSERIALS)'!G:G,'Checking(ZSERIALS)'!F:F)</f>
        <v>CHRISTBELLA CONSTRUCTION MANAGEMENT</v>
      </c>
      <c r="E33" s="148">
        <v>45383</v>
      </c>
      <c r="F33" s="141" t="s">
        <v>477</v>
      </c>
      <c r="G33" s="142">
        <v>1680000710858</v>
      </c>
      <c r="H33" s="143" t="s">
        <v>478</v>
      </c>
      <c r="I33" s="144" t="s">
        <v>89</v>
      </c>
      <c r="J33" s="141" t="s">
        <v>118</v>
      </c>
      <c r="K33" s="145"/>
      <c r="L33" s="145"/>
      <c r="M33" s="145"/>
      <c r="N33" s="146">
        <v>2003</v>
      </c>
      <c r="O33" s="146">
        <v>1679</v>
      </c>
      <c r="P33" s="146">
        <v>2000</v>
      </c>
      <c r="Q33" s="146" t="s">
        <v>479</v>
      </c>
      <c r="R33" s="61">
        <v>324</v>
      </c>
      <c r="S33" s="61">
        <v>2</v>
      </c>
      <c r="T33" s="61">
        <v>12</v>
      </c>
      <c r="U33" s="61">
        <v>1</v>
      </c>
      <c r="V33" s="61">
        <v>0</v>
      </c>
      <c r="W33" s="61">
        <v>0</v>
      </c>
      <c r="X33" s="61">
        <v>2</v>
      </c>
      <c r="Y33" s="61">
        <v>1</v>
      </c>
      <c r="Z33" s="95"/>
      <c r="AA33" s="95"/>
      <c r="AB33" s="95"/>
      <c r="AC33" s="95"/>
      <c r="AD33" s="95"/>
      <c r="AE33" s="95"/>
      <c r="AF33" s="95"/>
      <c r="AG33" s="95"/>
      <c r="AH33" s="95"/>
      <c r="AI33" s="61">
        <v>8</v>
      </c>
      <c r="AJ33" s="95"/>
      <c r="AK33" s="95"/>
    </row>
    <row r="34" spans="1:37" ht="60" hidden="1" x14ac:dyDescent="0.3">
      <c r="A34" t="str">
        <f>_xlfn.XLOOKUP(J34,'Checking(ZSERIALS)'!G:G,'Checking(ZSERIALS)'!C:C)</f>
        <v>4900010419</v>
      </c>
      <c r="B34" s="35" t="str">
        <f>IF(J34="","",IF(COUNTIFS('Checking(ZSERIALS)'!J:J,MLR!G34,'Checking(ZSERIALS)'!G:G,MLR!J34)=1,"Correct",IF(COUNTIFS('Checking(ZSERIALS)'!J:J,MLR!G34,'Checking(ZSERIALS)'!G:G,MLR!J34)=0,"Incorrect","Err.")))</f>
        <v>Correct</v>
      </c>
      <c r="C34" s="63" t="str">
        <f>_xlfn.XLOOKUP(J34,'Checking(ZSERIALS)'!G:G,'Checking(ZSERIALS)'!F:F)</f>
        <v>CHRISTBELLA CONSTRUCTION MANAGEMENT</v>
      </c>
      <c r="E34" s="148">
        <v>45383</v>
      </c>
      <c r="F34" s="141" t="s">
        <v>480</v>
      </c>
      <c r="G34" s="142">
        <v>1680000710820</v>
      </c>
      <c r="H34" s="143" t="s">
        <v>481</v>
      </c>
      <c r="I34" s="144" t="s">
        <v>89</v>
      </c>
      <c r="J34" s="141" t="s">
        <v>121</v>
      </c>
      <c r="K34" s="145"/>
      <c r="L34" s="145"/>
      <c r="M34" s="145"/>
      <c r="N34" s="146">
        <v>492</v>
      </c>
      <c r="O34" s="146">
        <v>132</v>
      </c>
      <c r="P34" s="146">
        <v>2000</v>
      </c>
      <c r="Q34" s="146" t="s">
        <v>422</v>
      </c>
      <c r="R34" s="61">
        <v>360</v>
      </c>
      <c r="S34" s="61">
        <v>2</v>
      </c>
      <c r="T34" s="61">
        <v>12</v>
      </c>
      <c r="U34" s="61">
        <v>1</v>
      </c>
      <c r="V34" s="61">
        <v>0</v>
      </c>
      <c r="W34" s="61">
        <v>0</v>
      </c>
      <c r="X34" s="61">
        <v>5</v>
      </c>
      <c r="Y34" s="61">
        <v>1</v>
      </c>
      <c r="Z34" s="95"/>
      <c r="AA34" s="95"/>
      <c r="AB34" s="95"/>
      <c r="AC34" s="95"/>
      <c r="AD34" s="95"/>
      <c r="AE34" s="95"/>
      <c r="AF34" s="95"/>
      <c r="AG34" s="95"/>
      <c r="AH34" s="95"/>
      <c r="AI34" s="61">
        <v>8</v>
      </c>
      <c r="AJ34" s="95"/>
      <c r="AK34" s="95"/>
    </row>
    <row r="35" spans="1:37" ht="60" hidden="1" x14ac:dyDescent="0.3">
      <c r="A35" t="str">
        <f>_xlfn.XLOOKUP(J35,'Checking(ZSERIALS)'!G:G,'Checking(ZSERIALS)'!C:C)</f>
        <v>4900013012</v>
      </c>
      <c r="B35" s="35" t="str">
        <f>IF(J35="","",IF(COUNTIFS('Checking(ZSERIALS)'!J:J,MLR!G35,'Checking(ZSERIALS)'!G:G,MLR!J35)=1,"Correct",IF(COUNTIFS('Checking(ZSERIALS)'!J:J,MLR!G35,'Checking(ZSERIALS)'!G:G,MLR!J35)=0,"Incorrect","Err.")))</f>
        <v>Correct</v>
      </c>
      <c r="C35" s="63" t="str">
        <f>_xlfn.XLOOKUP(J35,'Checking(ZSERIALS)'!G:G,'Checking(ZSERIALS)'!F:F)</f>
        <v>CHRISTBELLA CONSTRUCTION MANAGEMENT</v>
      </c>
      <c r="E35" s="148">
        <v>45413</v>
      </c>
      <c r="F35" s="141" t="s">
        <v>482</v>
      </c>
      <c r="G35" s="142">
        <v>1680000708409</v>
      </c>
      <c r="H35" s="143" t="s">
        <v>483</v>
      </c>
      <c r="I35" s="144" t="s">
        <v>89</v>
      </c>
      <c r="J35" s="141" t="s">
        <v>127</v>
      </c>
      <c r="K35" s="145"/>
      <c r="L35" s="145"/>
      <c r="M35" s="145"/>
      <c r="N35" s="146">
        <v>744</v>
      </c>
      <c r="O35" s="146">
        <v>550</v>
      </c>
      <c r="P35" s="146">
        <v>2000</v>
      </c>
      <c r="Q35" s="146" t="s">
        <v>98</v>
      </c>
      <c r="R35" s="61">
        <v>194</v>
      </c>
      <c r="S35" s="61">
        <v>2</v>
      </c>
      <c r="T35" s="61">
        <v>12</v>
      </c>
      <c r="U35" s="61">
        <v>1</v>
      </c>
      <c r="V35" s="61">
        <v>0</v>
      </c>
      <c r="W35" s="61">
        <v>0</v>
      </c>
      <c r="X35" s="61">
        <v>10</v>
      </c>
      <c r="Y35" s="61">
        <v>1</v>
      </c>
      <c r="Z35" s="95"/>
      <c r="AA35" s="95"/>
      <c r="AB35" s="95"/>
      <c r="AC35" s="95"/>
      <c r="AD35" s="95"/>
      <c r="AE35" s="95"/>
      <c r="AF35" s="95"/>
      <c r="AG35" s="95"/>
      <c r="AH35" s="95"/>
      <c r="AI35" s="61">
        <v>8</v>
      </c>
      <c r="AJ35" s="95"/>
      <c r="AK35" s="95"/>
    </row>
    <row r="36" spans="1:37" ht="60" hidden="1" x14ac:dyDescent="0.3">
      <c r="A36" t="str">
        <f>_xlfn.XLOOKUP(J36,'Checking(ZSERIALS)'!G:G,'Checking(ZSERIALS)'!C:C)</f>
        <v>4900014545</v>
      </c>
      <c r="B36" s="35" t="str">
        <f>IF(J36="","",IF(COUNTIFS('Checking(ZSERIALS)'!J:J,MLR!G36,'Checking(ZSERIALS)'!G:G,MLR!J36)=1,"Correct",IF(COUNTIFS('Checking(ZSERIALS)'!J:J,MLR!G36,'Checking(ZSERIALS)'!G:G,MLR!J36)=0,"Incorrect","Err.")))</f>
        <v>Correct</v>
      </c>
      <c r="C36" s="63" t="str">
        <f>_xlfn.XLOOKUP(J36,'Checking(ZSERIALS)'!G:G,'Checking(ZSERIALS)'!F:F)</f>
        <v>CHRISTBELLA CONSTRUCTION MANAGEMENT</v>
      </c>
      <c r="E36" s="148">
        <v>45413</v>
      </c>
      <c r="F36" s="141" t="s">
        <v>484</v>
      </c>
      <c r="G36" s="142">
        <v>1680000712841</v>
      </c>
      <c r="H36" s="143" t="s">
        <v>485</v>
      </c>
      <c r="I36" s="144" t="s">
        <v>89</v>
      </c>
      <c r="J36" s="141" t="s">
        <v>139</v>
      </c>
      <c r="K36" s="145"/>
      <c r="L36" s="145"/>
      <c r="M36" s="145"/>
      <c r="N36" s="146">
        <v>1559</v>
      </c>
      <c r="O36" s="146">
        <v>1240</v>
      </c>
      <c r="P36" s="146">
        <v>2000</v>
      </c>
      <c r="Q36" s="146" t="s">
        <v>479</v>
      </c>
      <c r="R36" s="61">
        <v>319</v>
      </c>
      <c r="S36" s="61">
        <v>2</v>
      </c>
      <c r="T36" s="61">
        <v>12</v>
      </c>
      <c r="U36" s="61">
        <v>1</v>
      </c>
      <c r="V36" s="61">
        <v>0</v>
      </c>
      <c r="W36" s="61">
        <v>0</v>
      </c>
      <c r="X36" s="61">
        <v>5</v>
      </c>
      <c r="Y36" s="61">
        <v>1</v>
      </c>
      <c r="Z36" s="95"/>
      <c r="AA36" s="95"/>
      <c r="AB36" s="95"/>
      <c r="AC36" s="95"/>
      <c r="AD36" s="95"/>
      <c r="AE36" s="95"/>
      <c r="AF36" s="95"/>
      <c r="AG36" s="95"/>
      <c r="AH36" s="95"/>
      <c r="AI36" s="61">
        <v>10</v>
      </c>
      <c r="AJ36" s="95"/>
      <c r="AK36" s="95"/>
    </row>
    <row r="37" spans="1:37" ht="60" hidden="1" x14ac:dyDescent="0.3">
      <c r="A37" t="str">
        <f>_xlfn.XLOOKUP(J37,'Checking(ZSERIALS)'!G:G,'Checking(ZSERIALS)'!C:C)</f>
        <v>4900015073</v>
      </c>
      <c r="B37" s="35" t="str">
        <f>IF(J37="","",IF(COUNTIFS('Checking(ZSERIALS)'!J:J,MLR!G37,'Checking(ZSERIALS)'!G:G,MLR!J37)=1,"Correct",IF(COUNTIFS('Checking(ZSERIALS)'!J:J,MLR!G37,'Checking(ZSERIALS)'!G:G,MLR!J37)=0,"Incorrect","Err.")))</f>
        <v>Correct</v>
      </c>
      <c r="C37" s="63" t="str">
        <f>_xlfn.XLOOKUP(J37,'Checking(ZSERIALS)'!G:G,'Checking(ZSERIALS)'!F:F)</f>
        <v>CHRISTBELLA CONSTRUCTION MANAGEMENT</v>
      </c>
      <c r="E37" s="148">
        <v>45413</v>
      </c>
      <c r="F37" s="141" t="s">
        <v>486</v>
      </c>
      <c r="G37" s="142">
        <v>1680000714015</v>
      </c>
      <c r="H37" s="143" t="s">
        <v>487</v>
      </c>
      <c r="I37" s="144" t="s">
        <v>89</v>
      </c>
      <c r="J37" s="141" t="s">
        <v>142</v>
      </c>
      <c r="K37" s="145"/>
      <c r="L37" s="145"/>
      <c r="M37" s="145"/>
      <c r="N37" s="146">
        <v>550</v>
      </c>
      <c r="O37" s="146">
        <v>465</v>
      </c>
      <c r="P37" s="146">
        <v>2000</v>
      </c>
      <c r="Q37" s="146" t="s">
        <v>98</v>
      </c>
      <c r="R37" s="61">
        <v>85</v>
      </c>
      <c r="S37" s="61">
        <v>2</v>
      </c>
      <c r="T37" s="61">
        <v>8</v>
      </c>
      <c r="U37" s="61">
        <v>1</v>
      </c>
      <c r="V37" s="61">
        <v>0</v>
      </c>
      <c r="W37" s="61">
        <v>0</v>
      </c>
      <c r="X37" s="61">
        <v>10</v>
      </c>
      <c r="Y37" s="61">
        <v>1</v>
      </c>
      <c r="Z37" s="95"/>
      <c r="AA37" s="95"/>
      <c r="AB37" s="95"/>
      <c r="AC37" s="95"/>
      <c r="AD37" s="95"/>
      <c r="AE37" s="95"/>
      <c r="AF37" s="95"/>
      <c r="AG37" s="95"/>
      <c r="AH37" s="95"/>
      <c r="AI37" s="61">
        <v>10</v>
      </c>
      <c r="AJ37" s="95"/>
      <c r="AK37" s="95"/>
    </row>
    <row r="38" spans="1:37" ht="60" hidden="1" x14ac:dyDescent="0.3">
      <c r="A38" t="str">
        <f>_xlfn.XLOOKUP(J38,'Checking(ZSERIALS)'!G:G,'Checking(ZSERIALS)'!C:C)</f>
        <v>4900012851</v>
      </c>
      <c r="B38" s="35" t="str">
        <f>IF(J38="","",IF(COUNTIFS('Checking(ZSERIALS)'!J:J,MLR!G38,'Checking(ZSERIALS)'!G:G,MLR!J38)=1,"Correct",IF(COUNTIFS('Checking(ZSERIALS)'!J:J,MLR!G38,'Checking(ZSERIALS)'!G:G,MLR!J38)=0,"Incorrect","Err.")))</f>
        <v>Correct</v>
      </c>
      <c r="C38" s="63" t="str">
        <f>_xlfn.XLOOKUP(J38,'Checking(ZSERIALS)'!G:G,'Checking(ZSERIALS)'!F:F)</f>
        <v>CHRISTBELLA CONSTRUCTION MANAGEMENT</v>
      </c>
      <c r="E38" s="148">
        <v>45413</v>
      </c>
      <c r="F38" s="141" t="s">
        <v>488</v>
      </c>
      <c r="G38" s="142">
        <v>1680000710201</v>
      </c>
      <c r="H38" s="141" t="s">
        <v>489</v>
      </c>
      <c r="I38" s="144" t="s">
        <v>89</v>
      </c>
      <c r="J38" s="141" t="s">
        <v>124</v>
      </c>
      <c r="K38" s="145"/>
      <c r="L38" s="145"/>
      <c r="M38" s="145"/>
      <c r="N38" s="146">
        <v>1823</v>
      </c>
      <c r="O38" s="146">
        <v>1534</v>
      </c>
      <c r="P38" s="146">
        <v>2000</v>
      </c>
      <c r="Q38" s="146" t="s">
        <v>476</v>
      </c>
      <c r="R38" s="61">
        <v>289</v>
      </c>
      <c r="S38" s="61">
        <v>2</v>
      </c>
      <c r="T38" s="61">
        <v>10</v>
      </c>
      <c r="U38" s="61">
        <v>1</v>
      </c>
      <c r="V38" s="61">
        <v>0</v>
      </c>
      <c r="W38" s="61">
        <v>0</v>
      </c>
      <c r="X38" s="61">
        <v>8</v>
      </c>
      <c r="Y38" s="61">
        <v>1</v>
      </c>
      <c r="Z38" s="95"/>
      <c r="AA38" s="95"/>
      <c r="AB38" s="95"/>
      <c r="AC38" s="95"/>
      <c r="AD38" s="95"/>
      <c r="AE38" s="95"/>
      <c r="AF38" s="95"/>
      <c r="AG38" s="95"/>
      <c r="AH38" s="95"/>
      <c r="AI38" s="61">
        <v>10</v>
      </c>
      <c r="AJ38" s="95"/>
      <c r="AK38" s="95"/>
    </row>
    <row r="39" spans="1:37" ht="60" hidden="1" x14ac:dyDescent="0.3">
      <c r="A39" t="str">
        <f>_xlfn.XLOOKUP(J39,'Checking(ZSERIALS)'!G:G,'Checking(ZSERIALS)'!C:C)</f>
        <v>4900013229</v>
      </c>
      <c r="B39" s="35" t="str">
        <f>IF(J39="","",IF(COUNTIFS('Checking(ZSERIALS)'!J:J,MLR!G39,'Checking(ZSERIALS)'!G:G,MLR!J39)=1,"Correct",IF(COUNTIFS('Checking(ZSERIALS)'!J:J,MLR!G39,'Checking(ZSERIALS)'!G:G,MLR!J39)=0,"Incorrect","Err.")))</f>
        <v>Correct</v>
      </c>
      <c r="C39" s="63" t="str">
        <f>_xlfn.XLOOKUP(J39,'Checking(ZSERIALS)'!G:G,'Checking(ZSERIALS)'!F:F)</f>
        <v>CHRISTBELLA CONSTRUCTION MANAGEMENT</v>
      </c>
      <c r="E39" s="148">
        <v>45413</v>
      </c>
      <c r="F39" s="141" t="s">
        <v>490</v>
      </c>
      <c r="G39" s="142">
        <v>1680000700036</v>
      </c>
      <c r="H39" s="141" t="s">
        <v>491</v>
      </c>
      <c r="I39" s="144" t="s">
        <v>89</v>
      </c>
      <c r="J39" s="141" t="s">
        <v>133</v>
      </c>
      <c r="K39" s="145"/>
      <c r="L39" s="145"/>
      <c r="M39" s="145"/>
      <c r="N39" s="146">
        <v>132</v>
      </c>
      <c r="O39" s="146">
        <v>0</v>
      </c>
      <c r="P39" s="146">
        <v>2000</v>
      </c>
      <c r="Q39" s="146" t="s">
        <v>422</v>
      </c>
      <c r="R39" s="61">
        <v>132</v>
      </c>
      <c r="S39" s="61">
        <v>2</v>
      </c>
      <c r="T39" s="61">
        <v>7</v>
      </c>
      <c r="U39" s="61">
        <v>1</v>
      </c>
      <c r="V39" s="61">
        <v>0</v>
      </c>
      <c r="W39" s="61">
        <v>0</v>
      </c>
      <c r="X39" s="61">
        <v>5</v>
      </c>
      <c r="Y39" s="61">
        <v>1</v>
      </c>
      <c r="Z39" s="95"/>
      <c r="AA39" s="95"/>
      <c r="AB39" s="95"/>
      <c r="AC39" s="95"/>
      <c r="AD39" s="95"/>
      <c r="AE39" s="95"/>
      <c r="AF39" s="95"/>
      <c r="AG39" s="95"/>
      <c r="AH39" s="95"/>
      <c r="AI39" s="61">
        <v>10</v>
      </c>
      <c r="AJ39" s="95"/>
      <c r="AK39" s="95"/>
    </row>
    <row r="40" spans="1:37" ht="60" hidden="1" x14ac:dyDescent="0.3">
      <c r="A40" t="str">
        <f>_xlfn.XLOOKUP(J40,'Checking(ZSERIALS)'!G:G,'Checking(ZSERIALS)'!C:C)</f>
        <v>4900013195</v>
      </c>
      <c r="B40" s="35" t="str">
        <f>IF(J40="","",IF(COUNTIFS('Checking(ZSERIALS)'!J:J,MLR!G40,'Checking(ZSERIALS)'!G:G,MLR!J40)=1,"Correct",IF(COUNTIFS('Checking(ZSERIALS)'!J:J,MLR!G40,'Checking(ZSERIALS)'!G:G,MLR!J40)=0,"Incorrect","Err.")))</f>
        <v>Correct</v>
      </c>
      <c r="C40" s="63" t="str">
        <f>_xlfn.XLOOKUP(J40,'Checking(ZSERIALS)'!G:G,'Checking(ZSERIALS)'!F:F)</f>
        <v>CHRISTBELLA CONSTRUCTION MANAGEMENT</v>
      </c>
      <c r="E40" s="148">
        <v>45413</v>
      </c>
      <c r="F40" s="141" t="s">
        <v>492</v>
      </c>
      <c r="G40" s="142">
        <v>1680000711607</v>
      </c>
      <c r="H40" s="141" t="s">
        <v>493</v>
      </c>
      <c r="I40" s="144" t="s">
        <v>89</v>
      </c>
      <c r="J40" s="141" t="s">
        <v>130</v>
      </c>
      <c r="K40" s="145"/>
      <c r="L40" s="145"/>
      <c r="M40" s="145"/>
      <c r="N40" s="146">
        <v>1679</v>
      </c>
      <c r="O40" s="146">
        <v>1559</v>
      </c>
      <c r="P40" s="146">
        <v>2000</v>
      </c>
      <c r="Q40" s="146" t="s">
        <v>479</v>
      </c>
      <c r="R40" s="61">
        <v>120</v>
      </c>
      <c r="S40" s="61">
        <v>2</v>
      </c>
      <c r="T40" s="61">
        <v>6</v>
      </c>
      <c r="U40" s="61">
        <v>1</v>
      </c>
      <c r="V40" s="61">
        <v>0</v>
      </c>
      <c r="W40" s="61">
        <v>0</v>
      </c>
      <c r="X40" s="61">
        <v>7</v>
      </c>
      <c r="Y40" s="61">
        <v>1</v>
      </c>
      <c r="Z40" s="95"/>
      <c r="AA40" s="95"/>
      <c r="AB40" s="95"/>
      <c r="AC40" s="95"/>
      <c r="AD40" s="95"/>
      <c r="AE40" s="95"/>
      <c r="AF40" s="95"/>
      <c r="AG40" s="95"/>
      <c r="AH40" s="95"/>
      <c r="AI40" s="61">
        <v>8</v>
      </c>
      <c r="AJ40" s="95"/>
      <c r="AK40" s="95"/>
    </row>
    <row r="41" spans="1:37" ht="60" hidden="1" x14ac:dyDescent="0.3">
      <c r="A41" t="str">
        <f>_xlfn.XLOOKUP(J41,'Checking(ZSERIALS)'!G:G,'Checking(ZSERIALS)'!C:C)</f>
        <v>4900014044</v>
      </c>
      <c r="B41" s="35" t="str">
        <f>IF(J41="","",IF(COUNTIFS('Checking(ZSERIALS)'!J:J,MLR!G41,'Checking(ZSERIALS)'!G:G,MLR!J41)=1,"Correct",IF(COUNTIFS('Checking(ZSERIALS)'!J:J,MLR!G41,'Checking(ZSERIALS)'!G:G,MLR!J41)=0,"Incorrect","Err.")))</f>
        <v>Correct</v>
      </c>
      <c r="C41" s="63" t="str">
        <f>_xlfn.XLOOKUP(J41,'Checking(ZSERIALS)'!G:G,'Checking(ZSERIALS)'!F:F)</f>
        <v>CHRISTBELLA CONSTRUCTION MANAGEMENT</v>
      </c>
      <c r="E41" s="148">
        <v>45413</v>
      </c>
      <c r="F41" s="141" t="s">
        <v>494</v>
      </c>
      <c r="G41" s="142">
        <v>1680000712396</v>
      </c>
      <c r="H41" s="141" t="s">
        <v>495</v>
      </c>
      <c r="I41" s="144" t="s">
        <v>89</v>
      </c>
      <c r="J41" s="141" t="s">
        <v>136</v>
      </c>
      <c r="K41" s="145"/>
      <c r="L41" s="145"/>
      <c r="M41" s="145"/>
      <c r="N41" s="146">
        <v>1534</v>
      </c>
      <c r="O41" s="146">
        <v>1358</v>
      </c>
      <c r="P41" s="146">
        <v>2000</v>
      </c>
      <c r="Q41" s="146" t="s">
        <v>476</v>
      </c>
      <c r="R41" s="61">
        <v>176</v>
      </c>
      <c r="S41" s="61">
        <v>2</v>
      </c>
      <c r="T41" s="61">
        <v>8</v>
      </c>
      <c r="U41" s="61">
        <v>1</v>
      </c>
      <c r="V41" s="61">
        <v>0</v>
      </c>
      <c r="W41" s="61">
        <v>0</v>
      </c>
      <c r="X41" s="61">
        <v>8</v>
      </c>
      <c r="Y41" s="61">
        <v>1</v>
      </c>
      <c r="Z41" s="95"/>
      <c r="AA41" s="95"/>
      <c r="AB41" s="95"/>
      <c r="AC41" s="95"/>
      <c r="AD41" s="95"/>
      <c r="AE41" s="95"/>
      <c r="AF41" s="95"/>
      <c r="AG41" s="95"/>
      <c r="AH41" s="95"/>
      <c r="AI41" s="61">
        <v>8</v>
      </c>
      <c r="AJ41" s="95"/>
      <c r="AK41" s="95"/>
    </row>
    <row r="42" spans="1:37" ht="60" hidden="1" x14ac:dyDescent="0.3">
      <c r="A42" t="str">
        <f>_xlfn.XLOOKUP(J42,'Checking(ZSERIALS)'!G:G,'Checking(ZSERIALS)'!C:C)</f>
        <v>4900015407</v>
      </c>
      <c r="B42" s="35" t="str">
        <f>IF(J42="","",IF(COUNTIFS('Checking(ZSERIALS)'!J:J,MLR!G42,'Checking(ZSERIALS)'!G:G,MLR!J42)=1,"Correct",IF(COUNTIFS('Checking(ZSERIALS)'!J:J,MLR!G42,'Checking(ZSERIALS)'!G:G,MLR!J42)=0,"Incorrect","Err.")))</f>
        <v>Correct</v>
      </c>
      <c r="C42" s="63" t="str">
        <f>_xlfn.XLOOKUP(J42,'Checking(ZSERIALS)'!G:G,'Checking(ZSERIALS)'!F:F)</f>
        <v>CHRISTBELLA CONSTRUCTION MANAGEMENT</v>
      </c>
      <c r="E42" s="148">
        <v>45413</v>
      </c>
      <c r="F42" s="141" t="s">
        <v>496</v>
      </c>
      <c r="G42" s="142">
        <v>1680000713356</v>
      </c>
      <c r="H42" s="143" t="s">
        <v>497</v>
      </c>
      <c r="I42" s="144" t="s">
        <v>89</v>
      </c>
      <c r="J42" s="141" t="s">
        <v>145</v>
      </c>
      <c r="K42" s="144"/>
      <c r="L42" s="144"/>
      <c r="M42" s="144"/>
      <c r="N42" s="149">
        <v>1358</v>
      </c>
      <c r="O42" s="149">
        <v>1036</v>
      </c>
      <c r="P42" s="146">
        <v>2000</v>
      </c>
      <c r="Q42" s="146" t="s">
        <v>476</v>
      </c>
      <c r="R42" s="61">
        <v>322</v>
      </c>
      <c r="S42" s="61">
        <v>2</v>
      </c>
      <c r="T42" s="61">
        <v>12</v>
      </c>
      <c r="U42" s="61">
        <v>1</v>
      </c>
      <c r="V42" s="61">
        <v>0</v>
      </c>
      <c r="W42" s="61">
        <v>0</v>
      </c>
      <c r="X42" s="61">
        <v>15</v>
      </c>
      <c r="Y42" s="61">
        <v>1</v>
      </c>
      <c r="Z42" s="95"/>
      <c r="AA42" s="95"/>
      <c r="AB42" s="95"/>
      <c r="AC42" s="95"/>
      <c r="AD42" s="95"/>
      <c r="AE42" s="95"/>
      <c r="AF42" s="95"/>
      <c r="AG42" s="95"/>
      <c r="AH42" s="95"/>
      <c r="AI42" s="61">
        <v>8</v>
      </c>
      <c r="AJ42" s="95"/>
      <c r="AK42" s="95"/>
    </row>
    <row r="43" spans="1:37" ht="60" hidden="1" x14ac:dyDescent="0.3">
      <c r="A43" t="str">
        <f>_xlfn.XLOOKUP(J43,'Checking(ZSERIALS)'!G:G,'Checking(ZSERIALS)'!C:C)</f>
        <v>4900017964</v>
      </c>
      <c r="B43" s="35" t="str">
        <f>IF(J43="","",IF(COUNTIFS('Checking(ZSERIALS)'!J:J,MLR!G43,'Checking(ZSERIALS)'!G:G,MLR!J43)=1,"Correct",IF(COUNTIFS('Checking(ZSERIALS)'!J:J,MLR!G43,'Checking(ZSERIALS)'!G:G,MLR!J43)=0,"Incorrect","Err.")))</f>
        <v>Correct</v>
      </c>
      <c r="C43" s="63" t="str">
        <f>_xlfn.XLOOKUP(J43,'Checking(ZSERIALS)'!G:G,'Checking(ZSERIALS)'!F:F)</f>
        <v>CHRISTBELLA CONSTRUCTION MANAGEMENT</v>
      </c>
      <c r="E43" s="148">
        <v>45444</v>
      </c>
      <c r="F43" s="141" t="s">
        <v>498</v>
      </c>
      <c r="G43" s="142">
        <v>1680000714783</v>
      </c>
      <c r="H43" s="143" t="s">
        <v>499</v>
      </c>
      <c r="I43" s="144" t="s">
        <v>89</v>
      </c>
      <c r="J43" s="141" t="s">
        <v>148</v>
      </c>
      <c r="K43" s="144"/>
      <c r="L43" s="144"/>
      <c r="M43" s="144"/>
      <c r="N43" s="149">
        <v>1240</v>
      </c>
      <c r="O43" s="149">
        <v>1077</v>
      </c>
      <c r="P43" s="146">
        <v>2000</v>
      </c>
      <c r="Q43" s="146" t="s">
        <v>479</v>
      </c>
      <c r="R43" s="61">
        <v>163</v>
      </c>
      <c r="S43" s="61">
        <v>2</v>
      </c>
      <c r="T43" s="61">
        <v>10</v>
      </c>
      <c r="U43" s="61">
        <v>1</v>
      </c>
      <c r="V43" s="61">
        <v>0</v>
      </c>
      <c r="W43" s="61">
        <v>0</v>
      </c>
      <c r="X43" s="61">
        <v>5</v>
      </c>
      <c r="Y43" s="61">
        <v>1</v>
      </c>
      <c r="Z43" s="95"/>
      <c r="AA43" s="95"/>
      <c r="AB43" s="95"/>
      <c r="AC43" s="95"/>
      <c r="AD43" s="95"/>
      <c r="AE43" s="95"/>
      <c r="AF43" s="95"/>
      <c r="AG43" s="95"/>
      <c r="AH43" s="95"/>
      <c r="AI43" s="61">
        <v>10</v>
      </c>
      <c r="AJ43" s="95"/>
      <c r="AK43" s="95"/>
    </row>
    <row r="44" spans="1:37" ht="60" hidden="1" x14ac:dyDescent="0.3">
      <c r="A44" t="str">
        <f>_xlfn.XLOOKUP(J44,'Checking(ZSERIALS)'!G:G,'Checking(ZSERIALS)'!C:C)</f>
        <v>4900018054</v>
      </c>
      <c r="B44" s="35" t="str">
        <f>IF(J44="","",IF(COUNTIFS('Checking(ZSERIALS)'!J:J,MLR!G44,'Checking(ZSERIALS)'!G:G,MLR!J44)=1,"Correct",IF(COUNTIFS('Checking(ZSERIALS)'!J:J,MLR!G44,'Checking(ZSERIALS)'!G:G,MLR!J44)=0,"Incorrect","Err.")))</f>
        <v>Correct</v>
      </c>
      <c r="C44" s="63" t="str">
        <f>_xlfn.XLOOKUP(J44,'Checking(ZSERIALS)'!G:G,'Checking(ZSERIALS)'!F:F)</f>
        <v>CHRISTBELLA CONSTRUCTION MANAGEMENT</v>
      </c>
      <c r="E44" s="148">
        <v>45444</v>
      </c>
      <c r="F44" s="141" t="s">
        <v>500</v>
      </c>
      <c r="G44" s="142">
        <v>1680000699851</v>
      </c>
      <c r="H44" s="143" t="s">
        <v>501</v>
      </c>
      <c r="I44" s="144" t="s">
        <v>89</v>
      </c>
      <c r="J44" s="141" t="s">
        <v>151</v>
      </c>
      <c r="K44" s="144"/>
      <c r="L44" s="144"/>
      <c r="M44" s="144"/>
      <c r="N44" s="149">
        <v>465</v>
      </c>
      <c r="O44" s="149">
        <v>253</v>
      </c>
      <c r="P44" s="146">
        <v>2000</v>
      </c>
      <c r="Q44" s="146" t="s">
        <v>98</v>
      </c>
      <c r="R44" s="97">
        <v>212</v>
      </c>
      <c r="S44" s="97">
        <v>2</v>
      </c>
      <c r="T44" s="97">
        <v>8</v>
      </c>
      <c r="U44" s="97">
        <v>1</v>
      </c>
      <c r="V44" s="97">
        <v>0</v>
      </c>
      <c r="W44" s="97">
        <v>0</v>
      </c>
      <c r="X44" s="97">
        <v>10</v>
      </c>
      <c r="Y44" s="97">
        <v>1</v>
      </c>
      <c r="Z44" s="95"/>
      <c r="AA44" s="95"/>
      <c r="AB44" s="95"/>
      <c r="AC44" s="95"/>
      <c r="AD44" s="95"/>
      <c r="AE44" s="95"/>
      <c r="AF44" s="95"/>
      <c r="AG44" s="95"/>
      <c r="AH44" s="95"/>
      <c r="AI44" s="97">
        <v>8</v>
      </c>
      <c r="AJ44" s="95"/>
      <c r="AK44" s="95"/>
    </row>
    <row r="45" spans="1:37" ht="60" hidden="1" x14ac:dyDescent="0.3">
      <c r="A45" t="str">
        <f>_xlfn.XLOOKUP(J45,'Checking(ZSERIALS)'!G:G,'Checking(ZSERIALS)'!C:C)</f>
        <v>4900019094</v>
      </c>
      <c r="B45" s="35" t="str">
        <f>IF(J45="","",IF(COUNTIFS('Checking(ZSERIALS)'!J:J,MLR!G45,'Checking(ZSERIALS)'!G:G,MLR!J45)=1,"Correct",IF(COUNTIFS('Checking(ZSERIALS)'!J:J,MLR!G45,'Checking(ZSERIALS)'!G:G,MLR!J45)=0,"Incorrect","Err.")))</f>
        <v>Correct</v>
      </c>
      <c r="C45" s="63" t="str">
        <f>_xlfn.XLOOKUP(J45,'Checking(ZSERIALS)'!G:G,'Checking(ZSERIALS)'!F:F)</f>
        <v>CHRISTBELLA CONSTRUCTION MANAGEMENT</v>
      </c>
      <c r="E45" s="148">
        <v>45444</v>
      </c>
      <c r="F45" s="141" t="s">
        <v>502</v>
      </c>
      <c r="G45" s="142">
        <v>1680000696855</v>
      </c>
      <c r="H45" s="143" t="s">
        <v>503</v>
      </c>
      <c r="I45" s="144" t="s">
        <v>89</v>
      </c>
      <c r="J45" s="141" t="s">
        <v>154</v>
      </c>
      <c r="K45" s="144"/>
      <c r="L45" s="144"/>
      <c r="M45" s="144"/>
      <c r="N45" s="149">
        <v>253</v>
      </c>
      <c r="O45" s="149">
        <v>63</v>
      </c>
      <c r="P45" s="146">
        <v>2000</v>
      </c>
      <c r="Q45" s="146" t="s">
        <v>98</v>
      </c>
      <c r="R45" s="61">
        <v>190</v>
      </c>
      <c r="S45" s="61">
        <v>2</v>
      </c>
      <c r="T45" s="61">
        <v>6</v>
      </c>
      <c r="U45" s="61">
        <v>1</v>
      </c>
      <c r="V45" s="61">
        <v>0</v>
      </c>
      <c r="W45" s="61">
        <v>0</v>
      </c>
      <c r="X45" s="61">
        <v>10</v>
      </c>
      <c r="Y45" s="61">
        <v>1</v>
      </c>
      <c r="Z45" s="95"/>
      <c r="AA45" s="95"/>
      <c r="AB45" s="95"/>
      <c r="AC45" s="95"/>
      <c r="AD45" s="95"/>
      <c r="AE45" s="95"/>
      <c r="AF45" s="95"/>
      <c r="AG45" s="95"/>
      <c r="AH45" s="95"/>
      <c r="AI45" s="61">
        <v>8</v>
      </c>
      <c r="AJ45" s="95"/>
      <c r="AK45" s="95"/>
    </row>
    <row r="46" spans="1:37" ht="60" hidden="1" x14ac:dyDescent="0.3">
      <c r="A46" t="str">
        <f>_xlfn.XLOOKUP(J46,'Checking(ZSERIALS)'!G:G,'Checking(ZSERIALS)'!C:C)</f>
        <v>4900020253</v>
      </c>
      <c r="B46" s="35" t="str">
        <f>IF(J46="","",IF(COUNTIFS('Checking(ZSERIALS)'!J:J,MLR!G46,'Checking(ZSERIALS)'!G:G,MLR!J46)=1,"Correct",IF(COUNTIFS('Checking(ZSERIALS)'!J:J,MLR!G46,'Checking(ZSERIALS)'!G:G,MLR!J46)=0,"Incorrect","Err.")))</f>
        <v>Correct</v>
      </c>
      <c r="C46" s="63" t="str">
        <f>_xlfn.XLOOKUP(J46,'Checking(ZSERIALS)'!G:G,'Checking(ZSERIALS)'!F:F)</f>
        <v>CHRISTBELLA CONSTRUCTION MANAGEMENT</v>
      </c>
      <c r="E46" s="148">
        <v>45444</v>
      </c>
      <c r="F46" s="141" t="s">
        <v>504</v>
      </c>
      <c r="G46" s="142">
        <v>1680000713879</v>
      </c>
      <c r="H46" s="143" t="s">
        <v>505</v>
      </c>
      <c r="I46" s="144" t="s">
        <v>89</v>
      </c>
      <c r="J46" s="141" t="s">
        <v>157</v>
      </c>
      <c r="K46" s="144"/>
      <c r="L46" s="144"/>
      <c r="M46" s="144"/>
      <c r="N46" s="149">
        <v>2001</v>
      </c>
      <c r="O46" s="149">
        <v>1757</v>
      </c>
      <c r="P46" s="146">
        <v>2000</v>
      </c>
      <c r="Q46" s="146" t="s">
        <v>98</v>
      </c>
      <c r="R46" s="61">
        <v>244</v>
      </c>
      <c r="S46" s="61">
        <v>2</v>
      </c>
      <c r="T46" s="61">
        <v>6</v>
      </c>
      <c r="U46" s="61">
        <v>1</v>
      </c>
      <c r="V46" s="61">
        <v>0</v>
      </c>
      <c r="W46" s="61">
        <v>0</v>
      </c>
      <c r="X46" s="61">
        <v>10</v>
      </c>
      <c r="Y46" s="61">
        <v>1</v>
      </c>
      <c r="Z46" s="95"/>
      <c r="AA46" s="95"/>
      <c r="AB46" s="95"/>
      <c r="AC46" s="95"/>
      <c r="AD46" s="95"/>
      <c r="AE46" s="95"/>
      <c r="AF46" s="95"/>
      <c r="AG46" s="95"/>
      <c r="AH46" s="95"/>
      <c r="AI46" s="61">
        <v>10</v>
      </c>
      <c r="AJ46" s="95"/>
      <c r="AK46" s="95"/>
    </row>
    <row r="47" spans="1:37" ht="60" hidden="1" x14ac:dyDescent="0.3">
      <c r="A47" t="str">
        <f>_xlfn.XLOOKUP(J47,'Checking(ZSERIALS)'!G:G,'Checking(ZSERIALS)'!C:C)</f>
        <v>4900022701</v>
      </c>
      <c r="B47" s="35" t="str">
        <f>IF(J47="","",IF(COUNTIFS('Checking(ZSERIALS)'!J:J,MLR!G47,'Checking(ZSERIALS)'!G:G,MLR!J47)=1,"Correct",IF(COUNTIFS('Checking(ZSERIALS)'!J:J,MLR!G47,'Checking(ZSERIALS)'!G:G,MLR!J47)=0,"Incorrect","Err.")))</f>
        <v>Correct</v>
      </c>
      <c r="C47" s="63" t="str">
        <f>_xlfn.XLOOKUP(J47,'Checking(ZSERIALS)'!G:G,'Checking(ZSERIALS)'!F:F)</f>
        <v>CHRISTBELLA CONSTRUCTION MANAGEMENT</v>
      </c>
      <c r="E47" s="148">
        <v>45474</v>
      </c>
      <c r="F47" s="141" t="s">
        <v>506</v>
      </c>
      <c r="G47" s="142">
        <v>1680000714162</v>
      </c>
      <c r="H47" s="143" t="s">
        <v>507</v>
      </c>
      <c r="I47" s="144" t="s">
        <v>89</v>
      </c>
      <c r="J47" s="141" t="s">
        <v>169</v>
      </c>
      <c r="K47" s="145"/>
      <c r="L47" s="145"/>
      <c r="M47" s="145"/>
      <c r="N47" s="146">
        <v>1077</v>
      </c>
      <c r="O47" s="146">
        <v>915</v>
      </c>
      <c r="P47" s="146">
        <v>2000</v>
      </c>
      <c r="Q47" s="146" t="s">
        <v>479</v>
      </c>
      <c r="R47" s="61">
        <v>162</v>
      </c>
      <c r="S47" s="61">
        <v>2</v>
      </c>
      <c r="T47" s="61">
        <v>7</v>
      </c>
      <c r="U47" s="61">
        <v>1</v>
      </c>
      <c r="V47" s="61">
        <v>0</v>
      </c>
      <c r="W47" s="61">
        <v>0</v>
      </c>
      <c r="X47" s="61">
        <v>2</v>
      </c>
      <c r="Y47" s="61">
        <v>1</v>
      </c>
      <c r="Z47" s="95"/>
      <c r="AA47" s="95"/>
      <c r="AB47" s="95"/>
      <c r="AC47" s="95"/>
      <c r="AD47" s="95"/>
      <c r="AE47" s="95"/>
      <c r="AF47" s="95"/>
      <c r="AG47" s="95"/>
      <c r="AH47" s="95"/>
      <c r="AI47" s="61">
        <v>10</v>
      </c>
      <c r="AJ47" s="95"/>
      <c r="AK47" s="95"/>
    </row>
    <row r="48" spans="1:37" ht="60" hidden="1" x14ac:dyDescent="0.3">
      <c r="A48" t="str">
        <f>_xlfn.XLOOKUP(J48,'Checking(ZSERIALS)'!G:G,'Checking(ZSERIALS)'!C:C)</f>
        <v>4900022007</v>
      </c>
      <c r="B48" s="35" t="str">
        <f>IF(J48="","",IF(COUNTIFS('Checking(ZSERIALS)'!J:J,MLR!G48,'Checking(ZSERIALS)'!G:G,MLR!J48)=1,"Correct",IF(COUNTIFS('Checking(ZSERIALS)'!J:J,MLR!G48,'Checking(ZSERIALS)'!G:G,MLR!J48)=0,"Incorrect","Err.")))</f>
        <v>Correct</v>
      </c>
      <c r="C48" s="63" t="str">
        <f>_xlfn.XLOOKUP(J48,'Checking(ZSERIALS)'!G:G,'Checking(ZSERIALS)'!F:F)</f>
        <v>CHRISTBELLA CONSTRUCTION MANAGEMENT</v>
      </c>
      <c r="E48" s="148">
        <v>45474</v>
      </c>
      <c r="F48" s="141" t="s">
        <v>508</v>
      </c>
      <c r="G48" s="142">
        <v>1680000714781</v>
      </c>
      <c r="H48" s="143" t="s">
        <v>509</v>
      </c>
      <c r="I48" s="144" t="s">
        <v>89</v>
      </c>
      <c r="J48" s="141" t="s">
        <v>160</v>
      </c>
      <c r="K48" s="145"/>
      <c r="L48" s="145"/>
      <c r="M48" s="145"/>
      <c r="N48" s="146">
        <v>97</v>
      </c>
      <c r="O48" s="146">
        <v>0</v>
      </c>
      <c r="P48" s="146">
        <v>2000</v>
      </c>
      <c r="Q48" s="146" t="s">
        <v>99</v>
      </c>
      <c r="R48" s="61">
        <v>97</v>
      </c>
      <c r="S48" s="61">
        <v>2</v>
      </c>
      <c r="T48" s="61">
        <v>8</v>
      </c>
      <c r="U48" s="61">
        <v>1</v>
      </c>
      <c r="V48" s="61">
        <v>0</v>
      </c>
      <c r="W48" s="61">
        <v>0</v>
      </c>
      <c r="X48" s="61">
        <v>6</v>
      </c>
      <c r="Y48" s="61">
        <v>1</v>
      </c>
      <c r="Z48" s="95"/>
      <c r="AA48" s="95"/>
      <c r="AB48" s="95"/>
      <c r="AC48" s="95"/>
      <c r="AD48" s="95"/>
      <c r="AE48" s="95"/>
      <c r="AF48" s="95"/>
      <c r="AG48" s="95"/>
      <c r="AH48" s="95"/>
      <c r="AI48" s="61">
        <v>8</v>
      </c>
      <c r="AJ48" s="95"/>
      <c r="AK48" s="95"/>
    </row>
    <row r="49" spans="1:37" ht="60" hidden="1" x14ac:dyDescent="0.3">
      <c r="A49" t="str">
        <f>_xlfn.XLOOKUP(J49,'Checking(ZSERIALS)'!G:G,'Checking(ZSERIALS)'!C:C)</f>
        <v>4900022282</v>
      </c>
      <c r="B49" s="35" t="str">
        <f>IF(J49="","",IF(COUNTIFS('Checking(ZSERIALS)'!J:J,MLR!G49,'Checking(ZSERIALS)'!G:G,MLR!J49)=1,"Correct",IF(COUNTIFS('Checking(ZSERIALS)'!J:J,MLR!G49,'Checking(ZSERIALS)'!G:G,MLR!J49)=0,"Incorrect","Err.")))</f>
        <v>Correct</v>
      </c>
      <c r="C49" s="63" t="str">
        <f>_xlfn.XLOOKUP(J49,'Checking(ZSERIALS)'!G:G,'Checking(ZSERIALS)'!F:F)</f>
        <v>CHRISTBELLA CONSTRUCTION MANAGEMENT</v>
      </c>
      <c r="E49" s="148">
        <v>45474</v>
      </c>
      <c r="F49" s="141" t="s">
        <v>510</v>
      </c>
      <c r="G49" s="142">
        <v>1680000718209</v>
      </c>
      <c r="H49" s="143" t="s">
        <v>511</v>
      </c>
      <c r="I49" s="144" t="s">
        <v>89</v>
      </c>
      <c r="J49" s="141" t="s">
        <v>163</v>
      </c>
      <c r="K49" s="145"/>
      <c r="L49" s="145"/>
      <c r="M49" s="145"/>
      <c r="N49" s="146">
        <v>1757</v>
      </c>
      <c r="O49" s="146">
        <v>1593</v>
      </c>
      <c r="P49" s="146">
        <v>2000</v>
      </c>
      <c r="Q49" s="146" t="s">
        <v>98</v>
      </c>
      <c r="R49" s="61">
        <v>164</v>
      </c>
      <c r="S49" s="61">
        <v>2</v>
      </c>
      <c r="T49" s="61">
        <v>10</v>
      </c>
      <c r="U49" s="61">
        <v>1</v>
      </c>
      <c r="V49" s="61">
        <v>0</v>
      </c>
      <c r="W49" s="61">
        <v>0</v>
      </c>
      <c r="X49" s="61">
        <v>10</v>
      </c>
      <c r="Y49" s="61">
        <v>1</v>
      </c>
      <c r="Z49" s="95"/>
      <c r="AA49" s="95"/>
      <c r="AB49" s="95"/>
      <c r="AC49" s="95"/>
      <c r="AD49" s="95"/>
      <c r="AE49" s="95"/>
      <c r="AF49" s="95"/>
      <c r="AG49" s="95"/>
      <c r="AH49" s="95"/>
      <c r="AI49" s="61">
        <v>10</v>
      </c>
      <c r="AJ49" s="95"/>
      <c r="AK49" s="95"/>
    </row>
    <row r="50" spans="1:37" ht="60" hidden="1" x14ac:dyDescent="0.3">
      <c r="A50" t="str">
        <f>_xlfn.XLOOKUP(J50,'Checking(ZSERIALS)'!G:G,'Checking(ZSERIALS)'!C:C)</f>
        <v>4900022661</v>
      </c>
      <c r="B50" s="35" t="str">
        <f>IF(J50="","",IF(COUNTIFS('Checking(ZSERIALS)'!J:J,MLR!G50,'Checking(ZSERIALS)'!G:G,MLR!J50)=1,"Correct",IF(COUNTIFS('Checking(ZSERIALS)'!J:J,MLR!G50,'Checking(ZSERIALS)'!G:G,MLR!J50)=0,"Incorrect","Err.")))</f>
        <v>Correct</v>
      </c>
      <c r="C50" s="63" t="str">
        <f>_xlfn.XLOOKUP(J50,'Checking(ZSERIALS)'!G:G,'Checking(ZSERIALS)'!F:F)</f>
        <v>CHRISTBELLA CONSTRUCTION MANAGEMENT</v>
      </c>
      <c r="E50" s="148">
        <v>45474</v>
      </c>
      <c r="F50" s="141" t="s">
        <v>512</v>
      </c>
      <c r="G50" s="142">
        <v>1680000718039</v>
      </c>
      <c r="H50" s="143" t="s">
        <v>513</v>
      </c>
      <c r="I50" s="144" t="s">
        <v>89</v>
      </c>
      <c r="J50" s="141" t="s">
        <v>166</v>
      </c>
      <c r="K50" s="145"/>
      <c r="L50" s="145"/>
      <c r="M50" s="145"/>
      <c r="N50" s="146">
        <v>1036</v>
      </c>
      <c r="O50" s="146">
        <v>949</v>
      </c>
      <c r="P50" s="146">
        <v>2000</v>
      </c>
      <c r="Q50" s="146" t="s">
        <v>476</v>
      </c>
      <c r="R50" s="95">
        <v>87</v>
      </c>
      <c r="S50" s="95">
        <v>2</v>
      </c>
      <c r="T50" s="95">
        <v>6</v>
      </c>
      <c r="U50" s="95">
        <v>1</v>
      </c>
      <c r="V50" s="95">
        <v>0</v>
      </c>
      <c r="W50" s="95">
        <v>0</v>
      </c>
      <c r="X50" s="95">
        <v>8</v>
      </c>
      <c r="Y50" s="95">
        <v>1</v>
      </c>
      <c r="Z50" s="95"/>
      <c r="AA50" s="95"/>
      <c r="AB50" s="95"/>
      <c r="AC50" s="95"/>
      <c r="AD50" s="95"/>
      <c r="AE50" s="95"/>
      <c r="AF50" s="95"/>
      <c r="AG50" s="95"/>
      <c r="AH50" s="95"/>
      <c r="AI50" s="95">
        <v>8</v>
      </c>
      <c r="AJ50" s="95"/>
      <c r="AK50" s="95"/>
    </row>
    <row r="51" spans="1:37" ht="60" hidden="1" x14ac:dyDescent="0.3">
      <c r="A51" t="str">
        <f>_xlfn.XLOOKUP(J51,'Checking(ZSERIALS)'!G:G,'Checking(ZSERIALS)'!C:C)</f>
        <v>4900023882</v>
      </c>
      <c r="B51" s="35" t="str">
        <f>IF(J51="","",IF(COUNTIFS('Checking(ZSERIALS)'!J:J,MLR!G51,'Checking(ZSERIALS)'!G:G,MLR!J51)=1,"Correct",IF(COUNTIFS('Checking(ZSERIALS)'!J:J,MLR!G51,'Checking(ZSERIALS)'!G:G,MLR!J51)=0,"Incorrect","Err.")))</f>
        <v>Correct</v>
      </c>
      <c r="C51" s="63" t="str">
        <f>_xlfn.XLOOKUP(J51,'Checking(ZSERIALS)'!G:G,'Checking(ZSERIALS)'!F:F)</f>
        <v>CHRISTBELLA CONSTRUCTION MANAGEMENT</v>
      </c>
      <c r="E51" s="148">
        <v>45474</v>
      </c>
      <c r="F51" s="141" t="s">
        <v>514</v>
      </c>
      <c r="G51" s="142">
        <v>1680000720228</v>
      </c>
      <c r="H51" s="143" t="s">
        <v>515</v>
      </c>
      <c r="I51" s="144" t="s">
        <v>89</v>
      </c>
      <c r="J51" s="141" t="s">
        <v>175</v>
      </c>
      <c r="K51" s="145"/>
      <c r="L51" s="145"/>
      <c r="M51" s="145"/>
      <c r="N51" s="146">
        <v>912</v>
      </c>
      <c r="O51" s="146">
        <v>847</v>
      </c>
      <c r="P51" s="146">
        <v>2000</v>
      </c>
      <c r="Q51" s="146" t="s">
        <v>476</v>
      </c>
      <c r="R51" s="95">
        <v>65</v>
      </c>
      <c r="S51" s="95">
        <v>2</v>
      </c>
      <c r="T51" s="95">
        <v>6</v>
      </c>
      <c r="U51" s="95">
        <v>1</v>
      </c>
      <c r="V51" s="95">
        <v>0</v>
      </c>
      <c r="W51" s="95">
        <v>0</v>
      </c>
      <c r="X51" s="95">
        <v>10</v>
      </c>
      <c r="Y51" s="95">
        <v>1</v>
      </c>
      <c r="Z51" s="95"/>
      <c r="AA51" s="95"/>
      <c r="AB51" s="95"/>
      <c r="AC51" s="95"/>
      <c r="AD51" s="95"/>
      <c r="AE51" s="95"/>
      <c r="AF51" s="95"/>
      <c r="AG51" s="95"/>
      <c r="AH51" s="95"/>
      <c r="AI51" s="95">
        <v>8</v>
      </c>
      <c r="AJ51" s="95"/>
      <c r="AK51" s="95"/>
    </row>
    <row r="52" spans="1:37" ht="60" hidden="1" x14ac:dyDescent="0.3">
      <c r="A52" t="str">
        <f>_xlfn.XLOOKUP(J52,'Checking(ZSERIALS)'!G:G,'Checking(ZSERIALS)'!C:C)</f>
        <v>4900023394</v>
      </c>
      <c r="B52" s="35" t="str">
        <f>IF(J52="","",IF(COUNTIFS('Checking(ZSERIALS)'!J:J,MLR!G52,'Checking(ZSERIALS)'!G:G,MLR!J52)=1,"Correct",IF(COUNTIFS('Checking(ZSERIALS)'!J:J,MLR!G52,'Checking(ZSERIALS)'!G:G,MLR!J52)=0,"Incorrect","Err.")))</f>
        <v>Correct</v>
      </c>
      <c r="C52" s="63" t="str">
        <f>_xlfn.XLOOKUP(J52,'Checking(ZSERIALS)'!G:G,'Checking(ZSERIALS)'!F:F)</f>
        <v>CHRISTBELLA CONSTRUCTION MANAGEMENT</v>
      </c>
      <c r="E52" s="148">
        <v>45474</v>
      </c>
      <c r="F52" s="141" t="s">
        <v>516</v>
      </c>
      <c r="G52" s="142">
        <v>1680000719137</v>
      </c>
      <c r="H52" s="143" t="s">
        <v>517</v>
      </c>
      <c r="I52" s="144" t="s">
        <v>89</v>
      </c>
      <c r="J52" s="141" t="s">
        <v>172</v>
      </c>
      <c r="K52" s="145"/>
      <c r="L52" s="145"/>
      <c r="M52" s="145"/>
      <c r="N52" s="146">
        <v>949</v>
      </c>
      <c r="O52" s="146">
        <v>912</v>
      </c>
      <c r="P52" s="146">
        <v>2000</v>
      </c>
      <c r="Q52" s="146" t="s">
        <v>476</v>
      </c>
      <c r="R52" s="95">
        <v>37</v>
      </c>
      <c r="S52" s="95">
        <v>2</v>
      </c>
      <c r="T52" s="95">
        <v>6</v>
      </c>
      <c r="U52" s="95">
        <v>1</v>
      </c>
      <c r="V52" s="95">
        <v>0</v>
      </c>
      <c r="W52" s="95">
        <v>0</v>
      </c>
      <c r="X52" s="95">
        <v>10</v>
      </c>
      <c r="Y52" s="95">
        <v>1</v>
      </c>
      <c r="Z52" s="95"/>
      <c r="AA52" s="95"/>
      <c r="AB52" s="95"/>
      <c r="AC52" s="95"/>
      <c r="AD52" s="95"/>
      <c r="AE52" s="95"/>
      <c r="AF52" s="95"/>
      <c r="AG52" s="95"/>
      <c r="AH52" s="95"/>
      <c r="AI52" s="95">
        <v>10</v>
      </c>
      <c r="AJ52" s="95"/>
      <c r="AK52" s="95"/>
    </row>
    <row r="53" spans="1:37" ht="60" hidden="1" x14ac:dyDescent="0.3">
      <c r="A53" t="str">
        <f>_xlfn.XLOOKUP(J53,'Checking(ZSERIALS)'!G:G,'Checking(ZSERIALS)'!C:C)</f>
        <v>4900025250</v>
      </c>
      <c r="B53" s="35" t="str">
        <f>IF(J53="","",IF(COUNTIFS('Checking(ZSERIALS)'!J:J,MLR!G53,'Checking(ZSERIALS)'!G:G,MLR!J53)=1,"Correct",IF(COUNTIFS('Checking(ZSERIALS)'!J:J,MLR!G53,'Checking(ZSERIALS)'!G:G,MLR!J53)=0,"Incorrect","Err.")))</f>
        <v>Correct</v>
      </c>
      <c r="C53" s="63" t="str">
        <f>_xlfn.XLOOKUP(J53,'Checking(ZSERIALS)'!G:G,'Checking(ZSERIALS)'!F:F)</f>
        <v>CHRISTBELLA CONSTRUCTION MANAGEMENT</v>
      </c>
      <c r="E53" s="148">
        <v>45505</v>
      </c>
      <c r="F53" s="141" t="s">
        <v>518</v>
      </c>
      <c r="G53" s="142">
        <v>1680000709015</v>
      </c>
      <c r="H53" s="143" t="s">
        <v>519</v>
      </c>
      <c r="I53" s="144" t="s">
        <v>89</v>
      </c>
      <c r="J53" s="141" t="s">
        <v>178</v>
      </c>
      <c r="K53" s="145"/>
      <c r="L53" s="145"/>
      <c r="M53" s="145"/>
      <c r="N53" s="146">
        <v>1593</v>
      </c>
      <c r="O53" s="146">
        <v>1163</v>
      </c>
      <c r="P53" s="146">
        <v>2000</v>
      </c>
      <c r="Q53" s="146" t="s">
        <v>98</v>
      </c>
      <c r="R53" s="95">
        <v>430</v>
      </c>
      <c r="S53" s="95">
        <v>2</v>
      </c>
      <c r="T53" s="95">
        <v>10</v>
      </c>
      <c r="U53" s="95">
        <v>1</v>
      </c>
      <c r="V53" s="95">
        <v>0</v>
      </c>
      <c r="W53" s="95">
        <v>0</v>
      </c>
      <c r="X53" s="95">
        <v>10</v>
      </c>
      <c r="Y53" s="95">
        <v>1</v>
      </c>
      <c r="Z53" s="95"/>
      <c r="AA53" s="95"/>
      <c r="AB53" s="95"/>
      <c r="AC53" s="95"/>
      <c r="AD53" s="95"/>
      <c r="AE53" s="95"/>
      <c r="AF53" s="95"/>
      <c r="AG53" s="95"/>
      <c r="AH53" s="95"/>
      <c r="AI53" s="95">
        <v>10</v>
      </c>
      <c r="AJ53" s="95"/>
      <c r="AK53" s="95"/>
    </row>
    <row r="54" spans="1:37" ht="60" hidden="1" x14ac:dyDescent="0.3">
      <c r="A54" t="str">
        <f>_xlfn.XLOOKUP(J54,'Checking(ZSERIALS)'!G:G,'Checking(ZSERIALS)'!C:C)</f>
        <v>4900025960</v>
      </c>
      <c r="B54" s="35" t="str">
        <f>IF(J54="","",IF(COUNTIFS('Checking(ZSERIALS)'!J:J,MLR!G54,'Checking(ZSERIALS)'!G:G,MLR!J54)=1,"Correct",IF(COUNTIFS('Checking(ZSERIALS)'!J:J,MLR!G54,'Checking(ZSERIALS)'!G:G,MLR!J54)=0,"Incorrect","Err.")))</f>
        <v>Correct</v>
      </c>
      <c r="C54" s="63" t="str">
        <f>_xlfn.XLOOKUP(J54,'Checking(ZSERIALS)'!G:G,'Checking(ZSERIALS)'!F:F)</f>
        <v>CHRISTBELLA CONSTRUCTION MANAGEMENT</v>
      </c>
      <c r="E54" s="148">
        <v>45505</v>
      </c>
      <c r="F54" s="141" t="s">
        <v>520</v>
      </c>
      <c r="G54" s="142">
        <v>1680000719107</v>
      </c>
      <c r="H54" s="143" t="s">
        <v>521</v>
      </c>
      <c r="I54" s="144" t="s">
        <v>89</v>
      </c>
      <c r="J54" s="141" t="s">
        <v>181</v>
      </c>
      <c r="K54" s="145"/>
      <c r="L54" s="145"/>
      <c r="M54" s="145"/>
      <c r="N54" s="146">
        <v>847</v>
      </c>
      <c r="O54" s="146">
        <v>745</v>
      </c>
      <c r="P54" s="146">
        <v>2000</v>
      </c>
      <c r="Q54" s="146" t="s">
        <v>476</v>
      </c>
      <c r="R54" s="95">
        <v>102</v>
      </c>
      <c r="S54" s="95">
        <v>2</v>
      </c>
      <c r="T54" s="95">
        <v>6</v>
      </c>
      <c r="U54" s="95">
        <v>1</v>
      </c>
      <c r="V54" s="95">
        <v>1</v>
      </c>
      <c r="W54" s="95">
        <v>0</v>
      </c>
      <c r="X54" s="95">
        <v>10</v>
      </c>
      <c r="Y54" s="95">
        <v>1</v>
      </c>
      <c r="Z54" s="95"/>
      <c r="AA54" s="95"/>
      <c r="AB54" s="95"/>
      <c r="AC54" s="95"/>
      <c r="AD54" s="95"/>
      <c r="AE54" s="95"/>
      <c r="AF54" s="95"/>
      <c r="AG54" s="95"/>
      <c r="AH54" s="95"/>
      <c r="AI54" s="95">
        <v>8</v>
      </c>
      <c r="AJ54" s="95"/>
      <c r="AK54" s="95"/>
    </row>
    <row r="55" spans="1:37" ht="60" hidden="1" x14ac:dyDescent="0.3">
      <c r="A55" t="str">
        <f>_xlfn.XLOOKUP(J55,'Checking(ZSERIALS)'!G:G,'Checking(ZSERIALS)'!C:C)</f>
        <v>4900026399</v>
      </c>
      <c r="B55" s="35" t="str">
        <f>IF(J55="","",IF(COUNTIFS('Checking(ZSERIALS)'!J:J,MLR!G55,'Checking(ZSERIALS)'!G:G,MLR!J55)=1,"Correct",IF(COUNTIFS('Checking(ZSERIALS)'!J:J,MLR!G55,'Checking(ZSERIALS)'!G:G,MLR!J55)=0,"Incorrect","Err.")))</f>
        <v>Correct</v>
      </c>
      <c r="C55" s="63" t="str">
        <f>_xlfn.XLOOKUP(J55,'Checking(ZSERIALS)'!G:G,'Checking(ZSERIALS)'!F:F)</f>
        <v>CHRISTBELLA CONSTRUCTION MANAGEMENT</v>
      </c>
      <c r="E55" s="148">
        <v>45505</v>
      </c>
      <c r="F55" s="141" t="s">
        <v>522</v>
      </c>
      <c r="G55" s="142">
        <v>1680000713096</v>
      </c>
      <c r="H55" s="143" t="s">
        <v>523</v>
      </c>
      <c r="I55" s="144" t="s">
        <v>89</v>
      </c>
      <c r="J55" s="141" t="s">
        <v>187</v>
      </c>
      <c r="K55" s="145"/>
      <c r="L55" s="145"/>
      <c r="M55" s="145"/>
      <c r="N55" s="146">
        <v>2002</v>
      </c>
      <c r="O55" s="146">
        <v>1945</v>
      </c>
      <c r="P55" s="146">
        <v>2000</v>
      </c>
      <c r="Q55" s="146" t="s">
        <v>524</v>
      </c>
      <c r="R55" s="95">
        <v>57</v>
      </c>
      <c r="S55" s="95">
        <v>2</v>
      </c>
      <c r="T55" s="95">
        <v>2</v>
      </c>
      <c r="U55" s="95">
        <v>1</v>
      </c>
      <c r="V55" s="95">
        <v>0</v>
      </c>
      <c r="W55" s="95">
        <v>0</v>
      </c>
      <c r="X55" s="95">
        <v>3</v>
      </c>
      <c r="Y55" s="95">
        <v>1</v>
      </c>
      <c r="Z55" s="95"/>
      <c r="AA55" s="95"/>
      <c r="AB55" s="95"/>
      <c r="AC55" s="95"/>
      <c r="AD55" s="95"/>
      <c r="AE55" s="95"/>
      <c r="AF55" s="95"/>
      <c r="AG55" s="95"/>
      <c r="AH55" s="95"/>
      <c r="AI55" s="95">
        <v>8</v>
      </c>
      <c r="AJ55" s="95"/>
      <c r="AK55" s="95"/>
    </row>
    <row r="56" spans="1:37" ht="60" hidden="1" x14ac:dyDescent="0.3">
      <c r="A56" t="str">
        <f>_xlfn.XLOOKUP(J56,'Checking(ZSERIALS)'!G:G,'Checking(ZSERIALS)'!C:C)</f>
        <v>4900027549</v>
      </c>
      <c r="B56" s="35" t="str">
        <f>IF(J56="","",IF(COUNTIFS('Checking(ZSERIALS)'!J:J,MLR!G56,'Checking(ZSERIALS)'!G:G,MLR!J56)=1,"Correct",IF(COUNTIFS('Checking(ZSERIALS)'!J:J,MLR!G56,'Checking(ZSERIALS)'!G:G,MLR!J56)=0,"Incorrect","Err.")))</f>
        <v>Correct</v>
      </c>
      <c r="C56" s="63" t="str">
        <f>_xlfn.XLOOKUP(J56,'Checking(ZSERIALS)'!G:G,'Checking(ZSERIALS)'!F:F)</f>
        <v>CHRISTBELLA CONSTRUCTION MANAGEMENT</v>
      </c>
      <c r="E56" s="148">
        <v>45505</v>
      </c>
      <c r="F56" s="141" t="s">
        <v>525</v>
      </c>
      <c r="G56" s="142">
        <v>1680000695259</v>
      </c>
      <c r="H56" s="143" t="s">
        <v>526</v>
      </c>
      <c r="I56" s="144" t="s">
        <v>89</v>
      </c>
      <c r="J56" s="141" t="s">
        <v>190</v>
      </c>
      <c r="K56" s="145"/>
      <c r="L56" s="145"/>
      <c r="M56" s="145"/>
      <c r="N56" s="146">
        <v>616</v>
      </c>
      <c r="O56" s="146">
        <v>585</v>
      </c>
      <c r="P56" s="146">
        <v>2000</v>
      </c>
      <c r="Q56" s="146" t="s">
        <v>476</v>
      </c>
      <c r="R56" s="95">
        <v>31</v>
      </c>
      <c r="S56" s="95">
        <v>2</v>
      </c>
      <c r="T56" s="95">
        <v>6</v>
      </c>
      <c r="U56" s="95">
        <v>1</v>
      </c>
      <c r="V56" s="95">
        <v>0</v>
      </c>
      <c r="W56" s="95">
        <v>0</v>
      </c>
      <c r="X56" s="95">
        <v>8</v>
      </c>
      <c r="Y56" s="95">
        <v>1</v>
      </c>
      <c r="Z56" s="95"/>
      <c r="AA56" s="95"/>
      <c r="AB56" s="95"/>
      <c r="AC56" s="95"/>
      <c r="AD56" s="95"/>
      <c r="AE56" s="95"/>
      <c r="AF56" s="95"/>
      <c r="AG56" s="95"/>
      <c r="AH56" s="95"/>
      <c r="AI56" s="95">
        <v>8</v>
      </c>
      <c r="AJ56" s="95"/>
      <c r="AK56" s="95"/>
    </row>
    <row r="57" spans="1:37" ht="60" hidden="1" x14ac:dyDescent="0.3">
      <c r="A57" t="str">
        <f>_xlfn.XLOOKUP(J57,'Checking(ZSERIALS)'!G:G,'Checking(ZSERIALS)'!C:C)</f>
        <v>4900026205</v>
      </c>
      <c r="B57" s="35" t="str">
        <f>IF(J57="","",IF(COUNTIFS('Checking(ZSERIALS)'!J:J,MLR!G57,'Checking(ZSERIALS)'!G:G,MLR!J57)=1,"Correct",IF(COUNTIFS('Checking(ZSERIALS)'!J:J,MLR!G57,'Checking(ZSERIALS)'!G:G,MLR!J57)=0,"Incorrect","Err.")))</f>
        <v>Correct</v>
      </c>
      <c r="C57" s="63" t="str">
        <f>_xlfn.XLOOKUP(J57,'Checking(ZSERIALS)'!G:G,'Checking(ZSERIALS)'!F:F)</f>
        <v>CHRISTBELLA CONSTRUCTION MANAGEMENT</v>
      </c>
      <c r="E57" s="148">
        <v>45505</v>
      </c>
      <c r="F57" s="141" t="s">
        <v>527</v>
      </c>
      <c r="G57" s="142">
        <v>1680000718727</v>
      </c>
      <c r="H57" s="141" t="s">
        <v>528</v>
      </c>
      <c r="I57" s="144" t="s">
        <v>89</v>
      </c>
      <c r="J57" s="141" t="s">
        <v>184</v>
      </c>
      <c r="K57" s="145"/>
      <c r="L57" s="145"/>
      <c r="M57" s="145"/>
      <c r="N57" s="146">
        <v>745</v>
      </c>
      <c r="O57" s="146">
        <v>616</v>
      </c>
      <c r="P57" s="146">
        <v>2000</v>
      </c>
      <c r="Q57" s="146" t="s">
        <v>476</v>
      </c>
      <c r="R57" s="95">
        <v>129</v>
      </c>
      <c r="S57" s="95">
        <v>2</v>
      </c>
      <c r="T57" s="95">
        <v>6</v>
      </c>
      <c r="U57" s="95">
        <v>1</v>
      </c>
      <c r="V57" s="95">
        <v>1</v>
      </c>
      <c r="W57" s="95">
        <v>0</v>
      </c>
      <c r="X57" s="95">
        <v>8</v>
      </c>
      <c r="Y57" s="95">
        <v>1</v>
      </c>
      <c r="Z57" s="95"/>
      <c r="AA57" s="95"/>
      <c r="AB57" s="95"/>
      <c r="AC57" s="95"/>
      <c r="AD57" s="95"/>
      <c r="AE57" s="95"/>
      <c r="AF57" s="95"/>
      <c r="AG57" s="95"/>
      <c r="AH57" s="95"/>
      <c r="AI57" s="95">
        <v>10</v>
      </c>
      <c r="AJ57" s="95"/>
      <c r="AK57" s="95"/>
    </row>
    <row r="58" spans="1:37" ht="60" hidden="1" x14ac:dyDescent="0.3">
      <c r="A58" t="str">
        <f>_xlfn.XLOOKUP(J58,'Checking(ZSERIALS)'!G:G,'Checking(ZSERIALS)'!C:C)</f>
        <v>4900031609</v>
      </c>
      <c r="B58" s="35" t="str">
        <f>IF(J58="","",IF(COUNTIFS('Checking(ZSERIALS)'!J:J,MLR!G58,'Checking(ZSERIALS)'!G:G,MLR!J58)=1,"Correct",IF(COUNTIFS('Checking(ZSERIALS)'!J:J,MLR!G58,'Checking(ZSERIALS)'!G:G,MLR!J58)=0,"Incorrect","Err.")))</f>
        <v>Correct</v>
      </c>
      <c r="C58" s="63" t="str">
        <f>_xlfn.XLOOKUP(J58,'Checking(ZSERIALS)'!G:G,'Checking(ZSERIALS)'!F:F)</f>
        <v>CHRISTBELLA CONSTRUCTION MANAGEMENT</v>
      </c>
      <c r="E58" s="148">
        <v>45536</v>
      </c>
      <c r="F58" s="141" t="s">
        <v>529</v>
      </c>
      <c r="G58" s="142">
        <v>1680000721883</v>
      </c>
      <c r="H58" s="141" t="s">
        <v>530</v>
      </c>
      <c r="I58" s="144" t="s">
        <v>89</v>
      </c>
      <c r="J58" s="141" t="s">
        <v>205</v>
      </c>
      <c r="K58" s="145"/>
      <c r="L58" s="145"/>
      <c r="M58" s="145"/>
      <c r="N58" s="146">
        <v>253</v>
      </c>
      <c r="O58" s="146">
        <v>55</v>
      </c>
      <c r="P58" s="146">
        <v>2000</v>
      </c>
      <c r="Q58" s="146" t="s">
        <v>98</v>
      </c>
      <c r="R58" s="95">
        <v>198</v>
      </c>
      <c r="S58" s="95">
        <v>2</v>
      </c>
      <c r="T58" s="95">
        <v>10</v>
      </c>
      <c r="U58" s="95">
        <v>1</v>
      </c>
      <c r="V58" s="95">
        <v>0</v>
      </c>
      <c r="W58" s="95">
        <v>0</v>
      </c>
      <c r="X58" s="95">
        <v>10</v>
      </c>
      <c r="Y58" s="95">
        <v>1</v>
      </c>
      <c r="Z58" s="95"/>
      <c r="AA58" s="95"/>
      <c r="AB58" s="95"/>
      <c r="AC58" s="95"/>
      <c r="AD58" s="95"/>
      <c r="AE58" s="95"/>
      <c r="AF58" s="95"/>
      <c r="AG58" s="95"/>
      <c r="AH58" s="95"/>
      <c r="AI58" s="95">
        <v>8</v>
      </c>
      <c r="AJ58" s="95"/>
      <c r="AK58" s="95"/>
    </row>
    <row r="59" spans="1:37" ht="60" hidden="1" x14ac:dyDescent="0.3">
      <c r="A59" t="str">
        <f>_xlfn.XLOOKUP(J59,'Checking(ZSERIALS)'!G:G,'Checking(ZSERIALS)'!C:C)</f>
        <v>4900029931</v>
      </c>
      <c r="B59" s="35" t="str">
        <f>IF(J59="","",IF(COUNTIFS('Checking(ZSERIALS)'!J:J,MLR!G59,'Checking(ZSERIALS)'!G:G,MLR!J59)=1,"Correct",IF(COUNTIFS('Checking(ZSERIALS)'!J:J,MLR!G59,'Checking(ZSERIALS)'!G:G,MLR!J59)=0,"Incorrect","Err.")))</f>
        <v>Correct</v>
      </c>
      <c r="C59" s="63" t="str">
        <f>_xlfn.XLOOKUP(J59,'Checking(ZSERIALS)'!G:G,'Checking(ZSERIALS)'!F:F)</f>
        <v>CHRISTBELLA CONSTRUCTION MANAGEMENT</v>
      </c>
      <c r="E59" s="148">
        <v>45536</v>
      </c>
      <c r="F59" s="141" t="s">
        <v>531</v>
      </c>
      <c r="G59" s="142">
        <v>1680000720549</v>
      </c>
      <c r="H59" s="143" t="s">
        <v>532</v>
      </c>
      <c r="I59" s="144" t="s">
        <v>89</v>
      </c>
      <c r="J59" s="141" t="s">
        <v>193</v>
      </c>
      <c r="K59" s="145"/>
      <c r="L59" s="145"/>
      <c r="M59" s="145"/>
      <c r="N59" s="146">
        <v>925</v>
      </c>
      <c r="O59" s="146">
        <v>616</v>
      </c>
      <c r="P59" s="146">
        <v>2000</v>
      </c>
      <c r="Q59" s="146" t="s">
        <v>98</v>
      </c>
      <c r="R59" s="95">
        <v>309</v>
      </c>
      <c r="S59" s="95">
        <v>2</v>
      </c>
      <c r="T59" s="95">
        <v>14</v>
      </c>
      <c r="U59" s="95">
        <v>1</v>
      </c>
      <c r="V59" s="95">
        <v>0</v>
      </c>
      <c r="W59" s="95">
        <v>0</v>
      </c>
      <c r="X59" s="95">
        <v>10</v>
      </c>
      <c r="Y59" s="95">
        <v>1</v>
      </c>
      <c r="Z59" s="95"/>
      <c r="AA59" s="95"/>
      <c r="AB59" s="95"/>
      <c r="AC59" s="95"/>
      <c r="AD59" s="95"/>
      <c r="AE59" s="95"/>
      <c r="AF59" s="95"/>
      <c r="AG59" s="95"/>
      <c r="AH59" s="95"/>
      <c r="AI59" s="95">
        <v>8</v>
      </c>
      <c r="AJ59" s="95"/>
      <c r="AK59" s="95"/>
    </row>
    <row r="60" spans="1:37" ht="60" hidden="1" x14ac:dyDescent="0.3">
      <c r="A60" t="str">
        <f>_xlfn.XLOOKUP(J60,'Checking(ZSERIALS)'!G:G,'Checking(ZSERIALS)'!C:C)</f>
        <v>4900030286</v>
      </c>
      <c r="B60" s="35" t="str">
        <f>IF(J60="","",IF(COUNTIFS('Checking(ZSERIALS)'!J:J,MLR!G60,'Checking(ZSERIALS)'!G:G,MLR!J60)=1,"Correct",IF(COUNTIFS('Checking(ZSERIALS)'!J:J,MLR!G60,'Checking(ZSERIALS)'!G:G,MLR!J60)=0,"Incorrect","Err.")))</f>
        <v>Correct</v>
      </c>
      <c r="C60" s="63" t="str">
        <f>_xlfn.XLOOKUP(J60,'Checking(ZSERIALS)'!G:G,'Checking(ZSERIALS)'!F:F)</f>
        <v>CHRISTBELLA CONSTRUCTION MANAGEMENT</v>
      </c>
      <c r="E60" s="148">
        <v>45536</v>
      </c>
      <c r="F60" s="141" t="s">
        <v>533</v>
      </c>
      <c r="G60" s="142">
        <v>1680000721575</v>
      </c>
      <c r="H60" s="143" t="s">
        <v>534</v>
      </c>
      <c r="I60" s="144" t="s">
        <v>89</v>
      </c>
      <c r="J60" s="141" t="s">
        <v>196</v>
      </c>
      <c r="K60" s="145"/>
      <c r="L60" s="145"/>
      <c r="M60" s="145"/>
      <c r="N60" s="146">
        <v>585</v>
      </c>
      <c r="O60" s="146">
        <v>469</v>
      </c>
      <c r="P60" s="146">
        <v>2000</v>
      </c>
      <c r="Q60" s="146" t="s">
        <v>476</v>
      </c>
      <c r="R60" s="95">
        <v>116</v>
      </c>
      <c r="S60" s="95">
        <v>2</v>
      </c>
      <c r="T60" s="95">
        <v>8</v>
      </c>
      <c r="U60" s="95">
        <v>1</v>
      </c>
      <c r="V60" s="95">
        <v>0</v>
      </c>
      <c r="W60" s="95">
        <v>0</v>
      </c>
      <c r="X60" s="95">
        <v>10</v>
      </c>
      <c r="Y60" s="95">
        <v>1</v>
      </c>
      <c r="Z60" s="95"/>
      <c r="AA60" s="95"/>
      <c r="AB60" s="95"/>
      <c r="AC60" s="95"/>
      <c r="AD60" s="95"/>
      <c r="AE60" s="95"/>
      <c r="AF60" s="95"/>
      <c r="AG60" s="95"/>
      <c r="AH60" s="95"/>
      <c r="AI60" s="95">
        <v>8</v>
      </c>
      <c r="AJ60" s="95"/>
      <c r="AK60" s="95"/>
    </row>
    <row r="61" spans="1:37" ht="60" hidden="1" x14ac:dyDescent="0.3">
      <c r="A61" t="str">
        <f>_xlfn.XLOOKUP(J61,'Checking(ZSERIALS)'!G:G,'Checking(ZSERIALS)'!C:C)</f>
        <v>4900030570</v>
      </c>
      <c r="B61" s="35" t="str">
        <f>IF(J61="","",IF(COUNTIFS('Checking(ZSERIALS)'!J:J,MLR!G61,'Checking(ZSERIALS)'!G:G,MLR!J61)=1,"Correct",IF(COUNTIFS('Checking(ZSERIALS)'!J:J,MLR!G61,'Checking(ZSERIALS)'!G:G,MLR!J61)=0,"Incorrect","Err.")))</f>
        <v>Correct</v>
      </c>
      <c r="C61" s="63" t="str">
        <f>_xlfn.XLOOKUP(J61,'Checking(ZSERIALS)'!G:G,'Checking(ZSERIALS)'!F:F)</f>
        <v>CHRISTBELLA CONSTRUCTION MANAGEMENT</v>
      </c>
      <c r="E61" s="148">
        <v>45536</v>
      </c>
      <c r="F61" s="141" t="s">
        <v>535</v>
      </c>
      <c r="G61" s="142">
        <v>1680000722982</v>
      </c>
      <c r="H61" s="143" t="s">
        <v>536</v>
      </c>
      <c r="I61" s="144" t="s">
        <v>89</v>
      </c>
      <c r="J61" s="141" t="s">
        <v>199</v>
      </c>
      <c r="K61" s="145"/>
      <c r="L61" s="145"/>
      <c r="M61" s="145"/>
      <c r="N61" s="146">
        <v>915</v>
      </c>
      <c r="O61" s="146">
        <v>799</v>
      </c>
      <c r="P61" s="146">
        <v>2000</v>
      </c>
      <c r="Q61" s="146" t="s">
        <v>479</v>
      </c>
      <c r="R61" s="95">
        <v>116</v>
      </c>
      <c r="S61" s="95">
        <v>2</v>
      </c>
      <c r="T61" s="95">
        <v>6</v>
      </c>
      <c r="U61" s="95">
        <v>1</v>
      </c>
      <c r="V61" s="95">
        <v>0</v>
      </c>
      <c r="W61" s="95">
        <v>0</v>
      </c>
      <c r="X61" s="95">
        <v>2</v>
      </c>
      <c r="Y61" s="95">
        <v>1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>
        <v>8</v>
      </c>
      <c r="AJ61" s="95"/>
      <c r="AK61" s="95"/>
    </row>
    <row r="62" spans="1:37" ht="60" hidden="1" x14ac:dyDescent="0.3">
      <c r="A62" t="str">
        <f>_xlfn.XLOOKUP(J62,'Checking(ZSERIALS)'!G:G,'Checking(ZSERIALS)'!C:C)</f>
        <v>4900031298</v>
      </c>
      <c r="B62" s="35" t="str">
        <f>IF(J62="","",IF(COUNTIFS('Checking(ZSERIALS)'!J:J,MLR!G62,'Checking(ZSERIALS)'!G:G,MLR!J62)=1,"Correct",IF(COUNTIFS('Checking(ZSERIALS)'!J:J,MLR!G62,'Checking(ZSERIALS)'!G:G,MLR!J62)=0,"Incorrect","Err.")))</f>
        <v>Correct</v>
      </c>
      <c r="C62" s="63" t="str">
        <f>_xlfn.XLOOKUP(J62,'Checking(ZSERIALS)'!G:G,'Checking(ZSERIALS)'!F:F)</f>
        <v>CHRISTBELLA CONSTRUCTION MANAGEMENT</v>
      </c>
      <c r="E62" s="148">
        <v>45536</v>
      </c>
      <c r="F62" s="141" t="s">
        <v>537</v>
      </c>
      <c r="G62" s="142">
        <v>1680000724269</v>
      </c>
      <c r="H62" s="143" t="s">
        <v>538</v>
      </c>
      <c r="I62" s="144" t="s">
        <v>89</v>
      </c>
      <c r="J62" s="141" t="s">
        <v>202</v>
      </c>
      <c r="K62" s="145"/>
      <c r="L62" s="145"/>
      <c r="M62" s="145"/>
      <c r="N62" s="146">
        <v>616</v>
      </c>
      <c r="O62" s="146">
        <v>253</v>
      </c>
      <c r="P62" s="146">
        <v>2000</v>
      </c>
      <c r="Q62" s="146" t="s">
        <v>98</v>
      </c>
      <c r="R62" s="95">
        <v>363</v>
      </c>
      <c r="S62" s="95">
        <v>2</v>
      </c>
      <c r="T62" s="95">
        <v>16</v>
      </c>
      <c r="U62" s="95">
        <v>1</v>
      </c>
      <c r="V62" s="95">
        <v>0</v>
      </c>
      <c r="W62" s="95">
        <v>0</v>
      </c>
      <c r="X62" s="95">
        <v>10</v>
      </c>
      <c r="Y62" s="95">
        <v>1</v>
      </c>
      <c r="Z62" s="95"/>
      <c r="AA62" s="95"/>
      <c r="AB62" s="95"/>
      <c r="AC62" s="95"/>
      <c r="AD62" s="95"/>
      <c r="AE62" s="95"/>
      <c r="AF62" s="95"/>
      <c r="AG62" s="95"/>
      <c r="AH62" s="95"/>
      <c r="AI62" s="95">
        <v>8</v>
      </c>
      <c r="AJ62" s="95"/>
      <c r="AK62" s="95"/>
    </row>
    <row r="63" spans="1:37" ht="60" hidden="1" x14ac:dyDescent="0.3">
      <c r="A63" t="str">
        <f>_xlfn.XLOOKUP(J63,'Checking(ZSERIALS)'!G:G,'Checking(ZSERIALS)'!C:C)</f>
        <v>4900035644</v>
      </c>
      <c r="B63" s="35" t="str">
        <f>IF(J63="","",IF(COUNTIFS('Checking(ZSERIALS)'!J:J,MLR!G63,'Checking(ZSERIALS)'!G:G,MLR!J63)=1,"Correct",IF(COUNTIFS('Checking(ZSERIALS)'!J:J,MLR!G63,'Checking(ZSERIALS)'!G:G,MLR!J63)=0,"Incorrect","Err.")))</f>
        <v>Correct</v>
      </c>
      <c r="C63" s="63" t="str">
        <f>_xlfn.XLOOKUP(J63,'Checking(ZSERIALS)'!G:G,'Checking(ZSERIALS)'!F:F)</f>
        <v>CHRISTBELLA CONSTRUCTION MANAGEMENT</v>
      </c>
      <c r="E63" s="148">
        <v>45566</v>
      </c>
      <c r="F63" s="141" t="s">
        <v>539</v>
      </c>
      <c r="G63" s="142">
        <v>1680000725440</v>
      </c>
      <c r="H63" s="143" t="s">
        <v>540</v>
      </c>
      <c r="I63" s="144" t="s">
        <v>89</v>
      </c>
      <c r="J63" s="141" t="s">
        <v>208</v>
      </c>
      <c r="K63" s="145"/>
      <c r="L63" s="145"/>
      <c r="M63" s="145"/>
      <c r="N63" s="146">
        <v>320</v>
      </c>
      <c r="O63" s="146">
        <v>181</v>
      </c>
      <c r="P63" s="146">
        <v>2000</v>
      </c>
      <c r="Q63" s="146" t="s">
        <v>476</v>
      </c>
      <c r="R63" s="95">
        <v>139</v>
      </c>
      <c r="S63" s="95">
        <v>2</v>
      </c>
      <c r="T63" s="95">
        <v>6</v>
      </c>
      <c r="U63" s="95">
        <v>1</v>
      </c>
      <c r="V63" s="95">
        <v>0</v>
      </c>
      <c r="W63" s="95">
        <v>0</v>
      </c>
      <c r="X63" s="95">
        <v>8</v>
      </c>
      <c r="Y63" s="95">
        <v>1</v>
      </c>
      <c r="Z63" s="95"/>
      <c r="AA63" s="95"/>
      <c r="AB63" s="95"/>
      <c r="AC63" s="95"/>
      <c r="AD63" s="95"/>
      <c r="AE63" s="95"/>
      <c r="AF63" s="95"/>
      <c r="AG63" s="95"/>
      <c r="AH63" s="95"/>
      <c r="AI63" s="95">
        <v>8</v>
      </c>
      <c r="AJ63" s="95"/>
      <c r="AK63" s="95"/>
    </row>
    <row r="64" spans="1:37" ht="60" hidden="1" x14ac:dyDescent="0.3">
      <c r="A64" t="str">
        <f>_xlfn.XLOOKUP(J64,'Checking(ZSERIALS)'!G:G,'Checking(ZSERIALS)'!C:C)</f>
        <v>4900036098</v>
      </c>
      <c r="B64" s="35" t="str">
        <f>IF(J64="","",IF(COUNTIFS('Checking(ZSERIALS)'!J:J,MLR!G64,'Checking(ZSERIALS)'!G:G,MLR!J64)=1,"Correct",IF(COUNTIFS('Checking(ZSERIALS)'!J:J,MLR!G64,'Checking(ZSERIALS)'!G:G,MLR!J64)=0,"Incorrect","Err.")))</f>
        <v>Correct</v>
      </c>
      <c r="C64" s="63" t="str">
        <f>_xlfn.XLOOKUP(J64,'Checking(ZSERIALS)'!G:G,'Checking(ZSERIALS)'!F:F)</f>
        <v>CHRISTBELLA CONSTRUCTION MANAGEMENT</v>
      </c>
      <c r="E64" s="148">
        <v>45566</v>
      </c>
      <c r="F64" s="141" t="s">
        <v>541</v>
      </c>
      <c r="G64" s="142">
        <v>1680000724851</v>
      </c>
      <c r="H64" s="143" t="s">
        <v>542</v>
      </c>
      <c r="I64" s="144" t="s">
        <v>89</v>
      </c>
      <c r="J64" s="141" t="s">
        <v>214</v>
      </c>
      <c r="K64" s="145"/>
      <c r="L64" s="145"/>
      <c r="M64" s="145"/>
      <c r="N64" s="146">
        <v>553</v>
      </c>
      <c r="O64" s="146">
        <v>445</v>
      </c>
      <c r="P64" s="146">
        <v>2000</v>
      </c>
      <c r="Q64" s="146" t="s">
        <v>479</v>
      </c>
      <c r="R64" s="95">
        <v>108</v>
      </c>
      <c r="S64" s="95">
        <v>2</v>
      </c>
      <c r="T64" s="95">
        <v>8</v>
      </c>
      <c r="U64" s="95">
        <v>1</v>
      </c>
      <c r="V64" s="95">
        <v>0</v>
      </c>
      <c r="W64" s="95">
        <v>0</v>
      </c>
      <c r="X64" s="95">
        <v>5</v>
      </c>
      <c r="Y64" s="95">
        <v>1</v>
      </c>
      <c r="Z64" s="95"/>
      <c r="AA64" s="95"/>
      <c r="AB64" s="95"/>
      <c r="AC64" s="95"/>
      <c r="AD64" s="95"/>
      <c r="AE64" s="95"/>
      <c r="AF64" s="95"/>
      <c r="AG64" s="95"/>
      <c r="AH64" s="95"/>
      <c r="AI64" s="95">
        <v>8</v>
      </c>
      <c r="AJ64" s="95"/>
      <c r="AK64" s="95"/>
    </row>
    <row r="65" spans="1:37" ht="60" hidden="1" x14ac:dyDescent="0.3">
      <c r="A65" t="str">
        <f>_xlfn.XLOOKUP(J65,'Checking(ZSERIALS)'!G:G,'Checking(ZSERIALS)'!C:C)</f>
        <v>4900036202</v>
      </c>
      <c r="B65" s="35" t="str">
        <f>IF(J65="","",IF(COUNTIFS('Checking(ZSERIALS)'!J:J,MLR!G65,'Checking(ZSERIALS)'!G:G,MLR!J65)=1,"Correct",IF(COUNTIFS('Checking(ZSERIALS)'!J:J,MLR!G65,'Checking(ZSERIALS)'!G:G,MLR!J65)=0,"Incorrect","Err.")))</f>
        <v>Correct</v>
      </c>
      <c r="C65" s="63" t="str">
        <f>_xlfn.XLOOKUP(J65,'Checking(ZSERIALS)'!G:G,'Checking(ZSERIALS)'!F:F)</f>
        <v>CHRISTBELLA CONSTRUCTION MANAGEMENT</v>
      </c>
      <c r="E65" s="148">
        <v>45566</v>
      </c>
      <c r="F65" s="141" t="s">
        <v>543</v>
      </c>
      <c r="G65" s="142">
        <v>1680000724492</v>
      </c>
      <c r="H65" s="143" t="s">
        <v>544</v>
      </c>
      <c r="I65" s="144" t="s">
        <v>89</v>
      </c>
      <c r="J65" s="141" t="s">
        <v>217</v>
      </c>
      <c r="K65" s="145"/>
      <c r="L65" s="145"/>
      <c r="M65" s="145"/>
      <c r="N65" s="146">
        <v>2003</v>
      </c>
      <c r="O65" s="146">
        <v>1679</v>
      </c>
      <c r="P65" s="146">
        <v>2000</v>
      </c>
      <c r="Q65" s="146" t="s">
        <v>545</v>
      </c>
      <c r="R65" s="95">
        <v>324</v>
      </c>
      <c r="S65" s="95">
        <v>2</v>
      </c>
      <c r="T65" s="95">
        <v>20</v>
      </c>
      <c r="U65" s="95">
        <v>1</v>
      </c>
      <c r="V65" s="95">
        <v>0</v>
      </c>
      <c r="W65" s="95">
        <v>0</v>
      </c>
      <c r="X65" s="95">
        <v>10</v>
      </c>
      <c r="Y65" s="95">
        <v>1</v>
      </c>
      <c r="Z65" s="95"/>
      <c r="AA65" s="95"/>
      <c r="AB65" s="95"/>
      <c r="AC65" s="95"/>
      <c r="AD65" s="95"/>
      <c r="AE65" s="95"/>
      <c r="AF65" s="95"/>
      <c r="AG65" s="95"/>
      <c r="AH65" s="95"/>
      <c r="AI65" s="95">
        <v>10</v>
      </c>
      <c r="AJ65" s="95"/>
      <c r="AK65" s="95"/>
    </row>
    <row r="66" spans="1:37" ht="60" x14ac:dyDescent="0.3">
      <c r="A66" t="str">
        <f>_xlfn.XLOOKUP(J66,'Checking(ZSERIALS)'!G:G,'Checking(ZSERIALS)'!C:C)</f>
        <v>4900037992</v>
      </c>
      <c r="B66" s="35" t="str">
        <f>IF(J66="","",IF(COUNTIFS('Checking(ZSERIALS)'!J:J,MLR!G66,'Checking(ZSERIALS)'!G:G,MLR!J66)=1,"Correct",IF(COUNTIFS('Checking(ZSERIALS)'!J:J,MLR!G66,'Checking(ZSERIALS)'!G:G,MLR!J66)=0,"Incorrect","Err.")))</f>
        <v>Incorrect</v>
      </c>
      <c r="C66" s="63" t="str">
        <f>_xlfn.XLOOKUP(J66,'Checking(ZSERIALS)'!G:G,'Checking(ZSERIALS)'!F:F)</f>
        <v>CHRISTBELLA CONSTRUCTION MANAGEMENT</v>
      </c>
      <c r="E66" s="148">
        <v>45566</v>
      </c>
      <c r="F66" s="141" t="s">
        <v>546</v>
      </c>
      <c r="G66" s="142">
        <v>1680000709649</v>
      </c>
      <c r="H66" s="143" t="s">
        <v>547</v>
      </c>
      <c r="I66" s="144" t="s">
        <v>89</v>
      </c>
      <c r="J66" s="141" t="s">
        <v>229</v>
      </c>
      <c r="K66" s="145"/>
      <c r="L66" s="145"/>
      <c r="M66" s="145"/>
      <c r="N66" s="146">
        <v>799</v>
      </c>
      <c r="O66" s="146">
        <v>553</v>
      </c>
      <c r="P66" s="146">
        <v>2000</v>
      </c>
      <c r="Q66" s="146" t="s">
        <v>479</v>
      </c>
      <c r="R66" s="95">
        <v>246</v>
      </c>
      <c r="S66" s="95">
        <v>2</v>
      </c>
      <c r="T66" s="95">
        <v>9</v>
      </c>
      <c r="U66" s="95">
        <v>1</v>
      </c>
      <c r="V66" s="95">
        <v>0</v>
      </c>
      <c r="W66" s="95">
        <v>0</v>
      </c>
      <c r="X66" s="95">
        <v>5</v>
      </c>
      <c r="Y66" s="95">
        <v>1</v>
      </c>
      <c r="Z66" s="95"/>
      <c r="AA66" s="95"/>
      <c r="AB66" s="95"/>
      <c r="AC66" s="95"/>
      <c r="AD66" s="95"/>
      <c r="AE66" s="95"/>
      <c r="AF66" s="95"/>
      <c r="AG66" s="95"/>
      <c r="AH66" s="95"/>
      <c r="AI66" s="95">
        <v>10</v>
      </c>
      <c r="AJ66" s="95"/>
      <c r="AK66" s="95"/>
    </row>
    <row r="67" spans="1:37" ht="60" hidden="1" x14ac:dyDescent="0.3">
      <c r="A67" t="str">
        <f>_xlfn.XLOOKUP(J67,'Checking(ZSERIALS)'!G:G,'Checking(ZSERIALS)'!C:C)</f>
        <v>4900037868</v>
      </c>
      <c r="B67" s="35" t="str">
        <f>IF(J67="","",IF(COUNTIFS('Checking(ZSERIALS)'!J:J,MLR!G67,'Checking(ZSERIALS)'!G:G,MLR!J67)=1,"Correct",IF(COUNTIFS('Checking(ZSERIALS)'!J:J,MLR!G67,'Checking(ZSERIALS)'!G:G,MLR!J67)=0,"Incorrect","Err.")))</f>
        <v>Correct</v>
      </c>
      <c r="C67" s="63" t="str">
        <f>_xlfn.XLOOKUP(J67,'Checking(ZSERIALS)'!G:G,'Checking(ZSERIALS)'!F:F)</f>
        <v>CHRISTBELLA CONSTRUCTION MANAGEMENT</v>
      </c>
      <c r="E67" s="148">
        <v>45566</v>
      </c>
      <c r="F67" s="141" t="s">
        <v>548</v>
      </c>
      <c r="G67" s="142">
        <v>1680000725443</v>
      </c>
      <c r="H67" s="143" t="s">
        <v>549</v>
      </c>
      <c r="I67" s="144" t="s">
        <v>89</v>
      </c>
      <c r="J67" s="141" t="s">
        <v>223</v>
      </c>
      <c r="K67" s="145"/>
      <c r="L67" s="145"/>
      <c r="M67" s="145"/>
      <c r="N67" s="146">
        <v>2003</v>
      </c>
      <c r="O67" s="146">
        <v>1660</v>
      </c>
      <c r="P67" s="146">
        <v>2000</v>
      </c>
      <c r="Q67" s="146" t="s">
        <v>550</v>
      </c>
      <c r="R67" s="95">
        <v>343</v>
      </c>
      <c r="S67" s="95">
        <v>2</v>
      </c>
      <c r="T67" s="95">
        <v>12</v>
      </c>
      <c r="U67" s="95">
        <v>1</v>
      </c>
      <c r="V67" s="95">
        <v>1</v>
      </c>
      <c r="W67" s="95">
        <v>0</v>
      </c>
      <c r="X67" s="95">
        <v>8</v>
      </c>
      <c r="Y67" s="95">
        <v>1</v>
      </c>
      <c r="Z67" s="95"/>
      <c r="AA67" s="95"/>
      <c r="AB67" s="95"/>
      <c r="AC67" s="95"/>
      <c r="AD67" s="95"/>
      <c r="AE67" s="95"/>
      <c r="AF67" s="95"/>
      <c r="AG67" s="95"/>
      <c r="AH67" s="95"/>
      <c r="AI67" s="95">
        <v>10</v>
      </c>
      <c r="AJ67" s="95"/>
      <c r="AK67" s="95"/>
    </row>
    <row r="68" spans="1:37" ht="60" hidden="1" x14ac:dyDescent="0.3">
      <c r="A68" t="str">
        <f>_xlfn.XLOOKUP(J68,'Checking(ZSERIALS)'!G:G,'Checking(ZSERIALS)'!C:C)</f>
        <v>4900037564</v>
      </c>
      <c r="B68" s="35" t="str">
        <f>IF(J68="","",IF(COUNTIFS('Checking(ZSERIALS)'!J:J,MLR!G68,'Checking(ZSERIALS)'!G:G,MLR!J68)=1,"Correct",IF(COUNTIFS('Checking(ZSERIALS)'!J:J,MLR!G68,'Checking(ZSERIALS)'!G:G,MLR!J68)=0,"Incorrect","Err.")))</f>
        <v>Correct</v>
      </c>
      <c r="C68" s="63" t="str">
        <f>_xlfn.XLOOKUP(J68,'Checking(ZSERIALS)'!G:G,'Checking(ZSERIALS)'!F:F)</f>
        <v>CHRISTBELLA CONSTRUCTION MANAGEMENT</v>
      </c>
      <c r="E68" s="148">
        <v>45566</v>
      </c>
      <c r="F68" s="141" t="s">
        <v>551</v>
      </c>
      <c r="G68" s="142">
        <v>1680000725912</v>
      </c>
      <c r="H68" s="143" t="s">
        <v>552</v>
      </c>
      <c r="I68" s="144" t="s">
        <v>89</v>
      </c>
      <c r="J68" s="141" t="s">
        <v>220</v>
      </c>
      <c r="K68" s="145"/>
      <c r="L68" s="145"/>
      <c r="M68" s="145"/>
      <c r="N68" s="146">
        <v>1679</v>
      </c>
      <c r="O68" s="146">
        <v>1358</v>
      </c>
      <c r="P68" s="146">
        <v>2000</v>
      </c>
      <c r="Q68" s="146" t="s">
        <v>545</v>
      </c>
      <c r="R68" s="95">
        <v>321</v>
      </c>
      <c r="S68" s="95">
        <v>2</v>
      </c>
      <c r="T68" s="95">
        <v>14</v>
      </c>
      <c r="U68" s="95">
        <v>1</v>
      </c>
      <c r="V68" s="95">
        <v>0</v>
      </c>
      <c r="W68" s="95">
        <v>0</v>
      </c>
      <c r="X68" s="95">
        <v>10</v>
      </c>
      <c r="Y68" s="95">
        <v>1</v>
      </c>
      <c r="Z68" s="95"/>
      <c r="AA68" s="95"/>
      <c r="AB68" s="95"/>
      <c r="AC68" s="95"/>
      <c r="AD68" s="95"/>
      <c r="AE68" s="95"/>
      <c r="AF68" s="95"/>
      <c r="AG68" s="95"/>
      <c r="AH68" s="95"/>
      <c r="AI68" s="95">
        <v>8</v>
      </c>
      <c r="AJ68" s="95"/>
      <c r="AK68" s="95"/>
    </row>
    <row r="69" spans="1:37" ht="60" hidden="1" x14ac:dyDescent="0.3">
      <c r="A69" t="str">
        <f>_xlfn.XLOOKUP(J69,'Checking(ZSERIALS)'!G:G,'Checking(ZSERIALS)'!C:C)</f>
        <v>4900038445</v>
      </c>
      <c r="B69" s="35" t="str">
        <f>IF(J69="","",IF(COUNTIFS('Checking(ZSERIALS)'!J:J,MLR!G69,'Checking(ZSERIALS)'!G:G,MLR!J69)=1,"Correct",IF(COUNTIFS('Checking(ZSERIALS)'!J:J,MLR!G69,'Checking(ZSERIALS)'!G:G,MLR!J69)=0,"Incorrect","Err.")))</f>
        <v>Correct</v>
      </c>
      <c r="C69" s="63" t="str">
        <f>_xlfn.XLOOKUP(J69,'Checking(ZSERIALS)'!G:G,'Checking(ZSERIALS)'!F:F)</f>
        <v>CHRISTBELLA CONSTRUCTION MANAGEMENT</v>
      </c>
      <c r="E69" s="148">
        <v>45566</v>
      </c>
      <c r="F69" s="141" t="s">
        <v>553</v>
      </c>
      <c r="G69" s="142">
        <v>1680000726826</v>
      </c>
      <c r="H69" s="143" t="s">
        <v>554</v>
      </c>
      <c r="I69" s="144" t="s">
        <v>89</v>
      </c>
      <c r="J69" s="141" t="s">
        <v>235</v>
      </c>
      <c r="K69" s="145"/>
      <c r="L69" s="145"/>
      <c r="M69" s="145"/>
      <c r="N69" s="146">
        <v>1358</v>
      </c>
      <c r="O69" s="146">
        <v>949</v>
      </c>
      <c r="P69" s="146">
        <v>2000</v>
      </c>
      <c r="Q69" s="146" t="s">
        <v>545</v>
      </c>
      <c r="R69" s="95">
        <v>409</v>
      </c>
      <c r="S69" s="95">
        <v>2</v>
      </c>
      <c r="T69" s="95">
        <v>22</v>
      </c>
      <c r="U69" s="95">
        <v>1</v>
      </c>
      <c r="V69" s="95">
        <v>0</v>
      </c>
      <c r="W69" s="95">
        <v>1</v>
      </c>
      <c r="X69" s="95">
        <v>10</v>
      </c>
      <c r="Y69" s="95">
        <v>1</v>
      </c>
      <c r="Z69" s="95"/>
      <c r="AA69" s="95"/>
      <c r="AB69" s="95"/>
      <c r="AC69" s="95"/>
      <c r="AD69" s="95"/>
      <c r="AE69" s="95"/>
      <c r="AF69" s="95"/>
      <c r="AG69" s="95"/>
      <c r="AH69" s="95"/>
      <c r="AI69" s="95">
        <v>8</v>
      </c>
      <c r="AJ69" s="95"/>
      <c r="AK69" s="95"/>
    </row>
    <row r="70" spans="1:37" ht="60" hidden="1" x14ac:dyDescent="0.3">
      <c r="A70" t="str">
        <f>_xlfn.XLOOKUP(J70,'Checking(ZSERIALS)'!G:G,'Checking(ZSERIALS)'!C:C)</f>
        <v>4900037929</v>
      </c>
      <c r="B70" s="35" t="str">
        <f>IF(J70="","",IF(COUNTIFS('Checking(ZSERIALS)'!J:J,MLR!G70,'Checking(ZSERIALS)'!G:G,MLR!J70)=1,"Correct",IF(COUNTIFS('Checking(ZSERIALS)'!J:J,MLR!G70,'Checking(ZSERIALS)'!G:G,MLR!J70)=0,"Incorrect","Err.")))</f>
        <v>Correct</v>
      </c>
      <c r="C70" s="63" t="str">
        <f>_xlfn.XLOOKUP(J70,'Checking(ZSERIALS)'!G:G,'Checking(ZSERIALS)'!F:F)</f>
        <v>CHRISTBELLA CONSTRUCTION MANAGEMENT</v>
      </c>
      <c r="E70" s="148">
        <v>45566</v>
      </c>
      <c r="F70" s="141" t="s">
        <v>555</v>
      </c>
      <c r="G70" s="142">
        <v>1680000716616</v>
      </c>
      <c r="H70" s="143" t="s">
        <v>556</v>
      </c>
      <c r="I70" s="144" t="s">
        <v>89</v>
      </c>
      <c r="J70" s="141" t="s">
        <v>226</v>
      </c>
      <c r="K70" s="145"/>
      <c r="L70" s="145"/>
      <c r="M70" s="145"/>
      <c r="N70" s="146">
        <v>445</v>
      </c>
      <c r="O70" s="146">
        <v>248</v>
      </c>
      <c r="P70" s="146">
        <v>2000</v>
      </c>
      <c r="Q70" s="146" t="s">
        <v>479</v>
      </c>
      <c r="R70" s="95">
        <v>197</v>
      </c>
      <c r="S70" s="95">
        <v>2</v>
      </c>
      <c r="T70" s="95">
        <v>10</v>
      </c>
      <c r="U70" s="95">
        <v>1</v>
      </c>
      <c r="V70" s="95">
        <v>0</v>
      </c>
      <c r="W70" s="95">
        <v>0</v>
      </c>
      <c r="X70" s="95">
        <v>5</v>
      </c>
      <c r="Y70" s="95">
        <v>1</v>
      </c>
      <c r="Z70" s="95"/>
      <c r="AA70" s="95"/>
      <c r="AB70" s="95"/>
      <c r="AC70" s="95"/>
      <c r="AD70" s="95"/>
      <c r="AE70" s="95"/>
      <c r="AF70" s="95"/>
      <c r="AG70" s="95"/>
      <c r="AH70" s="95"/>
      <c r="AI70" s="95">
        <v>10</v>
      </c>
      <c r="AJ70" s="95"/>
      <c r="AK70" s="95"/>
    </row>
    <row r="71" spans="1:37" ht="60" hidden="1" x14ac:dyDescent="0.3">
      <c r="A71" t="str">
        <f>_xlfn.XLOOKUP(J71,'Checking(ZSERIALS)'!G:G,'Checking(ZSERIALS)'!C:C)</f>
        <v>4900035702</v>
      </c>
      <c r="B71" s="35" t="str">
        <f>IF(J71="","",IF(COUNTIFS('Checking(ZSERIALS)'!J:J,MLR!G71,'Checking(ZSERIALS)'!G:G,MLR!J71)=1,"Correct",IF(COUNTIFS('Checking(ZSERIALS)'!J:J,MLR!G71,'Checking(ZSERIALS)'!G:G,MLR!J71)=0,"Incorrect","Err.")))</f>
        <v>Correct</v>
      </c>
      <c r="C71" s="63" t="str">
        <f>_xlfn.XLOOKUP(J71,'Checking(ZSERIALS)'!G:G,'Checking(ZSERIALS)'!F:F)</f>
        <v>CHRISTBELLA CONSTRUCTION MANAGEMENT</v>
      </c>
      <c r="E71" s="148">
        <v>45566</v>
      </c>
      <c r="F71" s="141" t="s">
        <v>557</v>
      </c>
      <c r="G71" s="142">
        <v>1680000724825</v>
      </c>
      <c r="H71" s="143" t="s">
        <v>558</v>
      </c>
      <c r="I71" s="144" t="s">
        <v>89</v>
      </c>
      <c r="J71" s="141" t="s">
        <v>211</v>
      </c>
      <c r="K71" s="145"/>
      <c r="L71" s="145"/>
      <c r="M71" s="145"/>
      <c r="N71" s="146">
        <v>320</v>
      </c>
      <c r="O71" s="146">
        <v>156</v>
      </c>
      <c r="P71" s="146">
        <v>2000</v>
      </c>
      <c r="Q71" s="146" t="s">
        <v>559</v>
      </c>
      <c r="R71" s="95">
        <v>164</v>
      </c>
      <c r="S71" s="95">
        <v>2</v>
      </c>
      <c r="T71" s="95">
        <v>8</v>
      </c>
      <c r="U71" s="95">
        <v>1</v>
      </c>
      <c r="V71" s="95">
        <v>0</v>
      </c>
      <c r="W71" s="95">
        <v>0</v>
      </c>
      <c r="X71" s="95">
        <v>8</v>
      </c>
      <c r="Y71" s="95">
        <v>1</v>
      </c>
      <c r="Z71" s="95"/>
      <c r="AA71" s="95"/>
      <c r="AB71" s="95"/>
      <c r="AC71" s="95"/>
      <c r="AD71" s="95"/>
      <c r="AE71" s="95"/>
      <c r="AF71" s="95"/>
      <c r="AG71" s="95"/>
      <c r="AH71" s="95"/>
      <c r="AI71" s="95">
        <v>10</v>
      </c>
      <c r="AJ71" s="95"/>
      <c r="AK71" s="95"/>
    </row>
    <row r="72" spans="1:37" ht="60" hidden="1" x14ac:dyDescent="0.3">
      <c r="A72" t="str">
        <f>_xlfn.XLOOKUP(J72,'Checking(ZSERIALS)'!G:G,'Checking(ZSERIALS)'!C:C)</f>
        <v>4900038112</v>
      </c>
      <c r="B72" s="35" t="str">
        <f>IF(J72="","",IF(COUNTIFS('Checking(ZSERIALS)'!J:J,MLR!G72,'Checking(ZSERIALS)'!G:G,MLR!J72)=1,"Correct",IF(COUNTIFS('Checking(ZSERIALS)'!J:J,MLR!G72,'Checking(ZSERIALS)'!G:G,MLR!J72)=0,"Incorrect","Err.")))</f>
        <v>Correct</v>
      </c>
      <c r="C72" s="63" t="str">
        <f>_xlfn.XLOOKUP(J72,'Checking(ZSERIALS)'!G:G,'Checking(ZSERIALS)'!F:F)</f>
        <v>CHRISTBELLA CONSTRUCTION MANAGEMENT</v>
      </c>
      <c r="E72" s="148">
        <v>45566</v>
      </c>
      <c r="F72" s="141" t="s">
        <v>560</v>
      </c>
      <c r="G72" s="142">
        <v>1680000704179</v>
      </c>
      <c r="H72" s="141" t="s">
        <v>561</v>
      </c>
      <c r="I72" s="144" t="s">
        <v>89</v>
      </c>
      <c r="J72" s="141" t="s">
        <v>232</v>
      </c>
      <c r="K72" s="145"/>
      <c r="L72" s="145"/>
      <c r="M72" s="145"/>
      <c r="N72" s="146">
        <v>1660</v>
      </c>
      <c r="O72" s="146">
        <v>1525</v>
      </c>
      <c r="P72" s="146">
        <v>2000</v>
      </c>
      <c r="Q72" s="146" t="s">
        <v>550</v>
      </c>
      <c r="R72" s="95">
        <v>135</v>
      </c>
      <c r="S72" s="95">
        <v>2</v>
      </c>
      <c r="T72" s="95">
        <v>6</v>
      </c>
      <c r="U72" s="95">
        <v>1</v>
      </c>
      <c r="V72" s="95">
        <v>0</v>
      </c>
      <c r="W72" s="95">
        <v>0</v>
      </c>
      <c r="X72" s="95">
        <v>15</v>
      </c>
      <c r="Y72" s="95">
        <v>1</v>
      </c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</row>
    <row r="73" spans="1:37" hidden="1" x14ac:dyDescent="0.3">
      <c r="A73">
        <f>_xlfn.XLOOKUP(J73,'Checking(ZSERIALS)'!G:G,'Checking(ZSERIALS)'!C:C)</f>
        <v>0</v>
      </c>
      <c r="B73" s="35" t="str">
        <f>IF(J73="","",IF(COUNTIFS('Checking(ZSERIALS)'!J:J,MLR!G73,'Checking(ZSERIALS)'!G:G,MLR!J73)=1,"Correct",IF(COUNTIFS('Checking(ZSERIALS)'!J:J,MLR!G73,'Checking(ZSERIALS)'!G:G,MLR!J73)=0,"Incorrect","Err.")))</f>
        <v/>
      </c>
      <c r="C73" s="63">
        <f>_xlfn.XLOOKUP(J73,'Checking(ZSERIALS)'!G:G,'Checking(ZSERIALS)'!F:F)</f>
        <v>0</v>
      </c>
      <c r="E73" s="98"/>
      <c r="F73" s="95"/>
      <c r="G73" s="120"/>
      <c r="H73" s="95"/>
      <c r="I73" s="95"/>
      <c r="J73" s="95"/>
      <c r="K73" s="95"/>
      <c r="L73" s="67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</row>
    <row r="74" spans="1:37" hidden="1" x14ac:dyDescent="0.3">
      <c r="A74">
        <f>_xlfn.XLOOKUP(J74,'Checking(ZSERIALS)'!G:G,'Checking(ZSERIALS)'!C:C)</f>
        <v>0</v>
      </c>
      <c r="B74" s="35" t="str">
        <f>IF(J74="","",IF(COUNTIFS('Checking(ZSERIALS)'!J:J,MLR!G74,'Checking(ZSERIALS)'!G:G,MLR!J74)=1,"Correct",IF(COUNTIFS('Checking(ZSERIALS)'!J:J,MLR!G74,'Checking(ZSERIALS)'!G:G,MLR!J74)=0,"Incorrect","Err.")))</f>
        <v/>
      </c>
      <c r="C74" s="63">
        <f>_xlfn.XLOOKUP(J74,'Checking(ZSERIALS)'!G:G,'Checking(ZSERIALS)'!F:F)</f>
        <v>0</v>
      </c>
      <c r="E74" s="98"/>
      <c r="F74" s="95"/>
      <c r="G74" s="120"/>
      <c r="H74" s="95"/>
      <c r="I74" s="95"/>
      <c r="J74" s="95"/>
      <c r="K74" s="95"/>
      <c r="L74" s="67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</row>
    <row r="75" spans="1:37" hidden="1" x14ac:dyDescent="0.3">
      <c r="A75">
        <f>_xlfn.XLOOKUP(J75,'Checking(ZSERIALS)'!G:G,'Checking(ZSERIALS)'!C:C)</f>
        <v>0</v>
      </c>
      <c r="B75" s="35" t="str">
        <f>IF(J75="","",IF(COUNTIFS('Checking(ZSERIALS)'!J:J,MLR!G75,'Checking(ZSERIALS)'!G:G,MLR!J75)=1,"Correct",IF(COUNTIFS('Checking(ZSERIALS)'!J:J,MLR!G75,'Checking(ZSERIALS)'!G:G,MLR!J75)=0,"Incorrect","Err.")))</f>
        <v/>
      </c>
      <c r="C75" s="63">
        <f>_xlfn.XLOOKUP(J75,'Checking(ZSERIALS)'!G:G,'Checking(ZSERIALS)'!F:F)</f>
        <v>0</v>
      </c>
      <c r="E75" s="98"/>
      <c r="F75" s="95"/>
      <c r="G75" s="120"/>
      <c r="H75" s="95"/>
      <c r="I75" s="95"/>
      <c r="J75" s="95"/>
      <c r="K75" s="95"/>
      <c r="L75" s="67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</row>
    <row r="76" spans="1:37" hidden="1" x14ac:dyDescent="0.3">
      <c r="A76">
        <f>_xlfn.XLOOKUP(J76,'Checking(ZSERIALS)'!G:G,'Checking(ZSERIALS)'!C:C)</f>
        <v>0</v>
      </c>
      <c r="B76" s="35" t="str">
        <f>IF(J76="","",IF(COUNTIFS('Checking(ZSERIALS)'!J:J,MLR!G76,'Checking(ZSERIALS)'!G:G,MLR!J76)=1,"Correct",IF(COUNTIFS('Checking(ZSERIALS)'!J:J,MLR!G76,'Checking(ZSERIALS)'!G:G,MLR!J76)=0,"Incorrect","Err.")))</f>
        <v/>
      </c>
      <c r="C76" s="63">
        <f>_xlfn.XLOOKUP(J76,'Checking(ZSERIALS)'!G:G,'Checking(ZSERIALS)'!F:F)</f>
        <v>0</v>
      </c>
      <c r="E76" s="98"/>
      <c r="F76" s="95"/>
      <c r="G76" s="120"/>
      <c r="H76" s="95"/>
      <c r="I76" s="95"/>
      <c r="J76" s="95"/>
      <c r="K76" s="95"/>
      <c r="L76" s="67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</row>
    <row r="77" spans="1:37" hidden="1" x14ac:dyDescent="0.3">
      <c r="A77">
        <f>_xlfn.XLOOKUP(J77,'Checking(ZSERIALS)'!G:G,'Checking(ZSERIALS)'!C:C)</f>
        <v>0</v>
      </c>
      <c r="B77" s="35" t="str">
        <f>IF(J77="","",IF(COUNTIFS('Checking(ZSERIALS)'!J:J,MLR!G77,'Checking(ZSERIALS)'!G:G,MLR!J77)=1,"Correct",IF(COUNTIFS('Checking(ZSERIALS)'!J:J,MLR!G77,'Checking(ZSERIALS)'!G:G,MLR!J77)=0,"Incorrect","Err.")))</f>
        <v/>
      </c>
      <c r="C77" s="63">
        <f>_xlfn.XLOOKUP(J77,'Checking(ZSERIALS)'!G:G,'Checking(ZSERIALS)'!F:F)</f>
        <v>0</v>
      </c>
      <c r="E77" s="98"/>
      <c r="F77" s="95"/>
      <c r="G77" s="120"/>
      <c r="H77" s="95"/>
      <c r="I77" s="95"/>
      <c r="J77" s="95"/>
      <c r="K77" s="95"/>
      <c r="L77" s="67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</row>
    <row r="78" spans="1:37" hidden="1" x14ac:dyDescent="0.3">
      <c r="A78">
        <f>_xlfn.XLOOKUP(J78,'Checking(ZSERIALS)'!G:G,'Checking(ZSERIALS)'!C:C)</f>
        <v>0</v>
      </c>
      <c r="B78" s="35" t="str">
        <f>IF(J78="","",IF(COUNTIFS('Checking(ZSERIALS)'!J:J,MLR!G78,'Checking(ZSERIALS)'!G:G,MLR!J78)=1,"Correct",IF(COUNTIFS('Checking(ZSERIALS)'!J:J,MLR!G78,'Checking(ZSERIALS)'!G:G,MLR!J78)=0,"Incorrect","Err.")))</f>
        <v/>
      </c>
      <c r="C78" s="63">
        <f>_xlfn.XLOOKUP(J78,'Checking(ZSERIALS)'!G:G,'Checking(ZSERIALS)'!F:F)</f>
        <v>0</v>
      </c>
      <c r="E78" s="98"/>
      <c r="F78" s="95"/>
      <c r="G78" s="120"/>
      <c r="H78" s="95"/>
      <c r="I78" s="95"/>
      <c r="J78" s="95"/>
      <c r="K78" s="95"/>
      <c r="L78" s="67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</row>
    <row r="79" spans="1:37" hidden="1" x14ac:dyDescent="0.3">
      <c r="A79">
        <f>_xlfn.XLOOKUP(J79,'Checking(ZSERIALS)'!G:G,'Checking(ZSERIALS)'!C:C)</f>
        <v>0</v>
      </c>
      <c r="B79" s="35" t="str">
        <f>IF(J79="","",IF(COUNTIFS('Checking(ZSERIALS)'!J:J,MLR!G79,'Checking(ZSERIALS)'!G:G,MLR!J79)=1,"Correct",IF(COUNTIFS('Checking(ZSERIALS)'!J:J,MLR!G79,'Checking(ZSERIALS)'!G:G,MLR!J79)=0,"Incorrect","Err.")))</f>
        <v/>
      </c>
      <c r="C79" s="63">
        <f>_xlfn.XLOOKUP(J79,'Checking(ZSERIALS)'!G:G,'Checking(ZSERIALS)'!F:F)</f>
        <v>0</v>
      </c>
      <c r="E79" s="98"/>
      <c r="F79" s="95"/>
      <c r="G79" s="120"/>
      <c r="H79" s="95"/>
      <c r="I79" s="95"/>
      <c r="J79" s="95"/>
      <c r="K79" s="95"/>
      <c r="L79" s="67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</row>
    <row r="80" spans="1:37" hidden="1" x14ac:dyDescent="0.3">
      <c r="A80">
        <f>_xlfn.XLOOKUP(J80,'Checking(ZSERIALS)'!G:G,'Checking(ZSERIALS)'!C:C)</f>
        <v>0</v>
      </c>
      <c r="B80" s="35" t="str">
        <f>IF(J80="","",IF(COUNTIFS('Checking(ZSERIALS)'!J:J,MLR!G80,'Checking(ZSERIALS)'!G:G,MLR!J80)=1,"Correct",IF(COUNTIFS('Checking(ZSERIALS)'!J:J,MLR!G80,'Checking(ZSERIALS)'!G:G,MLR!J80)=0,"Incorrect","Err.")))</f>
        <v/>
      </c>
      <c r="C80" s="63">
        <f>_xlfn.XLOOKUP(J80,'Checking(ZSERIALS)'!G:G,'Checking(ZSERIALS)'!F:F)</f>
        <v>0</v>
      </c>
      <c r="E80" s="98"/>
      <c r="F80" s="95"/>
      <c r="G80" s="120"/>
      <c r="H80" s="95"/>
      <c r="I80" s="95"/>
      <c r="J80" s="95"/>
      <c r="K80" s="95"/>
      <c r="L80" s="67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</row>
    <row r="81" spans="1:37" hidden="1" x14ac:dyDescent="0.3">
      <c r="A81">
        <f>_xlfn.XLOOKUP(J81,'Checking(ZSERIALS)'!G:G,'Checking(ZSERIALS)'!C:C)</f>
        <v>0</v>
      </c>
      <c r="B81" s="35" t="str">
        <f>IF(J81="","",IF(COUNTIFS('Checking(ZSERIALS)'!J:J,MLR!G81,'Checking(ZSERIALS)'!G:G,MLR!J81)=1,"Correct",IF(COUNTIFS('Checking(ZSERIALS)'!J:J,MLR!G81,'Checking(ZSERIALS)'!G:G,MLR!J81)=0,"Incorrect","Err.")))</f>
        <v/>
      </c>
      <c r="C81" s="63">
        <f>_xlfn.XLOOKUP(J81,'Checking(ZSERIALS)'!G:G,'Checking(ZSERIALS)'!F:F)</f>
        <v>0</v>
      </c>
      <c r="E81" s="98"/>
      <c r="F81" s="95"/>
      <c r="G81" s="120"/>
      <c r="H81" s="95"/>
      <c r="I81" s="95"/>
      <c r="J81" s="95"/>
      <c r="K81" s="95"/>
      <c r="L81" s="67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</row>
    <row r="82" spans="1:37" hidden="1" x14ac:dyDescent="0.3">
      <c r="A82">
        <f>_xlfn.XLOOKUP(J82,'Checking(ZSERIALS)'!G:G,'Checking(ZSERIALS)'!C:C)</f>
        <v>0</v>
      </c>
      <c r="B82" s="35" t="str">
        <f>IF(J82="","",IF(COUNTIFS('Checking(ZSERIALS)'!J:J,MLR!G82,'Checking(ZSERIALS)'!G:G,MLR!J82)=1,"Correct",IF(COUNTIFS('Checking(ZSERIALS)'!J:J,MLR!G82,'Checking(ZSERIALS)'!G:G,MLR!J82)=0,"Incorrect","Err.")))</f>
        <v/>
      </c>
      <c r="C82" s="63">
        <f>_xlfn.XLOOKUP(J82,'Checking(ZSERIALS)'!G:G,'Checking(ZSERIALS)'!F:F)</f>
        <v>0</v>
      </c>
      <c r="E82" s="98"/>
      <c r="F82" s="95"/>
      <c r="G82" s="120"/>
      <c r="H82" s="95"/>
      <c r="I82" s="95"/>
      <c r="J82" s="95"/>
      <c r="K82" s="95"/>
      <c r="L82" s="67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</row>
    <row r="83" spans="1:37" hidden="1" x14ac:dyDescent="0.3">
      <c r="A83">
        <f>_xlfn.XLOOKUP(J83,'Checking(ZSERIALS)'!G:G,'Checking(ZSERIALS)'!C:C)</f>
        <v>0</v>
      </c>
      <c r="B83" s="35" t="str">
        <f>IF(J83="","",IF(COUNTIFS('Checking(ZSERIALS)'!J:J,MLR!G83,'Checking(ZSERIALS)'!G:G,MLR!J83)=1,"Correct",IF(COUNTIFS('Checking(ZSERIALS)'!J:J,MLR!G83,'Checking(ZSERIALS)'!G:G,MLR!J83)=0,"Incorrect","Err.")))</f>
        <v/>
      </c>
      <c r="C83" s="63">
        <f>_xlfn.XLOOKUP(J83,'Checking(ZSERIALS)'!G:G,'Checking(ZSERIALS)'!F:F)</f>
        <v>0</v>
      </c>
      <c r="E83" s="98"/>
      <c r="F83" s="95"/>
      <c r="G83" s="120"/>
      <c r="H83" s="95"/>
      <c r="I83" s="95"/>
      <c r="J83" s="95"/>
      <c r="K83" s="95"/>
      <c r="L83" s="67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95"/>
    </row>
    <row r="84" spans="1:37" hidden="1" x14ac:dyDescent="0.3">
      <c r="A84">
        <f>_xlfn.XLOOKUP(J84,'Checking(ZSERIALS)'!G:G,'Checking(ZSERIALS)'!C:C)</f>
        <v>0</v>
      </c>
      <c r="B84" s="35" t="str">
        <f>IF(J84="","",IF(COUNTIFS('Checking(ZSERIALS)'!J:J,MLR!G84,'Checking(ZSERIALS)'!G:G,MLR!J84)=1,"Correct",IF(COUNTIFS('Checking(ZSERIALS)'!J:J,MLR!G84,'Checking(ZSERIALS)'!G:G,MLR!J84)=0,"Incorrect","Err.")))</f>
        <v/>
      </c>
      <c r="C84" s="63">
        <f>_xlfn.XLOOKUP(J84,'Checking(ZSERIALS)'!G:G,'Checking(ZSERIALS)'!F:F)</f>
        <v>0</v>
      </c>
      <c r="E84" s="98"/>
      <c r="F84" s="95"/>
      <c r="G84" s="120"/>
      <c r="H84" s="95"/>
      <c r="I84" s="95"/>
      <c r="J84" s="95"/>
      <c r="K84" s="95"/>
      <c r="L84" s="67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</row>
    <row r="85" spans="1:37" hidden="1" x14ac:dyDescent="0.3">
      <c r="A85">
        <f>_xlfn.XLOOKUP(J85,'Checking(ZSERIALS)'!G:G,'Checking(ZSERIALS)'!C:C)</f>
        <v>0</v>
      </c>
      <c r="B85" s="35" t="str">
        <f>IF(J85="","",IF(COUNTIFS('Checking(ZSERIALS)'!J:J,MLR!G85,'Checking(ZSERIALS)'!G:G,MLR!J85)=1,"Correct",IF(COUNTIFS('Checking(ZSERIALS)'!J:J,MLR!G85,'Checking(ZSERIALS)'!G:G,MLR!J85)=0,"Incorrect","Err.")))</f>
        <v/>
      </c>
      <c r="C85" s="63">
        <f>_xlfn.XLOOKUP(J85,'Checking(ZSERIALS)'!G:G,'Checking(ZSERIALS)'!F:F)</f>
        <v>0</v>
      </c>
      <c r="E85" s="98"/>
      <c r="F85" s="95"/>
      <c r="G85" s="120"/>
      <c r="H85" s="95"/>
      <c r="I85" s="95"/>
      <c r="J85" s="95"/>
      <c r="K85" s="95"/>
      <c r="L85" s="67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95"/>
      <c r="AJ85" s="95"/>
      <c r="AK85" s="95"/>
    </row>
    <row r="86" spans="1:37" hidden="1" x14ac:dyDescent="0.3">
      <c r="A86">
        <f>_xlfn.XLOOKUP(J86,'Checking(ZSERIALS)'!G:G,'Checking(ZSERIALS)'!C:C)</f>
        <v>0</v>
      </c>
      <c r="B86" s="35" t="str">
        <f>IF(J86="","",IF(COUNTIFS('Checking(ZSERIALS)'!J:J,MLR!G86,'Checking(ZSERIALS)'!G:G,MLR!J86)=1,"Correct",IF(COUNTIFS('Checking(ZSERIALS)'!J:J,MLR!G86,'Checking(ZSERIALS)'!G:G,MLR!J86)=0,"Incorrect","Err.")))</f>
        <v/>
      </c>
      <c r="C86" s="63">
        <f>_xlfn.XLOOKUP(J86,'Checking(ZSERIALS)'!G:G,'Checking(ZSERIALS)'!F:F)</f>
        <v>0</v>
      </c>
      <c r="E86" s="98"/>
      <c r="F86" s="95"/>
      <c r="G86" s="120"/>
      <c r="H86" s="95"/>
      <c r="I86" s="95"/>
      <c r="J86" s="95"/>
      <c r="K86" s="95"/>
      <c r="L86" s="67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95"/>
      <c r="AJ86" s="95"/>
      <c r="AK86" s="95"/>
    </row>
    <row r="87" spans="1:37" hidden="1" x14ac:dyDescent="0.3">
      <c r="A87">
        <f>_xlfn.XLOOKUP(J87,'Checking(ZSERIALS)'!G:G,'Checking(ZSERIALS)'!C:C)</f>
        <v>0</v>
      </c>
      <c r="B87" s="35" t="str">
        <f>IF(J87="","",IF(COUNTIFS('Checking(ZSERIALS)'!J:J,MLR!G87,'Checking(ZSERIALS)'!G:G,MLR!J87)=1,"Correct",IF(COUNTIFS('Checking(ZSERIALS)'!J:J,MLR!G87,'Checking(ZSERIALS)'!G:G,MLR!J87)=0,"Incorrect","Err.")))</f>
        <v/>
      </c>
      <c r="C87" s="63">
        <f>_xlfn.XLOOKUP(J87,'Checking(ZSERIALS)'!G:G,'Checking(ZSERIALS)'!F:F)</f>
        <v>0</v>
      </c>
      <c r="E87" s="98"/>
      <c r="F87" s="95"/>
      <c r="G87" s="120"/>
      <c r="H87" s="95"/>
      <c r="I87" s="95"/>
      <c r="J87" s="95"/>
      <c r="K87" s="95"/>
      <c r="L87" s="67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95"/>
      <c r="AJ87" s="95"/>
      <c r="AK87" s="95"/>
    </row>
    <row r="88" spans="1:37" hidden="1" x14ac:dyDescent="0.3">
      <c r="A88">
        <f>_xlfn.XLOOKUP(J88,'Checking(ZSERIALS)'!G:G,'Checking(ZSERIALS)'!C:C)</f>
        <v>0</v>
      </c>
      <c r="B88" s="35" t="str">
        <f>IF(J88="","",IF(COUNTIFS('Checking(ZSERIALS)'!J:J,MLR!G88,'Checking(ZSERIALS)'!G:G,MLR!J88)=1,"Correct",IF(COUNTIFS('Checking(ZSERIALS)'!J:J,MLR!G88,'Checking(ZSERIALS)'!G:G,MLR!J88)=0,"Incorrect","Err.")))</f>
        <v/>
      </c>
      <c r="C88" s="63">
        <f>_xlfn.XLOOKUP(J88,'Checking(ZSERIALS)'!G:G,'Checking(ZSERIALS)'!F:F)</f>
        <v>0</v>
      </c>
      <c r="E88" s="98"/>
      <c r="F88" s="95"/>
      <c r="G88" s="120"/>
      <c r="H88" s="95"/>
      <c r="I88" s="95"/>
      <c r="J88" s="95"/>
      <c r="K88" s="95"/>
      <c r="L88" s="67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95"/>
    </row>
    <row r="89" spans="1:37" hidden="1" x14ac:dyDescent="0.3">
      <c r="A89">
        <f>_xlfn.XLOOKUP(J89,'Checking(ZSERIALS)'!G:G,'Checking(ZSERIALS)'!C:C)</f>
        <v>0</v>
      </c>
      <c r="B89" s="35" t="str">
        <f>IF(J89="","",IF(COUNTIFS('Checking(ZSERIALS)'!J:J,MLR!G89,'Checking(ZSERIALS)'!G:G,MLR!J89)=1,"Correct",IF(COUNTIFS('Checking(ZSERIALS)'!J:J,MLR!G89,'Checking(ZSERIALS)'!G:G,MLR!J89)=0,"Incorrect","Err.")))</f>
        <v/>
      </c>
      <c r="C89" s="63">
        <f>_xlfn.XLOOKUP(J89,'Checking(ZSERIALS)'!G:G,'Checking(ZSERIALS)'!F:F)</f>
        <v>0</v>
      </c>
      <c r="E89" s="98"/>
      <c r="F89" s="95"/>
      <c r="G89" s="120"/>
      <c r="H89" s="95"/>
      <c r="I89" s="95"/>
      <c r="J89" s="95"/>
      <c r="K89" s="95"/>
      <c r="L89" s="67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I89" s="95"/>
      <c r="AJ89" s="95"/>
      <c r="AK89" s="95"/>
    </row>
    <row r="90" spans="1:37" hidden="1" x14ac:dyDescent="0.3">
      <c r="A90">
        <f>_xlfn.XLOOKUP(J90,'Checking(ZSERIALS)'!G:G,'Checking(ZSERIALS)'!C:C)</f>
        <v>0</v>
      </c>
      <c r="B90" s="35" t="str">
        <f>IF(J90="","",IF(COUNTIFS('Checking(ZSERIALS)'!J:J,MLR!G90,'Checking(ZSERIALS)'!G:G,MLR!J90)=1,"Correct",IF(COUNTIFS('Checking(ZSERIALS)'!J:J,MLR!G90,'Checking(ZSERIALS)'!G:G,MLR!J90)=0,"Incorrect","Err.")))</f>
        <v/>
      </c>
      <c r="C90" s="63">
        <f>_xlfn.XLOOKUP(J90,'Checking(ZSERIALS)'!G:G,'Checking(ZSERIALS)'!F:F)</f>
        <v>0</v>
      </c>
      <c r="E90" s="98"/>
      <c r="F90" s="95"/>
      <c r="G90" s="120"/>
      <c r="H90" s="95"/>
      <c r="I90" s="95"/>
      <c r="J90" s="95"/>
      <c r="K90" s="95"/>
      <c r="L90" s="67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95"/>
    </row>
    <row r="91" spans="1:37" hidden="1" x14ac:dyDescent="0.3">
      <c r="A91">
        <f>_xlfn.XLOOKUP(J91,'Checking(ZSERIALS)'!G:G,'Checking(ZSERIALS)'!C:C)</f>
        <v>0</v>
      </c>
      <c r="B91" s="35" t="str">
        <f>IF(J91="","",IF(COUNTIFS('Checking(ZSERIALS)'!J:J,MLR!G91,'Checking(ZSERIALS)'!G:G,MLR!J91)=1,"Correct",IF(COUNTIFS('Checking(ZSERIALS)'!J:J,MLR!G91,'Checking(ZSERIALS)'!G:G,MLR!J91)=0,"Incorrect","Err.")))</f>
        <v/>
      </c>
      <c r="C91" s="63">
        <f>_xlfn.XLOOKUP(J91,'Checking(ZSERIALS)'!G:G,'Checking(ZSERIALS)'!F:F)</f>
        <v>0</v>
      </c>
      <c r="E91" s="98"/>
      <c r="F91" s="95"/>
      <c r="G91" s="120"/>
      <c r="H91" s="95"/>
      <c r="I91" s="95"/>
      <c r="J91" s="95"/>
      <c r="K91" s="95"/>
      <c r="L91" s="67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</row>
    <row r="92" spans="1:37" hidden="1" x14ac:dyDescent="0.3">
      <c r="A92">
        <f>_xlfn.XLOOKUP(J92,'Checking(ZSERIALS)'!G:G,'Checking(ZSERIALS)'!C:C)</f>
        <v>0</v>
      </c>
      <c r="B92" s="35" t="str">
        <f>IF(J92="","",IF(COUNTIFS('Checking(ZSERIALS)'!J:J,MLR!G92,'Checking(ZSERIALS)'!G:G,MLR!J92)=1,"Correct",IF(COUNTIFS('Checking(ZSERIALS)'!J:J,MLR!G92,'Checking(ZSERIALS)'!G:G,MLR!J92)=0,"Incorrect","Err.")))</f>
        <v/>
      </c>
      <c r="C92" s="63">
        <f>_xlfn.XLOOKUP(J92,'Checking(ZSERIALS)'!G:G,'Checking(ZSERIALS)'!F:F)</f>
        <v>0</v>
      </c>
      <c r="E92" s="98"/>
      <c r="F92" s="95"/>
      <c r="G92" s="120"/>
      <c r="H92" s="95"/>
      <c r="I92" s="95"/>
      <c r="J92" s="95"/>
      <c r="K92" s="95"/>
      <c r="L92" s="67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</row>
    <row r="93" spans="1:37" hidden="1" x14ac:dyDescent="0.3">
      <c r="A93">
        <f>_xlfn.XLOOKUP(J93,'Checking(ZSERIALS)'!G:G,'Checking(ZSERIALS)'!C:C)</f>
        <v>0</v>
      </c>
      <c r="B93" s="35" t="str">
        <f>IF(J93="","",IF(COUNTIFS('Checking(ZSERIALS)'!J:J,MLR!G93,'Checking(ZSERIALS)'!G:G,MLR!J93)=1,"Correct",IF(COUNTIFS('Checking(ZSERIALS)'!J:J,MLR!G93,'Checking(ZSERIALS)'!G:G,MLR!J93)=0,"Incorrect","Err.")))</f>
        <v/>
      </c>
      <c r="C93" s="63">
        <f>_xlfn.XLOOKUP(J93,'Checking(ZSERIALS)'!G:G,'Checking(ZSERIALS)'!F:F)</f>
        <v>0</v>
      </c>
      <c r="E93" s="98"/>
      <c r="F93" s="95"/>
      <c r="G93" s="120"/>
      <c r="H93" s="95"/>
      <c r="I93" s="95"/>
      <c r="J93" s="95"/>
      <c r="K93" s="95"/>
      <c r="L93" s="67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</row>
    <row r="94" spans="1:37" hidden="1" x14ac:dyDescent="0.3">
      <c r="A94">
        <f>_xlfn.XLOOKUP(J94,'Checking(ZSERIALS)'!G:G,'Checking(ZSERIALS)'!C:C)</f>
        <v>0</v>
      </c>
      <c r="B94" s="35" t="str">
        <f>IF(J94="","",IF(COUNTIFS('Checking(ZSERIALS)'!J:J,MLR!G94,'Checking(ZSERIALS)'!G:G,MLR!J94)=1,"Correct",IF(COUNTIFS('Checking(ZSERIALS)'!J:J,MLR!G94,'Checking(ZSERIALS)'!G:G,MLR!J94)=0,"Incorrect","Err.")))</f>
        <v/>
      </c>
      <c r="C94" s="63">
        <f>_xlfn.XLOOKUP(J94,'Checking(ZSERIALS)'!G:G,'Checking(ZSERIALS)'!F:F)</f>
        <v>0</v>
      </c>
      <c r="E94" s="98"/>
      <c r="F94" s="95"/>
      <c r="G94" s="120"/>
      <c r="H94" s="95"/>
      <c r="I94" s="95"/>
      <c r="J94" s="95"/>
      <c r="K94" s="95"/>
      <c r="L94" s="67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95"/>
    </row>
    <row r="95" spans="1:37" hidden="1" x14ac:dyDescent="0.3">
      <c r="A95">
        <f>_xlfn.XLOOKUP(J95,'Checking(ZSERIALS)'!G:G,'Checking(ZSERIALS)'!C:C)</f>
        <v>0</v>
      </c>
      <c r="B95" s="35" t="str">
        <f>IF(J95="","",IF(COUNTIFS('Checking(ZSERIALS)'!J:J,MLR!G95,'Checking(ZSERIALS)'!G:G,MLR!J95)=1,"Correct",IF(COUNTIFS('Checking(ZSERIALS)'!J:J,MLR!G95,'Checking(ZSERIALS)'!G:G,MLR!J95)=0,"Incorrect","Err.")))</f>
        <v/>
      </c>
      <c r="C95" s="63">
        <f>_xlfn.XLOOKUP(J95,'Checking(ZSERIALS)'!G:G,'Checking(ZSERIALS)'!F:F)</f>
        <v>0</v>
      </c>
      <c r="E95" s="98"/>
      <c r="F95" s="95"/>
      <c r="G95" s="120"/>
      <c r="H95" s="95"/>
      <c r="I95" s="95"/>
      <c r="J95" s="95"/>
      <c r="K95" s="95"/>
      <c r="L95" s="67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</row>
    <row r="96" spans="1:37" hidden="1" x14ac:dyDescent="0.3">
      <c r="A96">
        <f>_xlfn.XLOOKUP(J96,'Checking(ZSERIALS)'!G:G,'Checking(ZSERIALS)'!C:C)</f>
        <v>0</v>
      </c>
      <c r="B96" s="35" t="str">
        <f>IF(J96="","",IF(COUNTIFS('Checking(ZSERIALS)'!J:J,MLR!G96,'Checking(ZSERIALS)'!G:G,MLR!J96)=1,"Correct",IF(COUNTIFS('Checking(ZSERIALS)'!J:J,MLR!G96,'Checking(ZSERIALS)'!G:G,MLR!J96)=0,"Incorrect","Err.")))</f>
        <v/>
      </c>
      <c r="C96" s="63">
        <f>_xlfn.XLOOKUP(J96,'Checking(ZSERIALS)'!G:G,'Checking(ZSERIALS)'!F:F)</f>
        <v>0</v>
      </c>
      <c r="E96" s="98"/>
      <c r="F96" s="95"/>
      <c r="G96" s="120"/>
      <c r="H96" s="95"/>
      <c r="I96" s="95"/>
      <c r="J96" s="95"/>
      <c r="K96" s="95"/>
      <c r="L96" s="67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5"/>
      <c r="AK96" s="95"/>
    </row>
    <row r="97" spans="1:37" hidden="1" x14ac:dyDescent="0.3">
      <c r="A97">
        <f>_xlfn.XLOOKUP(J97,'Checking(ZSERIALS)'!G:G,'Checking(ZSERIALS)'!C:C)</f>
        <v>0</v>
      </c>
      <c r="B97" s="35" t="str">
        <f>IF(J97="","",IF(COUNTIFS('Checking(ZSERIALS)'!J:J,MLR!G97,'Checking(ZSERIALS)'!G:G,MLR!J97)=1,"Correct",IF(COUNTIFS('Checking(ZSERIALS)'!J:J,MLR!G97,'Checking(ZSERIALS)'!G:G,MLR!J97)=0,"Incorrect","Err.")))</f>
        <v/>
      </c>
      <c r="C97" s="63">
        <f>_xlfn.XLOOKUP(J97,'Checking(ZSERIALS)'!G:G,'Checking(ZSERIALS)'!F:F)</f>
        <v>0</v>
      </c>
      <c r="E97" s="98"/>
      <c r="F97" s="95"/>
      <c r="G97" s="120"/>
      <c r="H97" s="95"/>
      <c r="I97" s="95"/>
      <c r="J97" s="95"/>
      <c r="K97" s="95"/>
      <c r="L97" s="67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5"/>
      <c r="AK97" s="95"/>
    </row>
    <row r="98" spans="1:37" hidden="1" x14ac:dyDescent="0.3">
      <c r="A98">
        <f>_xlfn.XLOOKUP(J98,'Checking(ZSERIALS)'!G:G,'Checking(ZSERIALS)'!C:C)</f>
        <v>0</v>
      </c>
      <c r="B98" s="35" t="str">
        <f>IF(J98="","",IF(COUNTIFS('Checking(ZSERIALS)'!J:J,MLR!G98,'Checking(ZSERIALS)'!G:G,MLR!J98)=1,"Correct",IF(COUNTIFS('Checking(ZSERIALS)'!J:J,MLR!G98,'Checking(ZSERIALS)'!G:G,MLR!J98)=0,"Incorrect","Err.")))</f>
        <v/>
      </c>
      <c r="C98" s="63">
        <f>_xlfn.XLOOKUP(J98,'Checking(ZSERIALS)'!G:G,'Checking(ZSERIALS)'!F:F)</f>
        <v>0</v>
      </c>
      <c r="E98" s="98"/>
      <c r="F98" s="95"/>
      <c r="G98" s="120"/>
      <c r="H98" s="95"/>
      <c r="I98" s="95"/>
      <c r="J98" s="95"/>
      <c r="K98" s="95"/>
      <c r="L98" s="67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5"/>
      <c r="AK98" s="95"/>
    </row>
    <row r="99" spans="1:37" hidden="1" x14ac:dyDescent="0.3">
      <c r="A99">
        <f>_xlfn.XLOOKUP(J99,'Checking(ZSERIALS)'!G:G,'Checking(ZSERIALS)'!C:C)</f>
        <v>0</v>
      </c>
      <c r="B99" s="35" t="str">
        <f>IF(J99="","",IF(COUNTIFS('Checking(ZSERIALS)'!J:J,MLR!G99,'Checking(ZSERIALS)'!G:G,MLR!J99)=1,"Correct",IF(COUNTIFS('Checking(ZSERIALS)'!J:J,MLR!G99,'Checking(ZSERIALS)'!G:G,MLR!J99)=0,"Incorrect","Err.")))</f>
        <v/>
      </c>
      <c r="C99" s="63">
        <f>_xlfn.XLOOKUP(J99,'Checking(ZSERIALS)'!G:G,'Checking(ZSERIALS)'!F:F)</f>
        <v>0</v>
      </c>
      <c r="E99" s="98"/>
      <c r="F99" s="95"/>
      <c r="G99" s="120"/>
      <c r="H99" s="95"/>
      <c r="I99" s="95"/>
      <c r="J99" s="95"/>
      <c r="K99" s="95"/>
      <c r="L99" s="67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</row>
    <row r="100" spans="1:37" hidden="1" x14ac:dyDescent="0.3">
      <c r="A100">
        <f>_xlfn.XLOOKUP(J100,'Checking(ZSERIALS)'!G:G,'Checking(ZSERIALS)'!C:C)</f>
        <v>0</v>
      </c>
      <c r="B100" s="35" t="str">
        <f>IF(J100="","",IF(COUNTIFS('Checking(ZSERIALS)'!J:J,MLR!G100,'Checking(ZSERIALS)'!G:G,MLR!J100)=1,"Correct",IF(COUNTIFS('Checking(ZSERIALS)'!J:J,MLR!G100,'Checking(ZSERIALS)'!G:G,MLR!J100)=0,"Incorrect","Err.")))</f>
        <v/>
      </c>
      <c r="C100" s="63">
        <f>_xlfn.XLOOKUP(J100,'Checking(ZSERIALS)'!G:G,'Checking(ZSERIALS)'!F:F)</f>
        <v>0</v>
      </c>
      <c r="E100" s="98"/>
      <c r="F100" s="95"/>
      <c r="G100" s="120"/>
      <c r="H100" s="95"/>
      <c r="I100" s="95"/>
      <c r="J100" s="95"/>
      <c r="K100" s="95"/>
      <c r="L100" s="67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</row>
    <row r="101" spans="1:37" hidden="1" x14ac:dyDescent="0.3">
      <c r="A101">
        <f>_xlfn.XLOOKUP(J101,'Checking(ZSERIALS)'!G:G,'Checking(ZSERIALS)'!C:C)</f>
        <v>0</v>
      </c>
      <c r="B101" s="35" t="str">
        <f>IF(J101="","",IF(COUNTIFS('Checking(ZSERIALS)'!J:J,MLR!G101,'Checking(ZSERIALS)'!G:G,MLR!J101)=1,"Correct",IF(COUNTIFS('Checking(ZSERIALS)'!J:J,MLR!G101,'Checking(ZSERIALS)'!G:G,MLR!J101)=0,"Incorrect","Err.")))</f>
        <v/>
      </c>
      <c r="C101" s="63">
        <f>_xlfn.XLOOKUP(J101,'Checking(ZSERIALS)'!G:G,'Checking(ZSERIALS)'!F:F)</f>
        <v>0</v>
      </c>
      <c r="E101" s="98"/>
      <c r="F101" s="95"/>
      <c r="G101" s="120"/>
      <c r="H101" s="95"/>
      <c r="I101" s="95"/>
      <c r="J101" s="95"/>
      <c r="K101" s="95"/>
      <c r="L101" s="67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</row>
    <row r="102" spans="1:37" hidden="1" x14ac:dyDescent="0.3">
      <c r="A102">
        <f>_xlfn.XLOOKUP(J102,'Checking(ZSERIALS)'!G:G,'Checking(ZSERIALS)'!C:C)</f>
        <v>0</v>
      </c>
      <c r="B102" s="35" t="str">
        <f>IF(J102="","",IF(COUNTIFS('Checking(ZSERIALS)'!J:J,MLR!G102,'Checking(ZSERIALS)'!G:G,MLR!J102)=1,"Correct",IF(COUNTIFS('Checking(ZSERIALS)'!J:J,MLR!G102,'Checking(ZSERIALS)'!G:G,MLR!J102)=0,"Incorrect","Err.")))</f>
        <v/>
      </c>
      <c r="C102" s="63">
        <f>_xlfn.XLOOKUP(J102,'Checking(ZSERIALS)'!G:G,'Checking(ZSERIALS)'!F:F)</f>
        <v>0</v>
      </c>
      <c r="E102" s="98"/>
      <c r="F102" s="95"/>
      <c r="G102" s="120"/>
      <c r="H102" s="95"/>
      <c r="I102" s="95"/>
      <c r="J102" s="95"/>
      <c r="K102" s="95"/>
      <c r="L102" s="67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95"/>
      <c r="AJ102" s="95"/>
      <c r="AK102" s="95"/>
    </row>
    <row r="103" spans="1:37" hidden="1" x14ac:dyDescent="0.3">
      <c r="A103">
        <f>_xlfn.XLOOKUP(J103,'Checking(ZSERIALS)'!G:G,'Checking(ZSERIALS)'!C:C)</f>
        <v>0</v>
      </c>
      <c r="B103" s="35" t="str">
        <f>IF(J103="","",IF(COUNTIFS('Checking(ZSERIALS)'!J:J,MLR!G103,'Checking(ZSERIALS)'!G:G,MLR!J103)=1,"Correct",IF(COUNTIFS('Checking(ZSERIALS)'!J:J,MLR!G103,'Checking(ZSERIALS)'!G:G,MLR!J103)=0,"Incorrect","Err.")))</f>
        <v/>
      </c>
      <c r="C103" s="63">
        <f>_xlfn.XLOOKUP(J103,'Checking(ZSERIALS)'!G:G,'Checking(ZSERIALS)'!F:F)</f>
        <v>0</v>
      </c>
      <c r="E103" s="98"/>
      <c r="F103" s="95"/>
      <c r="G103" s="120"/>
      <c r="H103" s="95"/>
      <c r="I103" s="95"/>
      <c r="J103" s="95"/>
      <c r="K103" s="95"/>
      <c r="L103" s="67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</row>
    <row r="104" spans="1:37" hidden="1" x14ac:dyDescent="0.3">
      <c r="A104">
        <f>_xlfn.XLOOKUP(J104,'Checking(ZSERIALS)'!G:G,'Checking(ZSERIALS)'!C:C)</f>
        <v>0</v>
      </c>
      <c r="B104" s="35" t="str">
        <f>IF(J104="","",IF(COUNTIFS('Checking(ZSERIALS)'!J:J,MLR!G104,'Checking(ZSERIALS)'!G:G,MLR!J104)=1,"Correct",IF(COUNTIFS('Checking(ZSERIALS)'!J:J,MLR!G104,'Checking(ZSERIALS)'!G:G,MLR!J104)=0,"Incorrect","Err.")))</f>
        <v/>
      </c>
      <c r="C104" s="63">
        <f>_xlfn.XLOOKUP(J104,'Checking(ZSERIALS)'!G:G,'Checking(ZSERIALS)'!F:F)</f>
        <v>0</v>
      </c>
      <c r="E104" s="98"/>
      <c r="F104" s="95"/>
      <c r="G104" s="120"/>
      <c r="H104" s="95"/>
      <c r="I104" s="95"/>
      <c r="J104" s="95"/>
      <c r="K104" s="95"/>
      <c r="L104" s="67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  <c r="AK104" s="95"/>
    </row>
    <row r="105" spans="1:37" hidden="1" x14ac:dyDescent="0.3">
      <c r="A105">
        <f>_xlfn.XLOOKUP(J105,'Checking(ZSERIALS)'!G:G,'Checking(ZSERIALS)'!C:C)</f>
        <v>0</v>
      </c>
      <c r="B105" s="35" t="str">
        <f>IF(J105="","",IF(COUNTIFS('Checking(ZSERIALS)'!J:J,MLR!G105,'Checking(ZSERIALS)'!G:G,MLR!J105)=1,"Correct",IF(COUNTIFS('Checking(ZSERIALS)'!J:J,MLR!G105,'Checking(ZSERIALS)'!G:G,MLR!J105)=0,"Incorrect","Err.")))</f>
        <v/>
      </c>
      <c r="C105" s="63">
        <f>_xlfn.XLOOKUP(J105,'Checking(ZSERIALS)'!G:G,'Checking(ZSERIALS)'!F:F)</f>
        <v>0</v>
      </c>
      <c r="E105" s="98"/>
      <c r="F105" s="95"/>
      <c r="G105" s="120"/>
      <c r="H105" s="95"/>
      <c r="I105" s="95"/>
      <c r="J105" s="95"/>
      <c r="K105" s="95"/>
      <c r="L105" s="67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</row>
    <row r="106" spans="1:37" hidden="1" x14ac:dyDescent="0.3">
      <c r="A106">
        <f>_xlfn.XLOOKUP(J106,'Checking(ZSERIALS)'!G:G,'Checking(ZSERIALS)'!C:C)</f>
        <v>0</v>
      </c>
      <c r="B106" s="35" t="str">
        <f>IF(J106="","",IF(COUNTIFS('Checking(ZSERIALS)'!J:J,MLR!G106,'Checking(ZSERIALS)'!G:G,MLR!J106)=1,"Correct",IF(COUNTIFS('Checking(ZSERIALS)'!J:J,MLR!G106,'Checking(ZSERIALS)'!G:G,MLR!J106)=0,"Incorrect","Err.")))</f>
        <v/>
      </c>
      <c r="C106" s="63">
        <f>_xlfn.XLOOKUP(J106,'Checking(ZSERIALS)'!G:G,'Checking(ZSERIALS)'!F:F)</f>
        <v>0</v>
      </c>
      <c r="E106" s="98"/>
      <c r="F106" s="95"/>
      <c r="G106" s="120"/>
      <c r="H106" s="95"/>
      <c r="I106" s="95"/>
      <c r="J106" s="95"/>
      <c r="K106" s="95"/>
      <c r="L106" s="67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</row>
    <row r="107" spans="1:37" hidden="1" x14ac:dyDescent="0.3">
      <c r="A107">
        <f>_xlfn.XLOOKUP(J107,'Checking(ZSERIALS)'!G:G,'Checking(ZSERIALS)'!C:C)</f>
        <v>0</v>
      </c>
      <c r="B107" s="35" t="str">
        <f>IF(J107="","",IF(COUNTIFS('Checking(ZSERIALS)'!J:J,MLR!G107,'Checking(ZSERIALS)'!G:G,MLR!J107)=1,"Correct",IF(COUNTIFS('Checking(ZSERIALS)'!J:J,MLR!G107,'Checking(ZSERIALS)'!G:G,MLR!J107)=0,"Incorrect","Err.")))</f>
        <v/>
      </c>
      <c r="C107" s="63">
        <f>_xlfn.XLOOKUP(J107,'Checking(ZSERIALS)'!G:G,'Checking(ZSERIALS)'!F:F)</f>
        <v>0</v>
      </c>
      <c r="E107" s="98"/>
      <c r="F107" s="95"/>
      <c r="G107" s="120"/>
      <c r="H107" s="95"/>
      <c r="I107" s="95"/>
      <c r="J107" s="95"/>
      <c r="K107" s="95"/>
      <c r="L107" s="67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I107" s="95"/>
      <c r="AJ107" s="95"/>
      <c r="AK107" s="95"/>
    </row>
    <row r="108" spans="1:37" hidden="1" x14ac:dyDescent="0.3">
      <c r="A108">
        <f>_xlfn.XLOOKUP(J108,'Checking(ZSERIALS)'!G:G,'Checking(ZSERIALS)'!C:C)</f>
        <v>0</v>
      </c>
      <c r="B108" s="35" t="str">
        <f>IF(J108="","",IF(COUNTIFS('Checking(ZSERIALS)'!J:J,MLR!G108,'Checking(ZSERIALS)'!G:G,MLR!J108)=1,"Correct",IF(COUNTIFS('Checking(ZSERIALS)'!J:J,MLR!G108,'Checking(ZSERIALS)'!G:G,MLR!J108)=0,"Incorrect","Err.")))</f>
        <v/>
      </c>
      <c r="C108" s="63">
        <f>_xlfn.XLOOKUP(J108,'Checking(ZSERIALS)'!G:G,'Checking(ZSERIALS)'!F:F)</f>
        <v>0</v>
      </c>
      <c r="E108" s="98"/>
      <c r="F108" s="95"/>
      <c r="G108" s="120"/>
      <c r="H108" s="95"/>
      <c r="I108" s="95"/>
      <c r="J108" s="95"/>
      <c r="K108" s="95"/>
      <c r="L108" s="67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I108" s="95"/>
      <c r="AJ108" s="95"/>
      <c r="AK108" s="95"/>
    </row>
    <row r="109" spans="1:37" hidden="1" x14ac:dyDescent="0.3">
      <c r="A109">
        <f>_xlfn.XLOOKUP(J109,'Checking(ZSERIALS)'!G:G,'Checking(ZSERIALS)'!C:C)</f>
        <v>0</v>
      </c>
      <c r="B109" s="35" t="str">
        <f>IF(J109="","",IF(COUNTIFS('Checking(ZSERIALS)'!J:J,MLR!G109,'Checking(ZSERIALS)'!G:G,MLR!J109)=1,"Correct",IF(COUNTIFS('Checking(ZSERIALS)'!J:J,MLR!G109,'Checking(ZSERIALS)'!G:G,MLR!J109)=0,"Incorrect","Err.")))</f>
        <v/>
      </c>
      <c r="C109" s="63">
        <f>_xlfn.XLOOKUP(J109,'Checking(ZSERIALS)'!G:G,'Checking(ZSERIALS)'!F:F)</f>
        <v>0</v>
      </c>
      <c r="E109" s="98"/>
      <c r="F109" s="95"/>
      <c r="G109" s="120"/>
      <c r="H109" s="95"/>
      <c r="I109" s="95"/>
      <c r="J109" s="95"/>
      <c r="K109" s="95"/>
      <c r="L109" s="67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95"/>
      <c r="AJ109" s="95"/>
      <c r="AK109" s="95"/>
    </row>
    <row r="110" spans="1:37" hidden="1" x14ac:dyDescent="0.3">
      <c r="A110">
        <f>_xlfn.XLOOKUP(J110,'Checking(ZSERIALS)'!G:G,'Checking(ZSERIALS)'!C:C)</f>
        <v>0</v>
      </c>
      <c r="B110" s="35" t="str">
        <f>IF(J110="","",IF(COUNTIFS('Checking(ZSERIALS)'!J:J,MLR!G110,'Checking(ZSERIALS)'!G:G,MLR!J110)=1,"Correct",IF(COUNTIFS('Checking(ZSERIALS)'!J:J,MLR!G110,'Checking(ZSERIALS)'!G:G,MLR!J110)=0,"Incorrect","Err.")))</f>
        <v/>
      </c>
      <c r="C110" s="63">
        <f>_xlfn.XLOOKUP(J110,'Checking(ZSERIALS)'!G:G,'Checking(ZSERIALS)'!F:F)</f>
        <v>0</v>
      </c>
      <c r="E110" s="98"/>
      <c r="F110" s="95"/>
      <c r="G110" s="120"/>
      <c r="H110" s="95"/>
      <c r="I110" s="95"/>
      <c r="J110" s="95"/>
      <c r="K110" s="95"/>
      <c r="L110" s="67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</row>
    <row r="111" spans="1:37" hidden="1" x14ac:dyDescent="0.3">
      <c r="A111">
        <f>_xlfn.XLOOKUP(J111,'Checking(ZSERIALS)'!G:G,'Checking(ZSERIALS)'!C:C)</f>
        <v>0</v>
      </c>
      <c r="B111" s="35" t="str">
        <f>IF(J111="","",IF(COUNTIFS('Checking(ZSERIALS)'!J:J,MLR!G111,'Checking(ZSERIALS)'!G:G,MLR!J111)=1,"Correct",IF(COUNTIFS('Checking(ZSERIALS)'!J:J,MLR!G111,'Checking(ZSERIALS)'!G:G,MLR!J111)=0,"Incorrect","Err.")))</f>
        <v/>
      </c>
      <c r="C111" s="63">
        <f>_xlfn.XLOOKUP(J111,'Checking(ZSERIALS)'!G:G,'Checking(ZSERIALS)'!F:F)</f>
        <v>0</v>
      </c>
      <c r="E111" s="98"/>
      <c r="F111" s="95"/>
      <c r="G111" s="120"/>
      <c r="H111" s="95"/>
      <c r="I111" s="95"/>
      <c r="J111" s="95"/>
      <c r="K111" s="95"/>
      <c r="L111" s="67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</row>
    <row r="112" spans="1:37" hidden="1" x14ac:dyDescent="0.3">
      <c r="A112">
        <f>_xlfn.XLOOKUP(J112,'Checking(ZSERIALS)'!G:G,'Checking(ZSERIALS)'!C:C)</f>
        <v>0</v>
      </c>
      <c r="B112" s="35" t="str">
        <f>IF(J112="","",IF(COUNTIFS('Checking(ZSERIALS)'!J:J,MLR!G112,'Checking(ZSERIALS)'!G:G,MLR!J112)=1,"Correct",IF(COUNTIFS('Checking(ZSERIALS)'!J:J,MLR!G112,'Checking(ZSERIALS)'!G:G,MLR!J112)=0,"Incorrect","Err.")))</f>
        <v/>
      </c>
      <c r="C112" s="63">
        <f>_xlfn.XLOOKUP(J112,'Checking(ZSERIALS)'!G:G,'Checking(ZSERIALS)'!F:F)</f>
        <v>0</v>
      </c>
      <c r="E112" s="98"/>
      <c r="F112" s="95"/>
      <c r="G112" s="120"/>
      <c r="H112" s="95"/>
      <c r="I112" s="95"/>
      <c r="J112" s="95"/>
      <c r="K112" s="95"/>
      <c r="L112" s="67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95"/>
      <c r="AJ112" s="95"/>
      <c r="AK112" s="95"/>
    </row>
    <row r="113" spans="1:37" hidden="1" x14ac:dyDescent="0.3">
      <c r="A113">
        <f>_xlfn.XLOOKUP(J113,'Checking(ZSERIALS)'!G:G,'Checking(ZSERIALS)'!C:C)</f>
        <v>0</v>
      </c>
      <c r="B113" s="35" t="str">
        <f>IF(J113="","",IF(COUNTIFS('Checking(ZSERIALS)'!J:J,MLR!G113,'Checking(ZSERIALS)'!G:G,MLR!J113)=1,"Correct",IF(COUNTIFS('Checking(ZSERIALS)'!J:J,MLR!G113,'Checking(ZSERIALS)'!G:G,MLR!J113)=0,"Incorrect","Err.")))</f>
        <v/>
      </c>
      <c r="C113" s="63">
        <f>_xlfn.XLOOKUP(J113,'Checking(ZSERIALS)'!G:G,'Checking(ZSERIALS)'!F:F)</f>
        <v>0</v>
      </c>
      <c r="E113" s="98"/>
      <c r="F113" s="95"/>
      <c r="G113" s="120"/>
      <c r="H113" s="95"/>
      <c r="I113" s="95"/>
      <c r="J113" s="95"/>
      <c r="K113" s="95"/>
      <c r="L113" s="67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95"/>
      <c r="AJ113" s="95"/>
      <c r="AK113" s="95"/>
    </row>
    <row r="114" spans="1:37" hidden="1" x14ac:dyDescent="0.3">
      <c r="A114">
        <f>_xlfn.XLOOKUP(J114,'Checking(ZSERIALS)'!G:G,'Checking(ZSERIALS)'!C:C)</f>
        <v>0</v>
      </c>
      <c r="B114" s="35" t="str">
        <f>IF(J114="","",IF(COUNTIFS('Checking(ZSERIALS)'!J:J,MLR!G114,'Checking(ZSERIALS)'!G:G,MLR!J114)=1,"Correct",IF(COUNTIFS('Checking(ZSERIALS)'!J:J,MLR!G114,'Checking(ZSERIALS)'!G:G,MLR!J114)=0,"Incorrect","Err.")))</f>
        <v/>
      </c>
      <c r="C114" s="63">
        <f>_xlfn.XLOOKUP(J114,'Checking(ZSERIALS)'!G:G,'Checking(ZSERIALS)'!F:F)</f>
        <v>0</v>
      </c>
      <c r="E114" s="98"/>
      <c r="F114" s="95"/>
      <c r="G114" s="120"/>
      <c r="H114" s="95"/>
      <c r="I114" s="95"/>
      <c r="J114" s="95"/>
      <c r="K114" s="95"/>
      <c r="L114" s="67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95"/>
      <c r="AJ114" s="95"/>
      <c r="AK114" s="95"/>
    </row>
    <row r="115" spans="1:37" hidden="1" x14ac:dyDescent="0.3">
      <c r="A115">
        <f>_xlfn.XLOOKUP(J115,'Checking(ZSERIALS)'!G:G,'Checking(ZSERIALS)'!C:C)</f>
        <v>0</v>
      </c>
      <c r="B115" s="35" t="str">
        <f>IF(J115="","",IF(COUNTIFS('Checking(ZSERIALS)'!J:J,MLR!G115,'Checking(ZSERIALS)'!G:G,MLR!J115)=1,"Correct",IF(COUNTIFS('Checking(ZSERIALS)'!J:J,MLR!G115,'Checking(ZSERIALS)'!G:G,MLR!J115)=0,"Incorrect","Err.")))</f>
        <v/>
      </c>
      <c r="C115" s="63">
        <f>_xlfn.XLOOKUP(J115,'Checking(ZSERIALS)'!G:G,'Checking(ZSERIALS)'!F:F)</f>
        <v>0</v>
      </c>
      <c r="E115" s="98"/>
      <c r="F115" s="95"/>
      <c r="G115" s="120"/>
      <c r="H115" s="95"/>
      <c r="I115" s="95"/>
      <c r="J115" s="95"/>
      <c r="K115" s="95"/>
      <c r="L115" s="67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</row>
    <row r="116" spans="1:37" hidden="1" x14ac:dyDescent="0.3">
      <c r="A116">
        <f>_xlfn.XLOOKUP(J116,'Checking(ZSERIALS)'!G:G,'Checking(ZSERIALS)'!C:C)</f>
        <v>0</v>
      </c>
      <c r="B116" s="35" t="str">
        <f>IF(J116="","",IF(COUNTIFS('Checking(ZSERIALS)'!J:J,MLR!G116,'Checking(ZSERIALS)'!G:G,MLR!J116)=1,"Correct",IF(COUNTIFS('Checking(ZSERIALS)'!J:J,MLR!G116,'Checking(ZSERIALS)'!G:G,MLR!J116)=0,"Incorrect","Err.")))</f>
        <v/>
      </c>
      <c r="C116" s="63">
        <f>_xlfn.XLOOKUP(J116,'Checking(ZSERIALS)'!G:G,'Checking(ZSERIALS)'!F:F)</f>
        <v>0</v>
      </c>
      <c r="E116" s="98"/>
      <c r="F116" s="95"/>
      <c r="G116" s="120"/>
      <c r="H116" s="95"/>
      <c r="I116" s="95"/>
      <c r="J116" s="95"/>
      <c r="K116" s="95"/>
      <c r="L116" s="67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95"/>
      <c r="AJ116" s="95"/>
      <c r="AK116" s="95"/>
    </row>
    <row r="117" spans="1:37" hidden="1" x14ac:dyDescent="0.3">
      <c r="A117">
        <f>_xlfn.XLOOKUP(J117,'Checking(ZSERIALS)'!G:G,'Checking(ZSERIALS)'!C:C)</f>
        <v>0</v>
      </c>
      <c r="B117" s="35" t="str">
        <f>IF(J117="","",IF(COUNTIFS('Checking(ZSERIALS)'!J:J,MLR!G117,'Checking(ZSERIALS)'!G:G,MLR!J117)=1,"Correct",IF(COUNTIFS('Checking(ZSERIALS)'!J:J,MLR!G117,'Checking(ZSERIALS)'!G:G,MLR!J117)=0,"Incorrect","Err.")))</f>
        <v/>
      </c>
      <c r="C117" s="63">
        <f>_xlfn.XLOOKUP(J117,'Checking(ZSERIALS)'!G:G,'Checking(ZSERIALS)'!F:F)</f>
        <v>0</v>
      </c>
      <c r="E117" s="98"/>
      <c r="F117" s="95"/>
      <c r="G117" s="120"/>
      <c r="H117" s="95"/>
      <c r="I117" s="95"/>
      <c r="J117" s="95"/>
      <c r="K117" s="95"/>
      <c r="L117" s="67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95"/>
      <c r="AJ117" s="95"/>
      <c r="AK117" s="95"/>
    </row>
    <row r="118" spans="1:37" hidden="1" x14ac:dyDescent="0.3">
      <c r="A118">
        <f>_xlfn.XLOOKUP(J118,'Checking(ZSERIALS)'!G:G,'Checking(ZSERIALS)'!C:C)</f>
        <v>0</v>
      </c>
      <c r="B118" s="35" t="str">
        <f>IF(J118="","",IF(COUNTIFS('Checking(ZSERIALS)'!J:J,MLR!G118,'Checking(ZSERIALS)'!G:G,MLR!J118)=1,"Correct",IF(COUNTIFS('Checking(ZSERIALS)'!J:J,MLR!G118,'Checking(ZSERIALS)'!G:G,MLR!J118)=0,"Incorrect","Err.")))</f>
        <v/>
      </c>
      <c r="C118" s="63">
        <f>_xlfn.XLOOKUP(J118,'Checking(ZSERIALS)'!G:G,'Checking(ZSERIALS)'!F:F)</f>
        <v>0</v>
      </c>
      <c r="E118" s="98"/>
      <c r="F118" s="95"/>
      <c r="G118" s="120"/>
      <c r="H118" s="95"/>
      <c r="I118" s="95"/>
      <c r="J118" s="95"/>
      <c r="K118" s="95"/>
      <c r="L118" s="67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I118" s="95"/>
      <c r="AJ118" s="95"/>
      <c r="AK118" s="95"/>
    </row>
    <row r="119" spans="1:37" hidden="1" x14ac:dyDescent="0.3">
      <c r="A119">
        <f>_xlfn.XLOOKUP(J119,'Checking(ZSERIALS)'!G:G,'Checking(ZSERIALS)'!C:C)</f>
        <v>0</v>
      </c>
      <c r="B119" s="35" t="str">
        <f>IF(J119="","",IF(COUNTIFS('Checking(ZSERIALS)'!J:J,MLR!G119,'Checking(ZSERIALS)'!G:G,MLR!J119)=1,"Correct",IF(COUNTIFS('Checking(ZSERIALS)'!J:J,MLR!G119,'Checking(ZSERIALS)'!G:G,MLR!J119)=0,"Incorrect","Err.")))</f>
        <v/>
      </c>
      <c r="C119" s="63">
        <f>_xlfn.XLOOKUP(J119,'Checking(ZSERIALS)'!G:G,'Checking(ZSERIALS)'!F:F)</f>
        <v>0</v>
      </c>
      <c r="E119" s="98"/>
      <c r="F119" s="95"/>
      <c r="G119" s="120"/>
      <c r="H119" s="95"/>
      <c r="I119" s="95"/>
      <c r="J119" s="95"/>
      <c r="K119" s="95"/>
      <c r="L119" s="67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95"/>
      <c r="AJ119" s="95"/>
      <c r="AK119" s="95"/>
    </row>
    <row r="120" spans="1:37" hidden="1" x14ac:dyDescent="0.3">
      <c r="A120">
        <f>_xlfn.XLOOKUP(J120,'Checking(ZSERIALS)'!G:G,'Checking(ZSERIALS)'!C:C)</f>
        <v>0</v>
      </c>
      <c r="B120" s="35" t="str">
        <f>IF(J120="","",IF(COUNTIFS('Checking(ZSERIALS)'!J:J,MLR!G120,'Checking(ZSERIALS)'!G:G,MLR!J120)=1,"Correct",IF(COUNTIFS('Checking(ZSERIALS)'!J:J,MLR!G120,'Checking(ZSERIALS)'!G:G,MLR!J120)=0,"Incorrect","Err.")))</f>
        <v/>
      </c>
      <c r="C120" s="63">
        <f>_xlfn.XLOOKUP(J120,'Checking(ZSERIALS)'!G:G,'Checking(ZSERIALS)'!F:F)</f>
        <v>0</v>
      </c>
      <c r="E120" s="57"/>
      <c r="F120" s="8"/>
      <c r="G120" s="9"/>
      <c r="H120" s="8"/>
      <c r="I120" s="10"/>
      <c r="J120" s="72"/>
      <c r="K120" s="95"/>
      <c r="L120" s="67"/>
      <c r="M120" s="95"/>
      <c r="N120" s="11"/>
      <c r="O120" s="11"/>
      <c r="P120" s="11"/>
      <c r="Q120" s="11"/>
      <c r="R120" s="11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95"/>
      <c r="AJ120" s="95"/>
      <c r="AK120" s="95"/>
    </row>
    <row r="121" spans="1:37" hidden="1" x14ac:dyDescent="0.3">
      <c r="A121">
        <f>_xlfn.XLOOKUP(J121,'Checking(ZSERIALS)'!G:G,'Checking(ZSERIALS)'!C:C)</f>
        <v>0</v>
      </c>
      <c r="B121" s="35" t="str">
        <f>IF(J121="","",IF(COUNTIFS('Checking(ZSERIALS)'!J:J,MLR!G121,'Checking(ZSERIALS)'!G:G,MLR!J121)=1,"Correct",IF(COUNTIFS('Checking(ZSERIALS)'!J:J,MLR!G121,'Checking(ZSERIALS)'!G:G,MLR!J121)=0,"Incorrect","Err.")))</f>
        <v/>
      </c>
      <c r="C121" s="63">
        <f>_xlfn.XLOOKUP(J121,'Checking(ZSERIALS)'!G:G,'Checking(ZSERIALS)'!F:F)</f>
        <v>0</v>
      </c>
      <c r="E121" s="57"/>
      <c r="F121" s="8"/>
      <c r="G121" s="9"/>
      <c r="H121" s="8"/>
      <c r="I121" s="10"/>
      <c r="J121" s="72"/>
      <c r="K121" s="95"/>
      <c r="L121" s="67"/>
      <c r="M121" s="95"/>
      <c r="N121" s="11"/>
      <c r="O121" s="11"/>
      <c r="P121" s="11"/>
      <c r="Q121" s="11"/>
      <c r="R121" s="11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95"/>
      <c r="AJ121" s="95"/>
      <c r="AK121" s="95"/>
    </row>
    <row r="122" spans="1:37" hidden="1" x14ac:dyDescent="0.3">
      <c r="A122">
        <f>_xlfn.XLOOKUP(J122,'Checking(ZSERIALS)'!G:G,'Checking(ZSERIALS)'!C:C)</f>
        <v>0</v>
      </c>
      <c r="B122" s="35" t="str">
        <f>IF(J122="","",IF(COUNTIFS('Checking(ZSERIALS)'!J:J,MLR!G122,'Checking(ZSERIALS)'!G:G,MLR!J122)=1,"Correct",IF(COUNTIFS('Checking(ZSERIALS)'!J:J,MLR!G122,'Checking(ZSERIALS)'!G:G,MLR!J122)=0,"Incorrect","Err.")))</f>
        <v/>
      </c>
      <c r="C122" s="63">
        <f>_xlfn.XLOOKUP(J122,'Checking(ZSERIALS)'!G:G,'Checking(ZSERIALS)'!F:F)</f>
        <v>0</v>
      </c>
      <c r="E122" s="58"/>
      <c r="F122" s="12"/>
      <c r="G122" s="13"/>
      <c r="H122" s="12"/>
      <c r="I122" s="10"/>
      <c r="J122" s="76"/>
      <c r="K122" s="95"/>
      <c r="L122" s="67"/>
      <c r="M122" s="95"/>
      <c r="N122" s="14"/>
      <c r="O122" s="14"/>
      <c r="P122" s="14"/>
      <c r="Q122" s="14"/>
      <c r="R122" s="14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95"/>
      <c r="AJ122" s="95"/>
      <c r="AK122" s="95"/>
    </row>
    <row r="123" spans="1:37" hidden="1" x14ac:dyDescent="0.3">
      <c r="A123">
        <f>_xlfn.XLOOKUP(J123,'Checking(ZSERIALS)'!G:G,'Checking(ZSERIALS)'!C:C)</f>
        <v>0</v>
      </c>
      <c r="B123" s="35" t="str">
        <f>IF(J123="","",IF(COUNTIFS('Checking(ZSERIALS)'!J:J,MLR!G123,'Checking(ZSERIALS)'!G:G,MLR!J123)=1,"Correct",IF(COUNTIFS('Checking(ZSERIALS)'!J:J,MLR!G123,'Checking(ZSERIALS)'!G:G,MLR!J123)=0,"Incorrect","Err.")))</f>
        <v/>
      </c>
      <c r="C123" s="63">
        <f>_xlfn.XLOOKUP(J123,'Checking(ZSERIALS)'!G:G,'Checking(ZSERIALS)'!F:F)</f>
        <v>0</v>
      </c>
      <c r="E123" s="15"/>
      <c r="F123" s="8"/>
      <c r="G123" s="9"/>
      <c r="H123" s="8"/>
      <c r="I123" s="10"/>
      <c r="J123" s="72"/>
      <c r="K123" s="95"/>
      <c r="L123" s="67"/>
      <c r="M123" s="95"/>
      <c r="N123" s="16"/>
      <c r="O123" s="16"/>
      <c r="P123" s="16"/>
      <c r="Q123" s="16"/>
      <c r="R123" s="16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95"/>
      <c r="AJ123" s="95"/>
      <c r="AK123" s="95"/>
    </row>
    <row r="124" spans="1:37" hidden="1" x14ac:dyDescent="0.3">
      <c r="A124">
        <f>_xlfn.XLOOKUP(J124,'Checking(ZSERIALS)'!G:G,'Checking(ZSERIALS)'!C:C)</f>
        <v>0</v>
      </c>
      <c r="B124" s="35" t="str">
        <f>IF(J124="","",IF(COUNTIFS('Checking(ZSERIALS)'!J:J,MLR!G124,'Checking(ZSERIALS)'!G:G,MLR!J124)=1,"Correct",IF(COUNTIFS('Checking(ZSERIALS)'!J:J,MLR!G124,'Checking(ZSERIALS)'!G:G,MLR!J124)=0,"Incorrect","Err.")))</f>
        <v/>
      </c>
      <c r="C124" s="63">
        <f>_xlfn.XLOOKUP(J124,'Checking(ZSERIALS)'!G:G,'Checking(ZSERIALS)'!F:F)</f>
        <v>0</v>
      </c>
      <c r="E124" s="15"/>
      <c r="F124" s="8"/>
      <c r="G124" s="9"/>
      <c r="H124" s="8"/>
      <c r="I124" s="10"/>
      <c r="J124" s="72"/>
      <c r="K124" s="95"/>
      <c r="L124" s="67"/>
      <c r="M124" s="95"/>
      <c r="N124" s="16"/>
      <c r="O124" s="16"/>
      <c r="P124" s="16"/>
      <c r="Q124" s="16"/>
      <c r="R124" s="16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  <c r="AC124" s="95"/>
      <c r="AD124" s="95"/>
      <c r="AE124" s="95"/>
      <c r="AF124" s="95"/>
      <c r="AG124" s="95"/>
      <c r="AH124" s="95"/>
      <c r="AI124" s="95"/>
      <c r="AJ124" s="95"/>
      <c r="AK124" s="95"/>
    </row>
    <row r="125" spans="1:37" hidden="1" x14ac:dyDescent="0.3">
      <c r="A125">
        <f>_xlfn.XLOOKUP(J125,'Checking(ZSERIALS)'!G:G,'Checking(ZSERIALS)'!C:C)</f>
        <v>0</v>
      </c>
      <c r="B125" s="35" t="str">
        <f>IF(J125="","",IF(COUNTIFS('Checking(ZSERIALS)'!J:J,MLR!G125,'Checking(ZSERIALS)'!G:G,MLR!J125)=1,"Correct",IF(COUNTIFS('Checking(ZSERIALS)'!J:J,MLR!G125,'Checking(ZSERIALS)'!G:G,MLR!J125)=0,"Incorrect","Err.")))</f>
        <v/>
      </c>
      <c r="C125" s="63">
        <f>_xlfn.XLOOKUP(J125,'Checking(ZSERIALS)'!G:G,'Checking(ZSERIALS)'!F:F)</f>
        <v>0</v>
      </c>
      <c r="E125" s="68"/>
      <c r="F125" s="8"/>
      <c r="G125" s="9"/>
      <c r="H125" s="8"/>
      <c r="I125" s="10"/>
      <c r="J125" s="72"/>
      <c r="K125" s="95"/>
      <c r="L125" s="67"/>
      <c r="M125" s="95"/>
      <c r="N125" s="16"/>
      <c r="O125" s="16"/>
      <c r="P125" s="16"/>
      <c r="Q125" s="16"/>
      <c r="R125" s="16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  <c r="AC125" s="95"/>
      <c r="AD125" s="95"/>
      <c r="AE125" s="95"/>
      <c r="AF125" s="95"/>
      <c r="AG125" s="95"/>
      <c r="AH125" s="95"/>
      <c r="AI125" s="95"/>
      <c r="AJ125" s="95"/>
      <c r="AK125" s="95"/>
    </row>
    <row r="126" spans="1:37" hidden="1" x14ac:dyDescent="0.3">
      <c r="A126">
        <f>_xlfn.XLOOKUP(J126,'Checking(ZSERIALS)'!G:G,'Checking(ZSERIALS)'!C:C)</f>
        <v>0</v>
      </c>
      <c r="B126" s="35" t="str">
        <f>IF(J126="","",IF(COUNTIFS('Checking(ZSERIALS)'!J:J,MLR!G126,'Checking(ZSERIALS)'!G:G,MLR!J126)=1,"Correct",IF(COUNTIFS('Checking(ZSERIALS)'!J:J,MLR!G126,'Checking(ZSERIALS)'!G:G,MLR!J126)=0,"Incorrect","Err.")))</f>
        <v/>
      </c>
      <c r="C126" s="63">
        <f>_xlfn.XLOOKUP(J126,'Checking(ZSERIALS)'!G:G,'Checking(ZSERIALS)'!F:F)</f>
        <v>0</v>
      </c>
      <c r="E126" s="15"/>
      <c r="F126" s="8"/>
      <c r="G126" s="9"/>
      <c r="H126" s="8"/>
      <c r="I126" s="10"/>
      <c r="J126" s="72"/>
      <c r="K126" s="95"/>
      <c r="L126" s="67"/>
      <c r="M126" s="95"/>
      <c r="N126" s="99"/>
      <c r="O126" s="99"/>
      <c r="P126" s="99"/>
      <c r="Q126" s="99"/>
      <c r="R126" s="99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</row>
    <row r="127" spans="1:37" hidden="1" x14ac:dyDescent="0.3">
      <c r="A127">
        <f>_xlfn.XLOOKUP(J127,'Checking(ZSERIALS)'!G:G,'Checking(ZSERIALS)'!C:C)</f>
        <v>0</v>
      </c>
      <c r="B127" s="35" t="str">
        <f>IF(J127="","",IF(COUNTIFS('Checking(ZSERIALS)'!J:J,MLR!G127,'Checking(ZSERIALS)'!G:G,MLR!J127)=1,"Correct",IF(COUNTIFS('Checking(ZSERIALS)'!J:J,MLR!G127,'Checking(ZSERIALS)'!G:G,MLR!J127)=0,"Incorrect","Err.")))</f>
        <v/>
      </c>
      <c r="C127" s="63">
        <f>_xlfn.XLOOKUP(J127,'Checking(ZSERIALS)'!G:G,'Checking(ZSERIALS)'!F:F)</f>
        <v>0</v>
      </c>
      <c r="E127" s="17"/>
      <c r="F127" s="18"/>
      <c r="G127" s="19"/>
      <c r="H127" s="20"/>
      <c r="I127" s="10"/>
      <c r="J127" s="73"/>
      <c r="K127" s="95"/>
      <c r="L127" s="67"/>
      <c r="M127" s="95"/>
      <c r="N127" s="99"/>
      <c r="O127" s="99"/>
      <c r="P127" s="99"/>
      <c r="Q127" s="99"/>
      <c r="R127" s="99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</row>
    <row r="128" spans="1:37" hidden="1" x14ac:dyDescent="0.3">
      <c r="A128">
        <f>_xlfn.XLOOKUP(J128,'Checking(ZSERIALS)'!G:G,'Checking(ZSERIALS)'!C:C)</f>
        <v>0</v>
      </c>
      <c r="B128" s="35" t="str">
        <f>IF(J128="","",IF(COUNTIFS('Checking(ZSERIALS)'!J:J,MLR!G128,'Checking(ZSERIALS)'!G:G,MLR!J128)=1,"Correct",IF(COUNTIFS('Checking(ZSERIALS)'!J:J,MLR!G128,'Checking(ZSERIALS)'!G:G,MLR!J128)=0,"Incorrect","Err.")))</f>
        <v/>
      </c>
      <c r="C128" s="63">
        <f>_xlfn.XLOOKUP(J128,'Checking(ZSERIALS)'!G:G,'Checking(ZSERIALS)'!F:F)</f>
        <v>0</v>
      </c>
      <c r="E128" s="15"/>
      <c r="F128" s="8"/>
      <c r="G128" s="9"/>
      <c r="H128" s="21"/>
      <c r="I128" s="10"/>
      <c r="J128" s="72"/>
      <c r="K128" s="95"/>
      <c r="L128" s="67"/>
      <c r="M128" s="95"/>
      <c r="N128" s="99"/>
      <c r="O128" s="99"/>
      <c r="P128" s="99"/>
      <c r="Q128" s="99"/>
      <c r="R128" s="99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</row>
    <row r="129" spans="1:37" hidden="1" x14ac:dyDescent="0.3">
      <c r="A129">
        <f>_xlfn.XLOOKUP(J129,'Checking(ZSERIALS)'!G:G,'Checking(ZSERIALS)'!C:C)</f>
        <v>0</v>
      </c>
      <c r="B129" s="35" t="str">
        <f>IF(J129="","",IF(COUNTIFS('Checking(ZSERIALS)'!J:J,MLR!G129,'Checking(ZSERIALS)'!G:G,MLR!J129)=1,"Correct",IF(COUNTIFS('Checking(ZSERIALS)'!J:J,MLR!G129,'Checking(ZSERIALS)'!G:G,MLR!J129)=0,"Incorrect","Err.")))</f>
        <v/>
      </c>
      <c r="C129" s="63">
        <f>_xlfn.XLOOKUP(J129,'Checking(ZSERIALS)'!G:G,'Checking(ZSERIALS)'!F:F)</f>
        <v>0</v>
      </c>
      <c r="E129" s="59"/>
      <c r="F129" s="22"/>
      <c r="G129" s="23"/>
      <c r="H129" s="100"/>
      <c r="I129" s="10"/>
      <c r="J129" s="74"/>
      <c r="K129" s="95"/>
      <c r="L129" s="67"/>
      <c r="M129" s="95"/>
      <c r="N129" s="99"/>
      <c r="O129" s="99"/>
      <c r="P129" s="99"/>
      <c r="Q129" s="99"/>
      <c r="R129" s="99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</row>
    <row r="130" spans="1:37" hidden="1" x14ac:dyDescent="0.3">
      <c r="A130">
        <f>_xlfn.XLOOKUP(J130,'Checking(ZSERIALS)'!G:G,'Checking(ZSERIALS)'!C:C)</f>
        <v>0</v>
      </c>
      <c r="B130" s="35" t="str">
        <f>IF(J130="","",IF(COUNTIFS('Checking(ZSERIALS)'!J:J,MLR!G130,'Checking(ZSERIALS)'!G:G,MLR!J130)=1,"Correct",IF(COUNTIFS('Checking(ZSERIALS)'!J:J,MLR!G130,'Checking(ZSERIALS)'!G:G,MLR!J130)=0,"Incorrect","Err.")))</f>
        <v/>
      </c>
      <c r="C130" s="63">
        <f>_xlfn.XLOOKUP(J130,'Checking(ZSERIALS)'!G:G,'Checking(ZSERIALS)'!F:F)</f>
        <v>0</v>
      </c>
      <c r="E130" s="104"/>
      <c r="F130" s="24"/>
      <c r="G130" s="25"/>
      <c r="H130" s="101"/>
      <c r="I130" s="10"/>
      <c r="J130" s="75"/>
      <c r="L130" s="67"/>
      <c r="M130" s="11"/>
      <c r="N130" s="99"/>
      <c r="O130" s="99"/>
      <c r="P130" s="99"/>
      <c r="Q130" s="99"/>
      <c r="R130" s="99"/>
      <c r="S130" s="10"/>
      <c r="T130" s="99"/>
      <c r="U130" s="10"/>
      <c r="V130" s="99"/>
      <c r="W130" s="99"/>
      <c r="X130" s="99"/>
      <c r="Y130" s="10"/>
      <c r="Z130" s="11"/>
      <c r="AA130" s="11"/>
      <c r="AB130" s="11"/>
      <c r="AC130" s="11"/>
      <c r="AD130" s="11"/>
      <c r="AE130" s="11"/>
      <c r="AF130" s="11"/>
      <c r="AG130" s="11"/>
      <c r="AH130" s="99"/>
      <c r="AI130" s="99"/>
      <c r="AJ130" s="95"/>
      <c r="AK130" s="95"/>
    </row>
    <row r="131" spans="1:37" hidden="1" x14ac:dyDescent="0.3">
      <c r="A131">
        <f>_xlfn.XLOOKUP(J131,'Checking(ZSERIALS)'!G:G,'Checking(ZSERIALS)'!C:C)</f>
        <v>0</v>
      </c>
      <c r="B131" s="35" t="str">
        <f>IF(J131="","",IF(COUNTIFS('Checking(ZSERIALS)'!J:J,MLR!G131,'Checking(ZSERIALS)'!G:G,MLR!J131)=1,"Correct",IF(COUNTIFS('Checking(ZSERIALS)'!J:J,MLR!G131,'Checking(ZSERIALS)'!G:G,MLR!J131)=0,"Incorrect","Err.")))</f>
        <v/>
      </c>
      <c r="C131" s="63">
        <f>_xlfn.XLOOKUP(J131,'Checking(ZSERIALS)'!G:G,'Checking(ZSERIALS)'!F:F)</f>
        <v>0</v>
      </c>
      <c r="E131" s="104"/>
      <c r="F131" s="24"/>
      <c r="G131" s="9"/>
      <c r="H131" s="21"/>
      <c r="I131" s="10"/>
      <c r="J131" s="72"/>
      <c r="L131" s="67"/>
      <c r="M131" s="14"/>
      <c r="N131" s="99"/>
      <c r="O131" s="99"/>
      <c r="P131" s="99"/>
      <c r="Q131" s="99"/>
      <c r="R131" s="99"/>
      <c r="S131" s="10"/>
      <c r="T131" s="99"/>
      <c r="U131" s="10"/>
      <c r="V131" s="99"/>
      <c r="W131" s="99"/>
      <c r="X131" s="99"/>
      <c r="Y131" s="10"/>
      <c r="Z131" s="14"/>
      <c r="AA131" s="14"/>
      <c r="AB131" s="14"/>
      <c r="AC131" s="14"/>
      <c r="AD131" s="14"/>
      <c r="AE131" s="14"/>
      <c r="AF131" s="14"/>
      <c r="AG131" s="14"/>
      <c r="AH131" s="99"/>
      <c r="AI131" s="99"/>
      <c r="AJ131" s="95"/>
      <c r="AK131" s="95"/>
    </row>
    <row r="132" spans="1:37" hidden="1" x14ac:dyDescent="0.3">
      <c r="A132">
        <f>_xlfn.XLOOKUP(J132,'Checking(ZSERIALS)'!G:G,'Checking(ZSERIALS)'!C:C)</f>
        <v>0</v>
      </c>
      <c r="B132" s="35" t="str">
        <f>IF(J132="","",IF(COUNTIFS('Checking(ZSERIALS)'!J:J,MLR!G132,'Checking(ZSERIALS)'!G:G,MLR!J132)=1,"Correct",IF(COUNTIFS('Checking(ZSERIALS)'!J:J,MLR!G132,'Checking(ZSERIALS)'!G:G,MLR!J132)=0,"Incorrect","Err.")))</f>
        <v/>
      </c>
      <c r="C132" s="63">
        <f>_xlfn.XLOOKUP(J132,'Checking(ZSERIALS)'!G:G,'Checking(ZSERIALS)'!F:F)</f>
        <v>0</v>
      </c>
      <c r="E132" s="104"/>
      <c r="F132" s="61"/>
      <c r="G132" s="121"/>
      <c r="H132" s="92"/>
      <c r="I132" s="93"/>
      <c r="J132" s="94"/>
      <c r="L132" s="67"/>
      <c r="M132" s="102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AI132" s="61"/>
      <c r="AJ132" s="95"/>
      <c r="AK132" s="95"/>
    </row>
    <row r="133" spans="1:37" hidden="1" x14ac:dyDescent="0.3">
      <c r="A133">
        <f>_xlfn.XLOOKUP(J133,'Checking(ZSERIALS)'!G:G,'Checking(ZSERIALS)'!C:C)</f>
        <v>0</v>
      </c>
      <c r="B133" s="35" t="str">
        <f>IF(J133="","",IF(COUNTIFS('Checking(ZSERIALS)'!J:J,MLR!G133,'Checking(ZSERIALS)'!G:G,MLR!J133)=1,"Correct",IF(COUNTIFS('Checking(ZSERIALS)'!J:J,MLR!G133,'Checking(ZSERIALS)'!G:G,MLR!J133)=0,"Incorrect","Err.")))</f>
        <v/>
      </c>
      <c r="C133" s="63">
        <f>_xlfn.XLOOKUP(J133,'Checking(ZSERIALS)'!G:G,'Checking(ZSERIALS)'!F:F)</f>
        <v>0</v>
      </c>
      <c r="E133" s="104"/>
      <c r="F133" s="61"/>
      <c r="G133" s="121"/>
      <c r="H133" s="92"/>
      <c r="I133" s="93"/>
      <c r="J133" s="94"/>
      <c r="L133" s="67"/>
      <c r="M133" s="102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AI133" s="61"/>
      <c r="AJ133" s="95"/>
      <c r="AK133" s="95"/>
    </row>
    <row r="134" spans="1:37" hidden="1" x14ac:dyDescent="0.3">
      <c r="A134">
        <f>_xlfn.XLOOKUP(J134,'Checking(ZSERIALS)'!G:G,'Checking(ZSERIALS)'!C:C)</f>
        <v>0</v>
      </c>
      <c r="B134" s="35" t="str">
        <f>IF(J134="","",IF(COUNTIFS('Checking(ZSERIALS)'!J:J,MLR!G134,'Checking(ZSERIALS)'!G:G,MLR!J134)=1,"Correct",IF(COUNTIFS('Checking(ZSERIALS)'!J:J,MLR!G134,'Checking(ZSERIALS)'!G:G,MLR!J134)=0,"Incorrect","Err.")))</f>
        <v/>
      </c>
      <c r="C134" s="63">
        <f>_xlfn.XLOOKUP(J134,'Checking(ZSERIALS)'!G:G,'Checking(ZSERIALS)'!F:F)</f>
        <v>0</v>
      </c>
      <c r="E134" s="104"/>
      <c r="F134" s="61"/>
      <c r="G134" s="121"/>
      <c r="H134" s="92"/>
      <c r="I134" s="93"/>
      <c r="J134" s="94"/>
      <c r="L134" s="67"/>
      <c r="M134" s="102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AI134" s="61"/>
      <c r="AJ134" s="95"/>
      <c r="AK134" s="95"/>
    </row>
    <row r="135" spans="1:37" hidden="1" x14ac:dyDescent="0.3">
      <c r="A135">
        <f>_xlfn.XLOOKUP(J135,'Checking(ZSERIALS)'!G:G,'Checking(ZSERIALS)'!C:C)</f>
        <v>0</v>
      </c>
      <c r="B135" s="35" t="str">
        <f>IF(J135="","",IF(COUNTIFS('Checking(ZSERIALS)'!J:J,MLR!G135,'Checking(ZSERIALS)'!G:G,MLR!J135)=1,"Correct",IF(COUNTIFS('Checking(ZSERIALS)'!J:J,MLR!G135,'Checking(ZSERIALS)'!G:G,MLR!J135)=0,"Incorrect","Err.")))</f>
        <v/>
      </c>
      <c r="C135" s="63">
        <f>_xlfn.XLOOKUP(J135,'Checking(ZSERIALS)'!G:G,'Checking(ZSERIALS)'!F:F)</f>
        <v>0</v>
      </c>
      <c r="E135" s="104"/>
      <c r="F135" s="61"/>
      <c r="G135" s="121"/>
      <c r="H135" s="92"/>
      <c r="I135" s="93"/>
      <c r="J135" s="94"/>
      <c r="L135" s="67"/>
      <c r="M135" s="102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AI135" s="61"/>
      <c r="AJ135" s="95"/>
      <c r="AK135" s="95"/>
    </row>
    <row r="136" spans="1:37" hidden="1" x14ac:dyDescent="0.3">
      <c r="A136">
        <f>_xlfn.XLOOKUP(J136,'Checking(ZSERIALS)'!G:G,'Checking(ZSERIALS)'!C:C)</f>
        <v>0</v>
      </c>
      <c r="B136" s="35" t="str">
        <f>IF(J136="","",IF(COUNTIFS('Checking(ZSERIALS)'!J:J,MLR!G136,'Checking(ZSERIALS)'!G:G,MLR!J136)=1,"Correct",IF(COUNTIFS('Checking(ZSERIALS)'!J:J,MLR!G136,'Checking(ZSERIALS)'!G:G,MLR!J136)=0,"Incorrect","Err.")))</f>
        <v/>
      </c>
      <c r="C136" s="63">
        <f>_xlfn.XLOOKUP(J136,'Checking(ZSERIALS)'!G:G,'Checking(ZSERIALS)'!F:F)</f>
        <v>0</v>
      </c>
      <c r="E136" s="104"/>
      <c r="F136" s="61"/>
      <c r="G136" s="121"/>
      <c r="H136" s="92"/>
      <c r="I136" s="93"/>
      <c r="J136" s="94"/>
      <c r="L136" s="67"/>
      <c r="M136" s="102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AI136" s="61"/>
      <c r="AJ136" s="95"/>
      <c r="AK136" s="95"/>
    </row>
    <row r="137" spans="1:37" hidden="1" x14ac:dyDescent="0.3">
      <c r="A137">
        <f>_xlfn.XLOOKUP(J137,'Checking(ZSERIALS)'!G:G,'Checking(ZSERIALS)'!C:C)</f>
        <v>0</v>
      </c>
      <c r="B137" s="35" t="str">
        <f>IF(J137="","",IF(COUNTIFS('Checking(ZSERIALS)'!J:J,MLR!G137,'Checking(ZSERIALS)'!G:G,MLR!J137)=1,"Correct",IF(COUNTIFS('Checking(ZSERIALS)'!J:J,MLR!G137,'Checking(ZSERIALS)'!G:G,MLR!J137)=0,"Incorrect","Err.")))</f>
        <v/>
      </c>
      <c r="C137" s="63">
        <f>_xlfn.XLOOKUP(J137,'Checking(ZSERIALS)'!G:G,'Checking(ZSERIALS)'!F:F)</f>
        <v>0</v>
      </c>
      <c r="E137" s="104"/>
      <c r="F137" s="61"/>
      <c r="G137" s="121"/>
      <c r="H137" s="92"/>
      <c r="I137" s="93"/>
      <c r="J137" s="94"/>
      <c r="L137" s="67"/>
      <c r="M137" s="102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AI137" s="61"/>
      <c r="AJ137" s="95"/>
      <c r="AK137" s="95"/>
    </row>
    <row r="138" spans="1:37" hidden="1" x14ac:dyDescent="0.3">
      <c r="A138">
        <f>_xlfn.XLOOKUP(J138,'Checking(ZSERIALS)'!G:G,'Checking(ZSERIALS)'!C:C)</f>
        <v>0</v>
      </c>
      <c r="B138" s="35" t="str">
        <f>IF(J138="","",IF(COUNTIFS('Checking(ZSERIALS)'!J:J,MLR!G138,'Checking(ZSERIALS)'!G:G,MLR!J138)=1,"Correct",IF(COUNTIFS('Checking(ZSERIALS)'!J:J,MLR!G138,'Checking(ZSERIALS)'!G:G,MLR!J138)=0,"Incorrect","Err.")))</f>
        <v/>
      </c>
      <c r="C138" s="63">
        <f>_xlfn.XLOOKUP(J138,'Checking(ZSERIALS)'!G:G,'Checking(ZSERIALS)'!F:F)</f>
        <v>0</v>
      </c>
      <c r="E138" s="105"/>
      <c r="F138" s="61"/>
      <c r="G138" s="121"/>
      <c r="H138" s="92"/>
      <c r="I138" s="93"/>
      <c r="J138" s="94"/>
      <c r="L138" s="67"/>
      <c r="M138" s="102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AI138" s="61"/>
      <c r="AJ138" s="95"/>
      <c r="AK138" s="95"/>
    </row>
    <row r="139" spans="1:37" hidden="1" x14ac:dyDescent="0.3">
      <c r="A139">
        <f>_xlfn.XLOOKUP(J139,'Checking(ZSERIALS)'!G:G,'Checking(ZSERIALS)'!C:C)</f>
        <v>0</v>
      </c>
      <c r="B139" s="35" t="str">
        <f>IF(J139="","",IF(COUNTIFS('Checking(ZSERIALS)'!J:J,MLR!G139,'Checking(ZSERIALS)'!G:G,MLR!J139)=1,"Correct",IF(COUNTIFS('Checking(ZSERIALS)'!J:J,MLR!G139,'Checking(ZSERIALS)'!G:G,MLR!J139)=0,"Incorrect","Err.")))</f>
        <v/>
      </c>
      <c r="C139" s="63">
        <f>_xlfn.XLOOKUP(J139,'Checking(ZSERIALS)'!G:G,'Checking(ZSERIALS)'!F:F)</f>
        <v>0</v>
      </c>
      <c r="E139" s="105"/>
      <c r="F139" s="61"/>
      <c r="G139" s="121"/>
      <c r="H139" s="92"/>
      <c r="I139" s="93"/>
      <c r="J139" s="94"/>
      <c r="L139" s="67"/>
      <c r="M139" s="102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AI139" s="61"/>
      <c r="AJ139" s="95"/>
      <c r="AK139" s="95"/>
    </row>
    <row r="140" spans="1:37" hidden="1" x14ac:dyDescent="0.3">
      <c r="A140">
        <f>_xlfn.XLOOKUP(J140,'Checking(ZSERIALS)'!G:G,'Checking(ZSERIALS)'!C:C)</f>
        <v>0</v>
      </c>
      <c r="B140" s="35" t="str">
        <f>IF(J140="","",IF(COUNTIFS('Checking(ZSERIALS)'!J:J,MLR!G140,'Checking(ZSERIALS)'!G:G,MLR!J140)=1,"Correct",IF(COUNTIFS('Checking(ZSERIALS)'!J:J,MLR!G140,'Checking(ZSERIALS)'!G:G,MLR!J140)=0,"Incorrect","Err.")))</f>
        <v/>
      </c>
      <c r="C140" s="63">
        <f>_xlfn.XLOOKUP(J140,'Checking(ZSERIALS)'!G:G,'Checking(ZSERIALS)'!F:F)</f>
        <v>0</v>
      </c>
      <c r="E140" s="105"/>
      <c r="F140" s="61"/>
      <c r="G140" s="121"/>
      <c r="H140" s="92"/>
      <c r="I140" s="93"/>
      <c r="J140" s="94"/>
      <c r="L140" s="67"/>
      <c r="M140" s="102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AI140" s="61"/>
      <c r="AJ140" s="95"/>
      <c r="AK140" s="95"/>
    </row>
    <row r="141" spans="1:37" hidden="1" x14ac:dyDescent="0.3">
      <c r="A141">
        <f>_xlfn.XLOOKUP(J141,'Checking(ZSERIALS)'!G:G,'Checking(ZSERIALS)'!C:C)</f>
        <v>0</v>
      </c>
      <c r="B141" s="35" t="str">
        <f>IF(J141="","",IF(COUNTIFS('Checking(ZSERIALS)'!J:J,MLR!G141,'Checking(ZSERIALS)'!G:G,MLR!J141)=1,"Correct",IF(COUNTIFS('Checking(ZSERIALS)'!J:J,MLR!G141,'Checking(ZSERIALS)'!G:G,MLR!J141)=0,"Incorrect","Err.")))</f>
        <v/>
      </c>
      <c r="C141" s="63">
        <f>_xlfn.XLOOKUP(J141,'Checking(ZSERIALS)'!G:G,'Checking(ZSERIALS)'!F:F)</f>
        <v>0</v>
      </c>
      <c r="E141" s="105"/>
      <c r="F141" s="61"/>
      <c r="G141" s="121"/>
      <c r="H141" s="92"/>
      <c r="I141" s="93"/>
      <c r="J141" s="94"/>
      <c r="L141" s="67"/>
      <c r="M141" s="102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AI141" s="61"/>
      <c r="AJ141" s="95"/>
      <c r="AK141" s="95"/>
    </row>
    <row r="142" spans="1:37" hidden="1" x14ac:dyDescent="0.3">
      <c r="A142">
        <f>_xlfn.XLOOKUP(J142,'Checking(ZSERIALS)'!G:G,'Checking(ZSERIALS)'!C:C)</f>
        <v>0</v>
      </c>
      <c r="B142" s="35" t="str">
        <f>IF(J142="","",IF(COUNTIFS('Checking(ZSERIALS)'!J:J,MLR!G142,'Checking(ZSERIALS)'!G:G,MLR!J142)=1,"Correct",IF(COUNTIFS('Checking(ZSERIALS)'!J:J,MLR!G142,'Checking(ZSERIALS)'!G:G,MLR!J142)=0,"Incorrect","Err.")))</f>
        <v/>
      </c>
      <c r="C142" s="63">
        <f>_xlfn.XLOOKUP(J142,'Checking(ZSERIALS)'!G:G,'Checking(ZSERIALS)'!F:F)</f>
        <v>0</v>
      </c>
      <c r="E142" s="105"/>
      <c r="F142" s="61"/>
      <c r="G142" s="121"/>
      <c r="H142" s="92"/>
      <c r="I142" s="60"/>
      <c r="J142" s="94"/>
      <c r="L142" s="67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AI142" s="61"/>
      <c r="AJ142" s="95"/>
      <c r="AK142" s="95"/>
    </row>
    <row r="143" spans="1:37" hidden="1" x14ac:dyDescent="0.3">
      <c r="A143">
        <f>_xlfn.XLOOKUP(J143,'Checking(ZSERIALS)'!G:G,'Checking(ZSERIALS)'!C:C)</f>
        <v>0</v>
      </c>
      <c r="B143" s="35" t="str">
        <f>IF(J143="","",IF(COUNTIFS('Checking(ZSERIALS)'!J:J,MLR!G143,'Checking(ZSERIALS)'!G:G,MLR!J143)=1,"Correct",IF(COUNTIFS('Checking(ZSERIALS)'!J:J,MLR!G143,'Checking(ZSERIALS)'!G:G,MLR!J143)=0,"Incorrect","Err.")))</f>
        <v/>
      </c>
      <c r="C143" s="63">
        <f>_xlfn.XLOOKUP(J143,'Checking(ZSERIALS)'!G:G,'Checking(ZSERIALS)'!F:F)</f>
        <v>0</v>
      </c>
      <c r="E143" s="105"/>
      <c r="F143" s="61"/>
      <c r="G143" s="121"/>
      <c r="H143" s="92"/>
      <c r="I143" s="60"/>
      <c r="J143" s="94"/>
      <c r="L143" s="67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AI143" s="61"/>
      <c r="AJ143" s="95"/>
      <c r="AK143" s="95"/>
    </row>
    <row r="144" spans="1:37" hidden="1" x14ac:dyDescent="0.3">
      <c r="A144">
        <f>_xlfn.XLOOKUP(J144,'Checking(ZSERIALS)'!G:G,'Checking(ZSERIALS)'!C:C)</f>
        <v>0</v>
      </c>
      <c r="B144" s="35" t="str">
        <f>IF(J144="","",IF(COUNTIFS('Checking(ZSERIALS)'!J:J,MLR!G144,'Checking(ZSERIALS)'!G:G,MLR!J144)=1,"Correct",IF(COUNTIFS('Checking(ZSERIALS)'!J:J,MLR!G144,'Checking(ZSERIALS)'!G:G,MLR!J144)=0,"Incorrect","Err.")))</f>
        <v/>
      </c>
      <c r="C144" s="63">
        <f>_xlfn.XLOOKUP(J144,'Checking(ZSERIALS)'!G:G,'Checking(ZSERIALS)'!F:F)</f>
        <v>0</v>
      </c>
      <c r="E144" s="105"/>
      <c r="F144" s="61"/>
      <c r="G144" s="121"/>
      <c r="H144" s="92"/>
      <c r="I144" s="60"/>
      <c r="J144" s="94"/>
      <c r="L144" s="67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AI144" s="61"/>
      <c r="AJ144" s="95"/>
      <c r="AK144" s="95"/>
    </row>
    <row r="145" spans="1:37" hidden="1" x14ac:dyDescent="0.3">
      <c r="A145">
        <f>_xlfn.XLOOKUP(J145,'Checking(ZSERIALS)'!G:G,'Checking(ZSERIALS)'!C:C)</f>
        <v>0</v>
      </c>
      <c r="B145" s="35" t="str">
        <f>IF(J145="","",IF(COUNTIFS('Checking(ZSERIALS)'!J:J,MLR!G145,'Checking(ZSERIALS)'!G:G,MLR!J145)=1,"Correct",IF(COUNTIFS('Checking(ZSERIALS)'!J:J,MLR!G145,'Checking(ZSERIALS)'!G:G,MLR!J145)=0,"Incorrect","Err.")))</f>
        <v/>
      </c>
      <c r="C145" s="63">
        <f>_xlfn.XLOOKUP(J145,'Checking(ZSERIALS)'!G:G,'Checking(ZSERIALS)'!F:F)</f>
        <v>0</v>
      </c>
      <c r="E145" s="105"/>
      <c r="F145" s="61"/>
      <c r="G145" s="121"/>
      <c r="H145" s="92"/>
      <c r="I145" s="60"/>
      <c r="J145" s="94"/>
      <c r="L145" s="67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AI145" s="61"/>
      <c r="AJ145" s="95"/>
      <c r="AK145" s="95"/>
    </row>
    <row r="146" spans="1:37" hidden="1" x14ac:dyDescent="0.3">
      <c r="A146">
        <f>_xlfn.XLOOKUP(J146,'Checking(ZSERIALS)'!G:G,'Checking(ZSERIALS)'!C:C)</f>
        <v>0</v>
      </c>
      <c r="B146" s="35" t="str">
        <f>IF(J146="","",IF(COUNTIFS('Checking(ZSERIALS)'!J:J,MLR!G146,'Checking(ZSERIALS)'!G:G,MLR!J146)=1,"Correct",IF(COUNTIFS('Checking(ZSERIALS)'!J:J,MLR!G146,'Checking(ZSERIALS)'!G:G,MLR!J146)=0,"Incorrect","Err.")))</f>
        <v/>
      </c>
      <c r="C146" s="63">
        <f>_xlfn.XLOOKUP(J146,'Checking(ZSERIALS)'!G:G,'Checking(ZSERIALS)'!F:F)</f>
        <v>0</v>
      </c>
      <c r="E146" s="105"/>
      <c r="F146" s="61"/>
      <c r="G146" s="121"/>
      <c r="H146" s="92"/>
      <c r="I146" s="60"/>
      <c r="J146" s="94"/>
      <c r="L146" s="67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AI146" s="61"/>
      <c r="AJ146" s="95"/>
      <c r="AK146" s="95"/>
    </row>
    <row r="147" spans="1:37" hidden="1" x14ac:dyDescent="0.3">
      <c r="A147">
        <f>_xlfn.XLOOKUP(J147,'Checking(ZSERIALS)'!G:G,'Checking(ZSERIALS)'!C:C)</f>
        <v>0</v>
      </c>
      <c r="B147" s="35" t="str">
        <f>IF(J147="","",IF(COUNTIFS('Checking(ZSERIALS)'!J:J,MLR!G147,'Checking(ZSERIALS)'!G:G,MLR!J147)=1,"Correct",IF(COUNTIFS('Checking(ZSERIALS)'!J:J,MLR!G147,'Checking(ZSERIALS)'!G:G,MLR!J147)=0,"Incorrect","Err.")))</f>
        <v/>
      </c>
      <c r="C147" s="63">
        <f>_xlfn.XLOOKUP(J147,'Checking(ZSERIALS)'!G:G,'Checking(ZSERIALS)'!F:F)</f>
        <v>0</v>
      </c>
      <c r="E147" s="104"/>
      <c r="F147" s="61"/>
      <c r="G147" s="121"/>
      <c r="H147" s="92"/>
      <c r="I147" s="60"/>
      <c r="J147" s="94"/>
      <c r="L147" s="67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AI147" s="61"/>
      <c r="AJ147" s="95"/>
      <c r="AK147" s="95"/>
    </row>
    <row r="148" spans="1:37" hidden="1" x14ac:dyDescent="0.3">
      <c r="A148">
        <f>_xlfn.XLOOKUP(J148,'Checking(ZSERIALS)'!G:G,'Checking(ZSERIALS)'!C:C)</f>
        <v>0</v>
      </c>
      <c r="B148" s="35" t="str">
        <f>IF(J148="","",IF(COUNTIFS('Checking(ZSERIALS)'!J:J,MLR!G148,'Checking(ZSERIALS)'!G:G,MLR!J148)=1,"Correct",IF(COUNTIFS('Checking(ZSERIALS)'!J:J,MLR!G148,'Checking(ZSERIALS)'!G:G,MLR!J148)=0,"Incorrect","Err.")))</f>
        <v/>
      </c>
      <c r="C148" s="63">
        <f>_xlfn.XLOOKUP(J148,'Checking(ZSERIALS)'!G:G,'Checking(ZSERIALS)'!F:F)</f>
        <v>0</v>
      </c>
      <c r="E148" s="105"/>
      <c r="F148" s="61"/>
      <c r="G148" s="121"/>
      <c r="H148" s="92"/>
      <c r="I148" s="60"/>
      <c r="J148" s="94"/>
      <c r="L148" s="67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AI148" s="61"/>
      <c r="AJ148" s="95"/>
      <c r="AK148" s="95"/>
    </row>
    <row r="149" spans="1:37" hidden="1" x14ac:dyDescent="0.3">
      <c r="A149">
        <f>_xlfn.XLOOKUP(J149,'Checking(ZSERIALS)'!G:G,'Checking(ZSERIALS)'!C:C)</f>
        <v>0</v>
      </c>
      <c r="B149" s="35" t="str">
        <f>IF(J149="","",IF(COUNTIFS('Checking(ZSERIALS)'!J:J,MLR!G149,'Checking(ZSERIALS)'!G:G,MLR!J149)=1,"Correct",IF(COUNTIFS('Checking(ZSERIALS)'!J:J,MLR!G149,'Checking(ZSERIALS)'!G:G,MLR!J149)=0,"Incorrect","Err.")))</f>
        <v/>
      </c>
      <c r="C149" s="63">
        <f>_xlfn.XLOOKUP(J149,'Checking(ZSERIALS)'!G:G,'Checking(ZSERIALS)'!F:F)</f>
        <v>0</v>
      </c>
      <c r="E149" s="105"/>
      <c r="F149" s="61"/>
      <c r="G149" s="121"/>
      <c r="H149" s="92"/>
      <c r="I149" s="60"/>
      <c r="J149" s="94"/>
      <c r="L149" s="67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AI149" s="61"/>
      <c r="AJ149" s="95"/>
      <c r="AK149" s="95"/>
    </row>
    <row r="150" spans="1:37" hidden="1" x14ac:dyDescent="0.3">
      <c r="A150">
        <f>_xlfn.XLOOKUP(J150,'Checking(ZSERIALS)'!G:G,'Checking(ZSERIALS)'!C:C)</f>
        <v>0</v>
      </c>
      <c r="B150" s="35" t="str">
        <f>IF(J150="","",IF(COUNTIFS('Checking(ZSERIALS)'!J:J,MLR!G150,'Checking(ZSERIALS)'!G:G,MLR!J150)=1,"Correct",IF(COUNTIFS('Checking(ZSERIALS)'!J:J,MLR!G150,'Checking(ZSERIALS)'!G:G,MLR!J150)=0,"Incorrect","Err.")))</f>
        <v/>
      </c>
      <c r="C150" s="63">
        <f>_xlfn.XLOOKUP(J150,'Checking(ZSERIALS)'!G:G,'Checking(ZSERIALS)'!F:F)</f>
        <v>0</v>
      </c>
      <c r="E150" s="105"/>
      <c r="F150" s="61"/>
      <c r="G150" s="121"/>
      <c r="H150" s="92"/>
      <c r="I150" s="60"/>
      <c r="J150" s="94"/>
      <c r="L150" s="67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AI150" s="61"/>
      <c r="AJ150" s="95"/>
      <c r="AK150" s="95"/>
    </row>
    <row r="151" spans="1:37" hidden="1" x14ac:dyDescent="0.3">
      <c r="A151">
        <f>_xlfn.XLOOKUP(J151,'Checking(ZSERIALS)'!G:G,'Checking(ZSERIALS)'!C:C)</f>
        <v>0</v>
      </c>
      <c r="B151" s="35" t="str">
        <f>IF(J151="","",IF(COUNTIFS('Checking(ZSERIALS)'!J:J,MLR!G151,'Checking(ZSERIALS)'!G:G,MLR!J151)=1,"Correct",IF(COUNTIFS('Checking(ZSERIALS)'!J:J,MLR!G151,'Checking(ZSERIALS)'!G:G,MLR!J151)=0,"Incorrect","Err.")))</f>
        <v/>
      </c>
      <c r="C151" s="63">
        <f>_xlfn.XLOOKUP(J151,'Checking(ZSERIALS)'!G:G,'Checking(ZSERIALS)'!F:F)</f>
        <v>0</v>
      </c>
      <c r="E151" s="105"/>
      <c r="F151" s="61"/>
      <c r="G151" s="121"/>
      <c r="H151" s="92"/>
      <c r="I151" s="60"/>
      <c r="J151" s="94"/>
      <c r="L151" s="67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AI151" s="61"/>
      <c r="AJ151" s="95"/>
      <c r="AK151" s="95"/>
    </row>
    <row r="152" spans="1:37" hidden="1" x14ac:dyDescent="0.3">
      <c r="A152">
        <f>_xlfn.XLOOKUP(J152,'Checking(ZSERIALS)'!G:G,'Checking(ZSERIALS)'!C:C)</f>
        <v>0</v>
      </c>
      <c r="B152" s="35" t="str">
        <f>IF(J152="","",IF(COUNTIFS('Checking(ZSERIALS)'!J:J,MLR!G152,'Checking(ZSERIALS)'!G:G,MLR!J152)=1,"Correct",IF(COUNTIFS('Checking(ZSERIALS)'!J:J,MLR!G152,'Checking(ZSERIALS)'!G:G,MLR!J152)=0,"Incorrect","Err.")))</f>
        <v/>
      </c>
      <c r="C152" s="63">
        <f>_xlfn.XLOOKUP(J152,'Checking(ZSERIALS)'!G:G,'Checking(ZSERIALS)'!F:F)</f>
        <v>0</v>
      </c>
      <c r="E152" s="105"/>
      <c r="F152" s="61"/>
      <c r="G152" s="121"/>
      <c r="H152" s="92"/>
      <c r="I152" s="60"/>
      <c r="J152" s="94"/>
      <c r="L152" s="67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AI152" s="61"/>
      <c r="AJ152" s="95"/>
      <c r="AK152" s="95"/>
    </row>
    <row r="153" spans="1:37" hidden="1" x14ac:dyDescent="0.3">
      <c r="A153">
        <f>_xlfn.XLOOKUP(J153,'Checking(ZSERIALS)'!G:G,'Checking(ZSERIALS)'!C:C)</f>
        <v>0</v>
      </c>
      <c r="B153" s="35" t="str">
        <f>IF(J153="","",IF(COUNTIFS('Checking(ZSERIALS)'!J:J,MLR!G153,'Checking(ZSERIALS)'!G:G,MLR!J153)=1,"Correct",IF(COUNTIFS('Checking(ZSERIALS)'!J:J,MLR!G153,'Checking(ZSERIALS)'!G:G,MLR!J153)=0,"Incorrect","Err.")))</f>
        <v/>
      </c>
      <c r="C153" s="63">
        <f>_xlfn.XLOOKUP(J153,'Checking(ZSERIALS)'!G:G,'Checking(ZSERIALS)'!F:F)</f>
        <v>0</v>
      </c>
      <c r="E153" s="105"/>
      <c r="F153" s="61"/>
      <c r="G153" s="121"/>
      <c r="H153" s="92"/>
      <c r="I153" s="60"/>
      <c r="J153" s="94"/>
      <c r="L153" s="67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AI153" s="61"/>
      <c r="AJ153" s="95"/>
      <c r="AK153" s="95"/>
    </row>
    <row r="154" spans="1:37" hidden="1" x14ac:dyDescent="0.3">
      <c r="A154">
        <f>_xlfn.XLOOKUP(J154,'Checking(ZSERIALS)'!G:G,'Checking(ZSERIALS)'!C:C)</f>
        <v>0</v>
      </c>
      <c r="B154" s="35" t="str">
        <f>IF(J154="","",IF(COUNTIFS('Checking(ZSERIALS)'!J:J,MLR!G154,'Checking(ZSERIALS)'!G:G,MLR!J154)=1,"Correct",IF(COUNTIFS('Checking(ZSERIALS)'!J:J,MLR!G154,'Checking(ZSERIALS)'!G:G,MLR!J154)=0,"Incorrect","Err.")))</f>
        <v/>
      </c>
      <c r="C154" s="63">
        <f>_xlfn.XLOOKUP(J154,'Checking(ZSERIALS)'!G:G,'Checking(ZSERIALS)'!F:F)</f>
        <v>0</v>
      </c>
      <c r="E154" s="105"/>
      <c r="F154" s="61"/>
      <c r="G154" s="121"/>
      <c r="H154" s="92"/>
      <c r="I154" s="60"/>
      <c r="J154" s="94"/>
      <c r="L154" s="67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AI154" s="61"/>
      <c r="AJ154" s="95"/>
      <c r="AK154" s="95"/>
    </row>
    <row r="155" spans="1:37" hidden="1" x14ac:dyDescent="0.3">
      <c r="A155">
        <f>_xlfn.XLOOKUP(J155,'Checking(ZSERIALS)'!G:G,'Checking(ZSERIALS)'!C:C)</f>
        <v>0</v>
      </c>
      <c r="B155" s="35" t="str">
        <f>IF(J155="","",IF(COUNTIFS('Checking(ZSERIALS)'!J:J,MLR!G155,'Checking(ZSERIALS)'!G:G,MLR!J155)=1,"Correct",IF(COUNTIFS('Checking(ZSERIALS)'!J:J,MLR!G155,'Checking(ZSERIALS)'!G:G,MLR!J155)=0,"Incorrect","Err.")))</f>
        <v/>
      </c>
      <c r="C155" s="63">
        <f>_xlfn.XLOOKUP(J155,'Checking(ZSERIALS)'!G:G,'Checking(ZSERIALS)'!F:F)</f>
        <v>0</v>
      </c>
      <c r="E155" s="105"/>
      <c r="F155" s="61"/>
      <c r="G155" s="121"/>
      <c r="H155" s="92"/>
      <c r="I155" s="60"/>
      <c r="J155" s="94"/>
      <c r="L155" s="67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AI155" s="61"/>
      <c r="AJ155" s="95"/>
      <c r="AK155" s="95"/>
    </row>
    <row r="156" spans="1:37" hidden="1" x14ac:dyDescent="0.3">
      <c r="A156">
        <f>_xlfn.XLOOKUP(J156,'Checking(ZSERIALS)'!G:G,'Checking(ZSERIALS)'!C:C)</f>
        <v>0</v>
      </c>
      <c r="B156" s="35" t="str">
        <f>IF(J156="","",IF(COUNTIFS('Checking(ZSERIALS)'!J:J,MLR!G156,'Checking(ZSERIALS)'!G:G,MLR!J156)=1,"Correct",IF(COUNTIFS('Checking(ZSERIALS)'!J:J,MLR!G156,'Checking(ZSERIALS)'!G:G,MLR!J156)=0,"Incorrect","Err.")))</f>
        <v/>
      </c>
      <c r="C156" s="63">
        <f>_xlfn.XLOOKUP(J156,'Checking(ZSERIALS)'!G:G,'Checking(ZSERIALS)'!F:F)</f>
        <v>0</v>
      </c>
      <c r="E156" s="105"/>
      <c r="F156" s="61"/>
      <c r="G156" s="121"/>
      <c r="H156" s="92"/>
      <c r="I156" s="60"/>
      <c r="J156" s="94"/>
      <c r="L156" s="67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AI156" s="61"/>
      <c r="AJ156" s="95"/>
      <c r="AK156" s="95"/>
    </row>
    <row r="157" spans="1:37" hidden="1" x14ac:dyDescent="0.3">
      <c r="A157">
        <f>_xlfn.XLOOKUP(J157,'Checking(ZSERIALS)'!G:G,'Checking(ZSERIALS)'!C:C)</f>
        <v>0</v>
      </c>
      <c r="B157" s="35" t="str">
        <f>IF(J157="","",IF(COUNTIFS('Checking(ZSERIALS)'!J:J,MLR!G157,'Checking(ZSERIALS)'!G:G,MLR!J157)=1,"Correct",IF(COUNTIFS('Checking(ZSERIALS)'!J:J,MLR!G157,'Checking(ZSERIALS)'!G:G,MLR!J157)=0,"Incorrect","Err.")))</f>
        <v/>
      </c>
      <c r="C157" s="63">
        <f>_xlfn.XLOOKUP(J157,'Checking(ZSERIALS)'!G:G,'Checking(ZSERIALS)'!F:F)</f>
        <v>0</v>
      </c>
      <c r="E157" s="40"/>
      <c r="F157" s="95"/>
      <c r="G157" s="120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  <c r="AC157" s="95"/>
      <c r="AD157" s="95"/>
      <c r="AE157" s="95"/>
      <c r="AF157" s="95"/>
      <c r="AG157" s="95"/>
      <c r="AH157" s="95"/>
      <c r="AI157" s="95"/>
      <c r="AJ157" s="95"/>
      <c r="AK157" s="95"/>
    </row>
    <row r="158" spans="1:37" hidden="1" x14ac:dyDescent="0.3">
      <c r="A158">
        <f>_xlfn.XLOOKUP(J158,'Checking(ZSERIALS)'!G:G,'Checking(ZSERIALS)'!C:C)</f>
        <v>0</v>
      </c>
      <c r="B158" s="35" t="str">
        <f>IF(J158="","",IF(COUNTIFS('Checking(ZSERIALS)'!J:J,MLR!G158,'Checking(ZSERIALS)'!G:G,MLR!J158)=1,"Correct",IF(COUNTIFS('Checking(ZSERIALS)'!J:J,MLR!G158,'Checking(ZSERIALS)'!G:G,MLR!J158)=0,"Incorrect","Err.")))</f>
        <v/>
      </c>
      <c r="C158" s="63">
        <f>_xlfn.XLOOKUP(J158,'Checking(ZSERIALS)'!G:G,'Checking(ZSERIALS)'!F:F)</f>
        <v>0</v>
      </c>
      <c r="E158" s="40"/>
      <c r="F158" s="95"/>
      <c r="G158" s="120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  <c r="AC158" s="95"/>
      <c r="AD158" s="95"/>
      <c r="AE158" s="95"/>
      <c r="AF158" s="95"/>
      <c r="AG158" s="95"/>
      <c r="AH158" s="95"/>
      <c r="AI158" s="95"/>
      <c r="AJ158" s="95"/>
      <c r="AK158" s="95"/>
    </row>
    <row r="159" spans="1:37" hidden="1" x14ac:dyDescent="0.3">
      <c r="A159">
        <f>_xlfn.XLOOKUP(J159,'Checking(ZSERIALS)'!G:G,'Checking(ZSERIALS)'!C:C)</f>
        <v>0</v>
      </c>
      <c r="B159" s="35" t="str">
        <f>IF(J159="","",IF(COUNTIFS('Checking(ZSERIALS)'!J:J,MLR!G159,'Checking(ZSERIALS)'!G:G,MLR!J159)=1,"Correct",IF(COUNTIFS('Checking(ZSERIALS)'!J:J,MLR!G159,'Checking(ZSERIALS)'!G:G,MLR!J159)=0,"Incorrect","Err.")))</f>
        <v/>
      </c>
      <c r="C159" s="63">
        <f>_xlfn.XLOOKUP(J159,'Checking(ZSERIALS)'!G:G,'Checking(ZSERIALS)'!F:F)</f>
        <v>0</v>
      </c>
      <c r="E159" s="40"/>
      <c r="F159" s="95"/>
      <c r="G159" s="120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  <c r="AC159" s="95"/>
      <c r="AD159" s="95"/>
      <c r="AE159" s="95"/>
      <c r="AF159" s="95"/>
      <c r="AG159" s="95"/>
      <c r="AH159" s="95"/>
      <c r="AI159" s="95"/>
      <c r="AJ159" s="95"/>
      <c r="AK159" s="95"/>
    </row>
    <row r="160" spans="1:37" hidden="1" x14ac:dyDescent="0.3">
      <c r="A160">
        <f>_xlfn.XLOOKUP(J160,'Checking(ZSERIALS)'!G:G,'Checking(ZSERIALS)'!C:C)</f>
        <v>0</v>
      </c>
      <c r="B160" s="35" t="str">
        <f>IF(J160="","",IF(COUNTIFS('Checking(ZSERIALS)'!J:J,MLR!G160,'Checking(ZSERIALS)'!G:G,MLR!J160)=1,"Correct",IF(COUNTIFS('Checking(ZSERIALS)'!J:J,MLR!G160,'Checking(ZSERIALS)'!G:G,MLR!J160)=0,"Incorrect","Err.")))</f>
        <v/>
      </c>
      <c r="C160" s="63">
        <f>_xlfn.XLOOKUP(J160,'Checking(ZSERIALS)'!G:G,'Checking(ZSERIALS)'!F:F)</f>
        <v>0</v>
      </c>
      <c r="E160" s="64"/>
      <c r="F160" s="95"/>
      <c r="G160" s="120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95"/>
      <c r="AJ160" s="95"/>
      <c r="AK160" s="95"/>
    </row>
    <row r="161" spans="1:37" hidden="1" x14ac:dyDescent="0.3">
      <c r="A161">
        <f>_xlfn.XLOOKUP(J161,'Checking(ZSERIALS)'!G:G,'Checking(ZSERIALS)'!C:C)</f>
        <v>0</v>
      </c>
      <c r="B161" s="35" t="str">
        <f>IF(J161="","",IF(COUNTIFS('Checking(ZSERIALS)'!J:J,MLR!G161,'Checking(ZSERIALS)'!G:G,MLR!J161)=1,"Correct",IF(COUNTIFS('Checking(ZSERIALS)'!J:J,MLR!G161,'Checking(ZSERIALS)'!G:G,MLR!J161)=0,"Incorrect","Err.")))</f>
        <v/>
      </c>
      <c r="C161" s="63">
        <f>_xlfn.XLOOKUP(J161,'Checking(ZSERIALS)'!G:G,'Checking(ZSERIALS)'!F:F)</f>
        <v>0</v>
      </c>
      <c r="E161" s="106"/>
      <c r="F161" s="107"/>
      <c r="G161" s="107"/>
      <c r="H161" s="108"/>
      <c r="I161" s="109"/>
      <c r="J161" s="109"/>
      <c r="K161" s="110"/>
      <c r="L161" s="110"/>
      <c r="M161" s="110"/>
      <c r="N161" s="110"/>
      <c r="O161" s="109"/>
      <c r="P161" s="108"/>
      <c r="Q161" s="109"/>
      <c r="R161" s="109"/>
      <c r="S161" s="110"/>
      <c r="T161" s="110"/>
      <c r="U161" s="109"/>
      <c r="V161" s="109"/>
      <c r="W161" s="109"/>
      <c r="X161" s="110"/>
      <c r="Y161" s="110"/>
      <c r="Z161" s="110"/>
      <c r="AA161" s="109"/>
      <c r="AB161" s="109"/>
      <c r="AC161" s="110"/>
      <c r="AD161" s="110"/>
      <c r="AE161" s="110"/>
      <c r="AF161" s="110"/>
      <c r="AG161" s="110"/>
      <c r="AH161" s="110"/>
      <c r="AI161" s="95"/>
      <c r="AJ161" s="95"/>
      <c r="AK161" s="95"/>
    </row>
    <row r="162" spans="1:37" hidden="1" x14ac:dyDescent="0.3">
      <c r="A162">
        <f>_xlfn.XLOOKUP(J162,'Checking(ZSERIALS)'!G:G,'Checking(ZSERIALS)'!C:C)</f>
        <v>0</v>
      </c>
      <c r="B162" s="35" t="str">
        <f>IF(J162="","",IF(COUNTIFS('Checking(ZSERIALS)'!J:J,MLR!G162,'Checking(ZSERIALS)'!G:G,MLR!J162)=1,"Correct",IF(COUNTIFS('Checking(ZSERIALS)'!J:J,MLR!G162,'Checking(ZSERIALS)'!G:G,MLR!J162)=0,"Incorrect","Err.")))</f>
        <v/>
      </c>
      <c r="C162" s="63">
        <f>_xlfn.XLOOKUP(J162,'Checking(ZSERIALS)'!G:G,'Checking(ZSERIALS)'!F:F)</f>
        <v>0</v>
      </c>
      <c r="E162" s="106"/>
      <c r="F162" s="107"/>
      <c r="G162" s="107"/>
      <c r="H162" s="108"/>
      <c r="I162" s="109"/>
      <c r="J162" s="109"/>
      <c r="K162" s="110"/>
      <c r="L162" s="110"/>
      <c r="M162" s="110"/>
      <c r="N162" s="110"/>
      <c r="O162" s="110"/>
      <c r="P162" s="108"/>
      <c r="Q162" s="109"/>
      <c r="R162" s="109"/>
      <c r="S162" s="110"/>
      <c r="T162" s="110"/>
      <c r="U162" s="109"/>
      <c r="V162" s="109"/>
      <c r="W162" s="109"/>
      <c r="X162" s="110"/>
      <c r="Y162" s="110"/>
      <c r="Z162" s="110"/>
      <c r="AA162" s="109"/>
      <c r="AB162" s="109"/>
      <c r="AC162" s="110"/>
      <c r="AD162" s="110"/>
      <c r="AE162" s="110"/>
      <c r="AF162" s="110"/>
      <c r="AG162" s="110"/>
      <c r="AH162" s="110"/>
      <c r="AI162" s="95"/>
      <c r="AJ162" s="95"/>
      <c r="AK162" s="95"/>
    </row>
    <row r="163" spans="1:37" hidden="1" x14ac:dyDescent="0.3">
      <c r="A163">
        <f>_xlfn.XLOOKUP(J163,'Checking(ZSERIALS)'!G:G,'Checking(ZSERIALS)'!C:C)</f>
        <v>0</v>
      </c>
      <c r="B163" s="35" t="str">
        <f>IF(J163="","",IF(COUNTIFS('Checking(ZSERIALS)'!J:J,MLR!G163,'Checking(ZSERIALS)'!G:G,MLR!J163)=1,"Correct",IF(COUNTIFS('Checking(ZSERIALS)'!J:J,MLR!G163,'Checking(ZSERIALS)'!G:G,MLR!J163)=0,"Incorrect","Err.")))</f>
        <v/>
      </c>
      <c r="C163" s="63">
        <f>_xlfn.XLOOKUP(J163,'Checking(ZSERIALS)'!G:G,'Checking(ZSERIALS)'!F:F)</f>
        <v>0</v>
      </c>
      <c r="E163" s="111"/>
      <c r="F163" s="112"/>
      <c r="G163" s="112"/>
      <c r="H163" s="113"/>
      <c r="I163" s="110"/>
      <c r="J163" s="110"/>
      <c r="K163" s="110"/>
      <c r="L163" s="110"/>
      <c r="M163" s="110"/>
      <c r="N163" s="110"/>
      <c r="O163" s="110"/>
      <c r="P163" s="113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95"/>
      <c r="AJ163" s="95"/>
      <c r="AK163" s="95"/>
    </row>
    <row r="164" spans="1:37" hidden="1" x14ac:dyDescent="0.3">
      <c r="A164">
        <f>_xlfn.XLOOKUP(J164,'Checking(ZSERIALS)'!G:G,'Checking(ZSERIALS)'!C:C)</f>
        <v>0</v>
      </c>
      <c r="B164" s="35" t="str">
        <f>IF(J164="","",IF(COUNTIFS('Checking(ZSERIALS)'!J:J,MLR!G164,'Checking(ZSERIALS)'!G:G,MLR!J164)=1,"Correct",IF(COUNTIFS('Checking(ZSERIALS)'!J:J,MLR!G164,'Checking(ZSERIALS)'!G:G,MLR!J164)=0,"Incorrect","Err.")))</f>
        <v/>
      </c>
      <c r="C164" s="63">
        <f>_xlfn.XLOOKUP(J164,'Checking(ZSERIALS)'!G:G,'Checking(ZSERIALS)'!F:F)</f>
        <v>0</v>
      </c>
      <c r="E164" s="64"/>
      <c r="F164" s="95"/>
      <c r="G164" s="120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95"/>
      <c r="AJ164" s="95"/>
      <c r="AK164" s="95"/>
    </row>
    <row r="165" spans="1:37" hidden="1" x14ac:dyDescent="0.3">
      <c r="A165">
        <f>_xlfn.XLOOKUP(J165,'Checking(ZSERIALS)'!G:G,'Checking(ZSERIALS)'!C:C)</f>
        <v>0</v>
      </c>
      <c r="B165" s="35" t="str">
        <f>IF(J165="","",IF(COUNTIFS('Checking(ZSERIALS)'!J:J,MLR!G165,'Checking(ZSERIALS)'!G:G,MLR!J165)=1,"Correct",IF(COUNTIFS('Checking(ZSERIALS)'!J:J,MLR!G165,'Checking(ZSERIALS)'!G:G,MLR!J165)=0,"Incorrect","Err.")))</f>
        <v/>
      </c>
      <c r="C165" s="63">
        <f>_xlfn.XLOOKUP(J165,'Checking(ZSERIALS)'!G:G,'Checking(ZSERIALS)'!F:F)</f>
        <v>0</v>
      </c>
      <c r="E165" s="64"/>
      <c r="F165" s="95"/>
      <c r="G165" s="120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95"/>
      <c r="AJ165" s="95"/>
      <c r="AK165" s="95"/>
    </row>
    <row r="166" spans="1:37" hidden="1" x14ac:dyDescent="0.3">
      <c r="A166">
        <f>_xlfn.XLOOKUP(J166,'Checking(ZSERIALS)'!G:G,'Checking(ZSERIALS)'!C:C)</f>
        <v>0</v>
      </c>
      <c r="B166" s="35" t="str">
        <f>IF(J166="","",IF(COUNTIFS('Checking(ZSERIALS)'!J:J,MLR!G166,'Checking(ZSERIALS)'!G:G,MLR!J166)=1,"Correct",IF(COUNTIFS('Checking(ZSERIALS)'!J:J,MLR!G166,'Checking(ZSERIALS)'!G:G,MLR!J166)=0,"Incorrect","Err.")))</f>
        <v/>
      </c>
      <c r="C166" s="63">
        <f>_xlfn.XLOOKUP(J166,'Checking(ZSERIALS)'!G:G,'Checking(ZSERIALS)'!F:F)</f>
        <v>0</v>
      </c>
      <c r="E166" s="64"/>
      <c r="F166" s="95"/>
      <c r="G166" s="120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95"/>
      <c r="AJ166" s="95"/>
      <c r="AK166" s="95"/>
    </row>
    <row r="167" spans="1:37" hidden="1" x14ac:dyDescent="0.3">
      <c r="A167">
        <f>_xlfn.XLOOKUP(J167,'Checking(ZSERIALS)'!G:G,'Checking(ZSERIALS)'!C:C)</f>
        <v>0</v>
      </c>
      <c r="B167" s="35" t="str">
        <f>IF(J167="","",IF(COUNTIFS('Checking(ZSERIALS)'!J:J,MLR!G167,'Checking(ZSERIALS)'!G:G,MLR!J167)=1,"Correct",IF(COUNTIFS('Checking(ZSERIALS)'!J:J,MLR!G167,'Checking(ZSERIALS)'!G:G,MLR!J167)=0,"Incorrect","Err.")))</f>
        <v/>
      </c>
      <c r="C167" s="63">
        <f>_xlfn.XLOOKUP(J167,'Checking(ZSERIALS)'!G:G,'Checking(ZSERIALS)'!F:F)</f>
        <v>0</v>
      </c>
      <c r="E167" s="64"/>
      <c r="F167" s="95"/>
      <c r="G167" s="120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95"/>
      <c r="AJ167" s="95"/>
      <c r="AK167" s="95"/>
    </row>
    <row r="168" spans="1:37" hidden="1" x14ac:dyDescent="0.3">
      <c r="A168">
        <f>_xlfn.XLOOKUP(J168,'Checking(ZSERIALS)'!G:G,'Checking(ZSERIALS)'!C:C)</f>
        <v>0</v>
      </c>
      <c r="B168" s="35" t="str">
        <f>IF(J168="","",IF(COUNTIFS('Checking(ZSERIALS)'!J:J,MLR!G168,'Checking(ZSERIALS)'!G:G,MLR!J168)=1,"Correct",IF(COUNTIFS('Checking(ZSERIALS)'!J:J,MLR!G168,'Checking(ZSERIALS)'!G:G,MLR!J168)=0,"Incorrect","Err.")))</f>
        <v/>
      </c>
      <c r="C168" s="63">
        <f>_xlfn.XLOOKUP(J168,'Checking(ZSERIALS)'!G:G,'Checking(ZSERIALS)'!F:F)</f>
        <v>0</v>
      </c>
      <c r="E168" s="64"/>
      <c r="F168" s="95"/>
      <c r="G168" s="120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95"/>
      <c r="AJ168" s="95"/>
      <c r="AK168" s="95"/>
    </row>
    <row r="169" spans="1:37" hidden="1" x14ac:dyDescent="0.3">
      <c r="A169">
        <f>_xlfn.XLOOKUP(J169,'Checking(ZSERIALS)'!G:G,'Checking(ZSERIALS)'!C:C)</f>
        <v>0</v>
      </c>
      <c r="B169" s="35" t="str">
        <f>IF(J169="","",IF(COUNTIFS('Checking(ZSERIALS)'!J:J,MLR!G169,'Checking(ZSERIALS)'!G:G,MLR!J169)=1,"Correct",IF(COUNTIFS('Checking(ZSERIALS)'!J:J,MLR!G169,'Checking(ZSERIALS)'!G:G,MLR!J169)=0,"Incorrect","Err.")))</f>
        <v/>
      </c>
      <c r="C169" s="63">
        <f>_xlfn.XLOOKUP(J169,'Checking(ZSERIALS)'!G:G,'Checking(ZSERIALS)'!F:F)</f>
        <v>0</v>
      </c>
      <c r="E169" s="64"/>
      <c r="F169" s="95"/>
      <c r="G169" s="120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95"/>
      <c r="AJ169" s="95"/>
      <c r="AK169" s="95"/>
    </row>
    <row r="170" spans="1:37" hidden="1" x14ac:dyDescent="0.3">
      <c r="A170">
        <f>_xlfn.XLOOKUP(J170,'Checking(ZSERIALS)'!G:G,'Checking(ZSERIALS)'!C:C)</f>
        <v>0</v>
      </c>
      <c r="B170" s="35" t="str">
        <f>IF(J170="","",IF(COUNTIFS('Checking(ZSERIALS)'!J:J,MLR!G170,'Checking(ZSERIALS)'!G:G,MLR!J170)=1,"Correct",IF(COUNTIFS('Checking(ZSERIALS)'!J:J,MLR!G170,'Checking(ZSERIALS)'!G:G,MLR!J170)=0,"Incorrect","Err.")))</f>
        <v/>
      </c>
      <c r="C170" s="63">
        <f>_xlfn.XLOOKUP(J170,'Checking(ZSERIALS)'!G:G,'Checking(ZSERIALS)'!F:F)</f>
        <v>0</v>
      </c>
      <c r="E170" s="64"/>
      <c r="F170" s="95"/>
      <c r="G170" s="120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95"/>
      <c r="AJ170" s="95"/>
      <c r="AK170" s="95"/>
    </row>
    <row r="171" spans="1:37" hidden="1" x14ac:dyDescent="0.3">
      <c r="A171">
        <f>_xlfn.XLOOKUP(J171,'Checking(ZSERIALS)'!G:G,'Checking(ZSERIALS)'!C:C)</f>
        <v>0</v>
      </c>
      <c r="B171" s="35" t="str">
        <f>IF(J171="","",IF(COUNTIFS('Checking(ZSERIALS)'!J:J,MLR!G171,'Checking(ZSERIALS)'!G:G,MLR!J171)=1,"Correct",IF(COUNTIFS('Checking(ZSERIALS)'!J:J,MLR!G171,'Checking(ZSERIALS)'!G:G,MLR!J171)=0,"Incorrect","Err.")))</f>
        <v/>
      </c>
      <c r="C171" s="63">
        <f>_xlfn.XLOOKUP(J171,'Checking(ZSERIALS)'!G:G,'Checking(ZSERIALS)'!F:F)</f>
        <v>0</v>
      </c>
      <c r="E171" s="64"/>
      <c r="F171" s="95"/>
      <c r="G171" s="120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95"/>
      <c r="AJ171" s="95"/>
      <c r="AK171" s="95"/>
    </row>
    <row r="172" spans="1:37" hidden="1" x14ac:dyDescent="0.3">
      <c r="A172">
        <f>_xlfn.XLOOKUP(J172,'Checking(ZSERIALS)'!G:G,'Checking(ZSERIALS)'!C:C)</f>
        <v>0</v>
      </c>
      <c r="B172" s="35" t="str">
        <f>IF(J172="","",IF(COUNTIFS('Checking(ZSERIALS)'!J:J,MLR!G172,'Checking(ZSERIALS)'!G:G,MLR!J172)=1,"Correct",IF(COUNTIFS('Checking(ZSERIALS)'!J:J,MLR!G172,'Checking(ZSERIALS)'!G:G,MLR!J172)=0,"Incorrect","Err.")))</f>
        <v/>
      </c>
      <c r="C172" s="63">
        <f>_xlfn.XLOOKUP(J172,'Checking(ZSERIALS)'!G:G,'Checking(ZSERIALS)'!F:F)</f>
        <v>0</v>
      </c>
      <c r="E172" s="64"/>
      <c r="F172" s="95"/>
      <c r="G172" s="120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95"/>
      <c r="AJ172" s="95"/>
      <c r="AK172" s="95"/>
    </row>
    <row r="173" spans="1:37" hidden="1" x14ac:dyDescent="0.3">
      <c r="A173">
        <f>_xlfn.XLOOKUP(J173,'Checking(ZSERIALS)'!G:G,'Checking(ZSERIALS)'!C:C)</f>
        <v>0</v>
      </c>
      <c r="B173" s="35" t="str">
        <f>IF(J173="","",IF(COUNTIFS('Checking(ZSERIALS)'!J:J,MLR!G173,'Checking(ZSERIALS)'!G:G,MLR!J173)=1,"Correct",IF(COUNTIFS('Checking(ZSERIALS)'!J:J,MLR!G173,'Checking(ZSERIALS)'!G:G,MLR!J173)=0,"Incorrect","Err.")))</f>
        <v/>
      </c>
      <c r="C173" s="63">
        <f>_xlfn.XLOOKUP(J173,'Checking(ZSERIALS)'!G:G,'Checking(ZSERIALS)'!F:F)</f>
        <v>0</v>
      </c>
      <c r="E173" s="64"/>
      <c r="F173" s="95"/>
      <c r="G173" s="120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95"/>
      <c r="AJ173" s="95"/>
      <c r="AK173" s="95"/>
    </row>
    <row r="174" spans="1:37" hidden="1" x14ac:dyDescent="0.3">
      <c r="A174">
        <f>_xlfn.XLOOKUP(J174,'Checking(ZSERIALS)'!G:G,'Checking(ZSERIALS)'!C:C)</f>
        <v>0</v>
      </c>
      <c r="B174" s="35" t="str">
        <f>IF(J174="","",IF(COUNTIFS('Checking(ZSERIALS)'!J:J,MLR!G174,'Checking(ZSERIALS)'!G:G,MLR!J174)=1,"Correct",IF(COUNTIFS('Checking(ZSERIALS)'!J:J,MLR!G174,'Checking(ZSERIALS)'!G:G,MLR!J174)=0,"Incorrect","Err.")))</f>
        <v/>
      </c>
      <c r="C174" s="63">
        <f>_xlfn.XLOOKUP(J174,'Checking(ZSERIALS)'!G:G,'Checking(ZSERIALS)'!F:F)</f>
        <v>0</v>
      </c>
      <c r="E174" s="64"/>
      <c r="F174" s="95"/>
      <c r="G174" s="120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95"/>
      <c r="AJ174" s="95"/>
      <c r="AK174" s="95"/>
    </row>
    <row r="175" spans="1:37" hidden="1" x14ac:dyDescent="0.3">
      <c r="A175">
        <f>_xlfn.XLOOKUP(J175,'Checking(ZSERIALS)'!G:G,'Checking(ZSERIALS)'!C:C)</f>
        <v>0</v>
      </c>
      <c r="B175" s="35" t="str">
        <f>IF(J175="","",IF(COUNTIFS('Checking(ZSERIALS)'!J:J,MLR!G175,'Checking(ZSERIALS)'!G:G,MLR!J175)=1,"Correct",IF(COUNTIFS('Checking(ZSERIALS)'!J:J,MLR!G175,'Checking(ZSERIALS)'!G:G,MLR!J175)=0,"Incorrect","Err.")))</f>
        <v/>
      </c>
      <c r="C175" s="63">
        <f>_xlfn.XLOOKUP(J175,'Checking(ZSERIALS)'!G:G,'Checking(ZSERIALS)'!F:F)</f>
        <v>0</v>
      </c>
      <c r="E175" s="64"/>
      <c r="F175" s="95"/>
      <c r="G175" s="120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95"/>
      <c r="AJ175" s="95"/>
      <c r="AK175" s="95"/>
    </row>
    <row r="176" spans="1:37" hidden="1" x14ac:dyDescent="0.3">
      <c r="A176">
        <f>_xlfn.XLOOKUP(J176,'Checking(ZSERIALS)'!G:G,'Checking(ZSERIALS)'!C:C)</f>
        <v>0</v>
      </c>
      <c r="B176" s="35" t="str">
        <f>IF(J176="","",IF(COUNTIFS('Checking(ZSERIALS)'!J:J,MLR!G176,'Checking(ZSERIALS)'!G:G,MLR!J176)=1,"Correct",IF(COUNTIFS('Checking(ZSERIALS)'!J:J,MLR!G176,'Checking(ZSERIALS)'!G:G,MLR!J176)=0,"Incorrect","Err.")))</f>
        <v/>
      </c>
      <c r="C176" s="63">
        <f>_xlfn.XLOOKUP(J176,'Checking(ZSERIALS)'!G:G,'Checking(ZSERIALS)'!F:F)</f>
        <v>0</v>
      </c>
      <c r="E176" s="64"/>
      <c r="F176" s="95"/>
      <c r="G176" s="120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</row>
    <row r="177" spans="1:37" hidden="1" x14ac:dyDescent="0.3">
      <c r="A177">
        <f>_xlfn.XLOOKUP(J177,'Checking(ZSERIALS)'!G:G,'Checking(ZSERIALS)'!C:C)</f>
        <v>0</v>
      </c>
      <c r="B177" s="35" t="str">
        <f>IF(J177="","",IF(COUNTIFS('Checking(ZSERIALS)'!J:J,MLR!G177,'Checking(ZSERIALS)'!G:G,MLR!J177)=1,"Correct",IF(COUNTIFS('Checking(ZSERIALS)'!J:J,MLR!G177,'Checking(ZSERIALS)'!G:G,MLR!J177)=0,"Incorrect","Err.")))</f>
        <v/>
      </c>
      <c r="C177" s="63">
        <f>_xlfn.XLOOKUP(J177,'Checking(ZSERIALS)'!G:G,'Checking(ZSERIALS)'!F:F)</f>
        <v>0</v>
      </c>
      <c r="E177" s="64"/>
      <c r="F177" s="95"/>
      <c r="G177" s="120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95"/>
      <c r="AJ177" s="95"/>
      <c r="AK177" s="95"/>
    </row>
    <row r="178" spans="1:37" hidden="1" x14ac:dyDescent="0.3">
      <c r="A178">
        <f>_xlfn.XLOOKUP(J178,'Checking(ZSERIALS)'!G:G,'Checking(ZSERIALS)'!C:C)</f>
        <v>0</v>
      </c>
      <c r="B178" s="35" t="str">
        <f>IF(J178="","",IF(COUNTIFS('Checking(ZSERIALS)'!J:J,MLR!G178,'Checking(ZSERIALS)'!G:G,MLR!J178)=1,"Correct",IF(COUNTIFS('Checking(ZSERIALS)'!J:J,MLR!G178,'Checking(ZSERIALS)'!G:G,MLR!J178)=0,"Incorrect","Err.")))</f>
        <v/>
      </c>
      <c r="C178" s="63">
        <f>_xlfn.XLOOKUP(J178,'Checking(ZSERIALS)'!G:G,'Checking(ZSERIALS)'!F:F)</f>
        <v>0</v>
      </c>
      <c r="E178" s="64"/>
      <c r="F178" s="95"/>
      <c r="G178" s="120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I178" s="95"/>
      <c r="AJ178" s="95"/>
      <c r="AK178" s="95"/>
    </row>
    <row r="179" spans="1:37" hidden="1" x14ac:dyDescent="0.3">
      <c r="A179">
        <f>_xlfn.XLOOKUP(J179,'Checking(ZSERIALS)'!G:G,'Checking(ZSERIALS)'!C:C)</f>
        <v>0</v>
      </c>
      <c r="B179" s="35" t="str">
        <f>IF(J179="","",IF(COUNTIFS('Checking(ZSERIALS)'!J:J,MLR!G179,'Checking(ZSERIALS)'!G:G,MLR!J179)=1,"Correct",IF(COUNTIFS('Checking(ZSERIALS)'!J:J,MLR!G179,'Checking(ZSERIALS)'!G:G,MLR!J179)=0,"Incorrect","Err.")))</f>
        <v/>
      </c>
      <c r="C179" s="63">
        <f>_xlfn.XLOOKUP(J179,'Checking(ZSERIALS)'!G:G,'Checking(ZSERIALS)'!F:F)</f>
        <v>0</v>
      </c>
      <c r="E179" s="64"/>
      <c r="F179" s="95"/>
      <c r="G179" s="120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95"/>
      <c r="AJ179" s="95"/>
      <c r="AK179" s="95"/>
    </row>
    <row r="180" spans="1:37" hidden="1" x14ac:dyDescent="0.3">
      <c r="A180">
        <f>_xlfn.XLOOKUP(J180,'Checking(ZSERIALS)'!G:G,'Checking(ZSERIALS)'!C:C)</f>
        <v>0</v>
      </c>
      <c r="B180" s="35" t="str">
        <f>IF(J180="","",IF(COUNTIFS('Checking(ZSERIALS)'!J:J,MLR!G180,'Checking(ZSERIALS)'!G:G,MLR!J180)=1,"Correct",IF(COUNTIFS('Checking(ZSERIALS)'!J:J,MLR!G180,'Checking(ZSERIALS)'!G:G,MLR!J180)=0,"Incorrect","Err.")))</f>
        <v/>
      </c>
      <c r="C180" s="63">
        <f>_xlfn.XLOOKUP(J180,'Checking(ZSERIALS)'!G:G,'Checking(ZSERIALS)'!F:F)</f>
        <v>0</v>
      </c>
      <c r="E180" s="64"/>
      <c r="F180" s="95"/>
      <c r="G180" s="120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95"/>
      <c r="AJ180" s="95"/>
      <c r="AK180" s="95"/>
    </row>
    <row r="181" spans="1:37" hidden="1" x14ac:dyDescent="0.3">
      <c r="A181">
        <f>_xlfn.XLOOKUP(J181,'Checking(ZSERIALS)'!G:G,'Checking(ZSERIALS)'!C:C)</f>
        <v>0</v>
      </c>
      <c r="B181" s="35" t="str">
        <f>IF(J181="","",IF(COUNTIFS('Checking(ZSERIALS)'!J:J,MLR!G181,'Checking(ZSERIALS)'!G:G,MLR!J181)=1,"Correct",IF(COUNTIFS('Checking(ZSERIALS)'!J:J,MLR!G181,'Checking(ZSERIALS)'!G:G,MLR!J181)=0,"Incorrect","Err.")))</f>
        <v/>
      </c>
      <c r="C181" s="63">
        <f>_xlfn.XLOOKUP(J181,'Checking(ZSERIALS)'!G:G,'Checking(ZSERIALS)'!F:F)</f>
        <v>0</v>
      </c>
      <c r="E181" s="64"/>
      <c r="F181" s="95"/>
      <c r="G181" s="120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95"/>
      <c r="AJ181" s="95"/>
      <c r="AK181" s="95"/>
    </row>
    <row r="182" spans="1:37" hidden="1" x14ac:dyDescent="0.3">
      <c r="A182">
        <f>_xlfn.XLOOKUP(J182,'Checking(ZSERIALS)'!G:G,'Checking(ZSERIALS)'!C:C)</f>
        <v>0</v>
      </c>
      <c r="B182" s="35" t="str">
        <f>IF(J182="","",IF(COUNTIFS('Checking(ZSERIALS)'!J:J,MLR!G182,'Checking(ZSERIALS)'!G:G,MLR!J182)=1,"Correct",IF(COUNTIFS('Checking(ZSERIALS)'!J:J,MLR!G182,'Checking(ZSERIALS)'!G:G,MLR!J182)=0,"Incorrect","Err.")))</f>
        <v/>
      </c>
      <c r="C182" s="63">
        <f>_xlfn.XLOOKUP(J182,'Checking(ZSERIALS)'!G:G,'Checking(ZSERIALS)'!F:F)</f>
        <v>0</v>
      </c>
      <c r="E182" s="64"/>
      <c r="F182" s="95"/>
      <c r="G182" s="120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95"/>
      <c r="AJ182" s="95"/>
      <c r="AK182" s="95"/>
    </row>
    <row r="183" spans="1:37" hidden="1" x14ac:dyDescent="0.3">
      <c r="A183">
        <f>_xlfn.XLOOKUP(J183,'Checking(ZSERIALS)'!G:G,'Checking(ZSERIALS)'!C:C)</f>
        <v>0</v>
      </c>
      <c r="B183" s="35" t="str">
        <f>IF(J183="","",IF(COUNTIFS('Checking(ZSERIALS)'!J:J,MLR!G183,'Checking(ZSERIALS)'!G:G,MLR!J183)=1,"Correct",IF(COUNTIFS('Checking(ZSERIALS)'!J:J,MLR!G183,'Checking(ZSERIALS)'!G:G,MLR!J183)=0,"Incorrect","Err.")))</f>
        <v/>
      </c>
      <c r="C183" s="63">
        <f>_xlfn.XLOOKUP(J183,'Checking(ZSERIALS)'!G:G,'Checking(ZSERIALS)'!F:F)</f>
        <v>0</v>
      </c>
      <c r="E183" s="64"/>
      <c r="F183" s="95"/>
      <c r="G183" s="120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95"/>
      <c r="AJ183" s="95"/>
      <c r="AK183" s="95"/>
    </row>
    <row r="184" spans="1:37" hidden="1" x14ac:dyDescent="0.3">
      <c r="A184">
        <f>_xlfn.XLOOKUP(J184,'Checking(ZSERIALS)'!G:G,'Checking(ZSERIALS)'!C:C)</f>
        <v>0</v>
      </c>
      <c r="B184" s="35" t="str">
        <f>IF(J184="","",IF(COUNTIFS('Checking(ZSERIALS)'!J:J,MLR!G184,'Checking(ZSERIALS)'!G:G,MLR!J184)=1,"Correct",IF(COUNTIFS('Checking(ZSERIALS)'!J:J,MLR!G184,'Checking(ZSERIALS)'!G:G,MLR!J184)=0,"Incorrect","Err.")))</f>
        <v/>
      </c>
      <c r="C184" s="63">
        <f>_xlfn.XLOOKUP(J184,'Checking(ZSERIALS)'!G:G,'Checking(ZSERIALS)'!F:F)</f>
        <v>0</v>
      </c>
      <c r="E184" s="64"/>
      <c r="F184" s="95"/>
      <c r="G184" s="120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  <c r="AC184" s="95"/>
      <c r="AD184" s="95"/>
      <c r="AE184" s="95"/>
      <c r="AF184" s="95"/>
      <c r="AG184" s="95"/>
      <c r="AH184" s="95"/>
      <c r="AI184" s="95"/>
      <c r="AJ184" s="95"/>
      <c r="AK184" s="95"/>
    </row>
    <row r="185" spans="1:37" hidden="1" x14ac:dyDescent="0.3">
      <c r="A185">
        <f>_xlfn.XLOOKUP(J185,'Checking(ZSERIALS)'!G:G,'Checking(ZSERIALS)'!C:C)</f>
        <v>0</v>
      </c>
      <c r="B185" s="35" t="str">
        <f>IF(J185="","",IF(COUNTIFS('Checking(ZSERIALS)'!J:J,MLR!G185,'Checking(ZSERIALS)'!G:G,MLR!J185)=1,"Correct",IF(COUNTIFS('Checking(ZSERIALS)'!J:J,MLR!G185,'Checking(ZSERIALS)'!G:G,MLR!J185)=0,"Incorrect","Err.")))</f>
        <v/>
      </c>
      <c r="C185" s="63">
        <f>_xlfn.XLOOKUP(J185,'Checking(ZSERIALS)'!G:G,'Checking(ZSERIALS)'!F:F)</f>
        <v>0</v>
      </c>
      <c r="E185" s="64"/>
      <c r="F185" s="95"/>
      <c r="G185" s="120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  <c r="AC185" s="95"/>
      <c r="AD185" s="95"/>
      <c r="AE185" s="95"/>
      <c r="AF185" s="95"/>
      <c r="AG185" s="95"/>
      <c r="AH185" s="95"/>
      <c r="AI185" s="95"/>
      <c r="AJ185" s="95"/>
      <c r="AK185" s="95"/>
    </row>
    <row r="186" spans="1:37" hidden="1" x14ac:dyDescent="0.3">
      <c r="A186">
        <f>_xlfn.XLOOKUP(J186,'Checking(ZSERIALS)'!G:G,'Checking(ZSERIALS)'!C:C)</f>
        <v>0</v>
      </c>
      <c r="B186" s="35" t="str">
        <f>IF(J186="","",IF(COUNTIFS('Checking(ZSERIALS)'!J:J,MLR!G186,'Checking(ZSERIALS)'!G:G,MLR!J186)=1,"Correct",IF(COUNTIFS('Checking(ZSERIALS)'!J:J,MLR!G186,'Checking(ZSERIALS)'!G:G,MLR!J186)=0,"Incorrect","Err.")))</f>
        <v/>
      </c>
      <c r="C186" s="63">
        <f>_xlfn.XLOOKUP(J186,'Checking(ZSERIALS)'!G:G,'Checking(ZSERIALS)'!F:F)</f>
        <v>0</v>
      </c>
      <c r="E186" s="64"/>
      <c r="F186" s="95"/>
      <c r="G186" s="120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  <c r="AC186" s="95"/>
      <c r="AD186" s="95"/>
      <c r="AE186" s="95"/>
      <c r="AF186" s="95"/>
      <c r="AG186" s="95"/>
      <c r="AH186" s="95"/>
      <c r="AI186" s="95"/>
      <c r="AJ186" s="95"/>
      <c r="AK186" s="95"/>
    </row>
    <row r="187" spans="1:37" hidden="1" x14ac:dyDescent="0.3">
      <c r="A187">
        <f>_xlfn.XLOOKUP(J187,'Checking(ZSERIALS)'!G:G,'Checking(ZSERIALS)'!C:C)</f>
        <v>0</v>
      </c>
      <c r="B187" s="35" t="str">
        <f>IF(J187="","",IF(COUNTIFS('Checking(ZSERIALS)'!J:J,MLR!G187,'Checking(ZSERIALS)'!G:G,MLR!J187)=1,"Correct",IF(COUNTIFS('Checking(ZSERIALS)'!J:J,MLR!G187,'Checking(ZSERIALS)'!G:G,MLR!J187)=0,"Incorrect","Err.")))</f>
        <v/>
      </c>
      <c r="C187" s="63">
        <f>_xlfn.XLOOKUP(J187,'Checking(ZSERIALS)'!G:G,'Checking(ZSERIALS)'!F:F)</f>
        <v>0</v>
      </c>
      <c r="E187" s="64"/>
      <c r="F187" s="95"/>
      <c r="G187" s="120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  <c r="AC187" s="95"/>
      <c r="AD187" s="95"/>
      <c r="AE187" s="95"/>
      <c r="AF187" s="95"/>
      <c r="AG187" s="95"/>
      <c r="AH187" s="95"/>
      <c r="AI187" s="95"/>
      <c r="AJ187" s="95"/>
      <c r="AK187" s="95"/>
    </row>
    <row r="188" spans="1:37" hidden="1" x14ac:dyDescent="0.3">
      <c r="A188">
        <f>_xlfn.XLOOKUP(J188,'Checking(ZSERIALS)'!G:G,'Checking(ZSERIALS)'!C:C)</f>
        <v>0</v>
      </c>
      <c r="B188" s="35" t="str">
        <f>IF(J188="","",IF(COUNTIFS('Checking(ZSERIALS)'!J:J,MLR!G188,'Checking(ZSERIALS)'!G:G,MLR!J188)=1,"Correct",IF(COUNTIFS('Checking(ZSERIALS)'!J:J,MLR!G188,'Checking(ZSERIALS)'!G:G,MLR!J188)=0,"Incorrect","Err.")))</f>
        <v/>
      </c>
      <c r="C188" s="63">
        <f>_xlfn.XLOOKUP(J188,'Checking(ZSERIALS)'!G:G,'Checking(ZSERIALS)'!F:F)</f>
        <v>0</v>
      </c>
      <c r="E188" s="64"/>
      <c r="F188" s="95"/>
      <c r="G188" s="120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  <c r="AC188" s="95"/>
      <c r="AD188" s="95"/>
      <c r="AE188" s="95"/>
      <c r="AF188" s="95"/>
      <c r="AG188" s="95"/>
      <c r="AH188" s="95"/>
      <c r="AI188" s="95"/>
      <c r="AJ188" s="95"/>
      <c r="AK188" s="95"/>
    </row>
    <row r="189" spans="1:37" hidden="1" x14ac:dyDescent="0.3">
      <c r="A189">
        <f>_xlfn.XLOOKUP(J189,'Checking(ZSERIALS)'!G:G,'Checking(ZSERIALS)'!C:C)</f>
        <v>0</v>
      </c>
      <c r="B189" s="35" t="str">
        <f>IF(J189="","",IF(COUNTIFS('Checking(ZSERIALS)'!J:J,MLR!G189,'Checking(ZSERIALS)'!G:G,MLR!J189)=1,"Correct",IF(COUNTIFS('Checking(ZSERIALS)'!J:J,MLR!G189,'Checking(ZSERIALS)'!G:G,MLR!J189)=0,"Incorrect","Err.")))</f>
        <v/>
      </c>
      <c r="C189" s="63">
        <f>_xlfn.XLOOKUP(J189,'Checking(ZSERIALS)'!G:G,'Checking(ZSERIALS)'!F:F)</f>
        <v>0</v>
      </c>
      <c r="E189" s="26"/>
      <c r="F189" s="69"/>
      <c r="G189" s="13"/>
      <c r="H189" s="12"/>
      <c r="I189" s="10"/>
      <c r="J189" s="76"/>
      <c r="K189" s="11"/>
      <c r="L189" s="11"/>
      <c r="M189" s="11"/>
      <c r="N189" s="69"/>
      <c r="O189" s="69"/>
      <c r="P189" s="69"/>
      <c r="Q189" s="69"/>
      <c r="R189" s="69"/>
      <c r="S189" s="10"/>
      <c r="T189" s="69"/>
      <c r="U189" s="10"/>
      <c r="V189" s="69"/>
      <c r="W189" s="69"/>
      <c r="X189" s="69"/>
      <c r="Y189" s="10"/>
      <c r="Z189" s="11"/>
      <c r="AA189" s="11"/>
      <c r="AB189" s="11"/>
      <c r="AC189" s="11"/>
      <c r="AD189" s="11"/>
      <c r="AE189" s="11"/>
      <c r="AF189" s="11"/>
      <c r="AG189" s="11"/>
      <c r="AH189" s="69"/>
      <c r="AI189" s="69"/>
      <c r="AJ189" s="95"/>
      <c r="AK189" s="95"/>
    </row>
    <row r="190" spans="1:37" hidden="1" x14ac:dyDescent="0.3">
      <c r="A190">
        <f>_xlfn.XLOOKUP(J190,'Checking(ZSERIALS)'!G:G,'Checking(ZSERIALS)'!C:C)</f>
        <v>0</v>
      </c>
      <c r="B190" s="35" t="str">
        <f>IF(J190="","",IF(COUNTIFS('Checking(ZSERIALS)'!J:J,MLR!G190,'Checking(ZSERIALS)'!G:G,MLR!J190)=1,"Correct",IF(COUNTIFS('Checking(ZSERIALS)'!J:J,MLR!G190,'Checking(ZSERIALS)'!G:G,MLR!J190)=0,"Incorrect","Err.")))</f>
        <v/>
      </c>
      <c r="C190" s="63">
        <f>_xlfn.XLOOKUP(J190,'Checking(ZSERIALS)'!G:G,'Checking(ZSERIALS)'!F:F)</f>
        <v>0</v>
      </c>
      <c r="E190" s="26"/>
      <c r="F190" s="69"/>
      <c r="G190" s="13"/>
      <c r="H190" s="70"/>
      <c r="I190" s="10"/>
      <c r="J190" s="76"/>
      <c r="K190" s="11"/>
      <c r="L190" s="11"/>
      <c r="M190" s="11"/>
      <c r="N190" s="69"/>
      <c r="O190" s="69"/>
      <c r="P190" s="69"/>
      <c r="Q190" s="69"/>
      <c r="R190" s="69"/>
      <c r="S190" s="10"/>
      <c r="T190" s="69"/>
      <c r="U190" s="10"/>
      <c r="V190" s="69"/>
      <c r="W190" s="69"/>
      <c r="X190" s="69"/>
      <c r="Y190" s="10"/>
      <c r="Z190" s="11"/>
      <c r="AA190" s="11"/>
      <c r="AB190" s="11"/>
      <c r="AC190" s="11"/>
      <c r="AD190" s="11"/>
      <c r="AE190" s="11"/>
      <c r="AF190" s="11"/>
      <c r="AG190" s="11"/>
      <c r="AH190" s="69"/>
      <c r="AI190" s="69"/>
      <c r="AJ190" s="95"/>
      <c r="AK190" s="95"/>
    </row>
    <row r="191" spans="1:37" hidden="1" x14ac:dyDescent="0.3">
      <c r="A191">
        <f>_xlfn.XLOOKUP(J191,'Checking(ZSERIALS)'!G:G,'Checking(ZSERIALS)'!C:C)</f>
        <v>0</v>
      </c>
      <c r="B191" s="35" t="str">
        <f>IF(J191="","",IF(COUNTIFS('Checking(ZSERIALS)'!J:J,MLR!G191,'Checking(ZSERIALS)'!G:G,MLR!J191)=1,"Correct",IF(COUNTIFS('Checking(ZSERIALS)'!J:J,MLR!G191,'Checking(ZSERIALS)'!G:G,MLR!J191)=0,"Incorrect","Err.")))</f>
        <v/>
      </c>
      <c r="C191" s="63">
        <f>_xlfn.XLOOKUP(J191,'Checking(ZSERIALS)'!G:G,'Checking(ZSERIALS)'!F:F)</f>
        <v>0</v>
      </c>
      <c r="E191" s="10"/>
      <c r="F191" s="10"/>
      <c r="G191" s="9"/>
      <c r="H191" s="8"/>
      <c r="I191" s="10"/>
      <c r="J191" s="72"/>
      <c r="K191" s="11"/>
      <c r="L191" s="11"/>
      <c r="M191" s="11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1"/>
      <c r="AA191" s="11"/>
      <c r="AB191" s="11"/>
      <c r="AC191" s="11"/>
      <c r="AD191" s="11"/>
      <c r="AE191" s="11"/>
      <c r="AF191" s="11"/>
      <c r="AG191" s="11"/>
      <c r="AH191" s="10"/>
      <c r="AI191" s="10"/>
      <c r="AJ191" s="95"/>
      <c r="AK191" s="95"/>
    </row>
    <row r="192" spans="1:37" hidden="1" x14ac:dyDescent="0.3">
      <c r="A192">
        <f>_xlfn.XLOOKUP(J192,'Checking(ZSERIALS)'!G:G,'Checking(ZSERIALS)'!C:C)</f>
        <v>0</v>
      </c>
      <c r="B192" s="35" t="str">
        <f>IF(J192="","",IF(COUNTIFS('Checking(ZSERIALS)'!J:J,MLR!G192,'Checking(ZSERIALS)'!G:G,MLR!J192)=1,"Correct",IF(COUNTIFS('Checking(ZSERIALS)'!J:J,MLR!G192,'Checking(ZSERIALS)'!G:G,MLR!J192)=0,"Incorrect","Err.")))</f>
        <v/>
      </c>
      <c r="C192" s="63">
        <f>_xlfn.XLOOKUP(J192,'Checking(ZSERIALS)'!G:G,'Checking(ZSERIALS)'!F:F)</f>
        <v>0</v>
      </c>
      <c r="E192" s="69"/>
      <c r="F192" s="69"/>
      <c r="G192" s="13"/>
      <c r="H192" s="12"/>
      <c r="I192" s="10"/>
      <c r="J192" s="76"/>
      <c r="K192" s="11"/>
      <c r="L192" s="11"/>
      <c r="M192" s="11"/>
      <c r="N192" s="69"/>
      <c r="O192" s="69"/>
      <c r="P192" s="69"/>
      <c r="Q192" s="69"/>
      <c r="R192" s="69"/>
      <c r="S192" s="10"/>
      <c r="T192" s="69"/>
      <c r="U192" s="10"/>
      <c r="V192" s="69"/>
      <c r="W192" s="69"/>
      <c r="X192" s="69"/>
      <c r="Y192" s="10"/>
      <c r="Z192" s="11"/>
      <c r="AA192" s="11"/>
      <c r="AB192" s="11"/>
      <c r="AC192" s="11"/>
      <c r="AD192" s="11"/>
      <c r="AE192" s="11"/>
      <c r="AF192" s="11"/>
      <c r="AG192" s="11"/>
      <c r="AH192" s="69"/>
      <c r="AI192" s="69"/>
      <c r="AJ192" s="95"/>
      <c r="AK192" s="95"/>
    </row>
    <row r="193" spans="1:37" hidden="1" x14ac:dyDescent="0.3">
      <c r="A193">
        <f>_xlfn.XLOOKUP(J193,'Checking(ZSERIALS)'!G:G,'Checking(ZSERIALS)'!C:C)</f>
        <v>0</v>
      </c>
      <c r="B193" s="35" t="str">
        <f>IF(J193="","",IF(COUNTIFS('Checking(ZSERIALS)'!J:J,MLR!G193,'Checking(ZSERIALS)'!G:G,MLR!J193)=1,"Correct",IF(COUNTIFS('Checking(ZSERIALS)'!J:J,MLR!G193,'Checking(ZSERIALS)'!G:G,MLR!J193)=0,"Incorrect","Err.")))</f>
        <v/>
      </c>
      <c r="C193" s="63">
        <f>_xlfn.XLOOKUP(J193,'Checking(ZSERIALS)'!G:G,'Checking(ZSERIALS)'!F:F)</f>
        <v>0</v>
      </c>
      <c r="E193" s="15"/>
      <c r="F193" s="10"/>
      <c r="G193" s="9"/>
      <c r="H193" s="21"/>
      <c r="I193" s="10"/>
      <c r="J193" s="72"/>
      <c r="K193" s="11"/>
      <c r="L193" s="11"/>
      <c r="M193" s="11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1"/>
      <c r="AA193" s="11"/>
      <c r="AB193" s="11"/>
      <c r="AC193" s="11"/>
      <c r="AD193" s="11"/>
      <c r="AE193" s="11"/>
      <c r="AF193" s="11"/>
      <c r="AG193" s="11"/>
      <c r="AH193" s="10"/>
      <c r="AI193" s="10"/>
      <c r="AJ193" s="95"/>
      <c r="AK193" s="95"/>
    </row>
    <row r="194" spans="1:37" hidden="1" x14ac:dyDescent="0.3">
      <c r="A194">
        <f>_xlfn.XLOOKUP(J194,'Checking(ZSERIALS)'!G:G,'Checking(ZSERIALS)'!C:C)</f>
        <v>0</v>
      </c>
      <c r="B194" s="35" t="str">
        <f>IF(J194="","",IF(COUNTIFS('Checking(ZSERIALS)'!J:J,MLR!G194,'Checking(ZSERIALS)'!G:G,MLR!J194)=1,"Correct",IF(COUNTIFS('Checking(ZSERIALS)'!J:J,MLR!G194,'Checking(ZSERIALS)'!G:G,MLR!J194)=0,"Incorrect","Err.")))</f>
        <v/>
      </c>
      <c r="C194" s="63">
        <f>_xlfn.XLOOKUP(J194,'Checking(ZSERIALS)'!G:G,'Checking(ZSERIALS)'!F:F)</f>
        <v>0</v>
      </c>
      <c r="E194" s="26"/>
      <c r="F194" s="69"/>
      <c r="G194" s="13"/>
      <c r="H194" s="70"/>
      <c r="I194" s="10"/>
      <c r="J194" s="76"/>
      <c r="K194" s="11"/>
      <c r="L194" s="11"/>
      <c r="M194" s="11"/>
      <c r="N194" s="69"/>
      <c r="O194" s="69"/>
      <c r="P194" s="69"/>
      <c r="Q194" s="69"/>
      <c r="R194" s="69"/>
      <c r="S194" s="10"/>
      <c r="T194" s="69"/>
      <c r="U194" s="10"/>
      <c r="V194" s="69"/>
      <c r="W194" s="69"/>
      <c r="X194" s="69"/>
      <c r="Y194" s="10"/>
      <c r="Z194" s="11"/>
      <c r="AA194" s="11"/>
      <c r="AB194" s="11"/>
      <c r="AC194" s="11"/>
      <c r="AD194" s="11"/>
      <c r="AE194" s="11"/>
      <c r="AF194" s="11"/>
      <c r="AG194" s="11"/>
      <c r="AH194" s="69"/>
      <c r="AI194" s="69"/>
      <c r="AJ194" s="95"/>
      <c r="AK194" s="95"/>
    </row>
    <row r="195" spans="1:37" hidden="1" x14ac:dyDescent="0.3">
      <c r="A195">
        <f>_xlfn.XLOOKUP(J195,'Checking(ZSERIALS)'!G:G,'Checking(ZSERIALS)'!C:C)</f>
        <v>0</v>
      </c>
      <c r="B195" s="35" t="str">
        <f>IF(J195="","",IF(COUNTIFS('Checking(ZSERIALS)'!J:J,MLR!G195,'Checking(ZSERIALS)'!G:G,MLR!J195)=1,"Correct",IF(COUNTIFS('Checking(ZSERIALS)'!J:J,MLR!G195,'Checking(ZSERIALS)'!G:G,MLR!J195)=0,"Incorrect","Err.")))</f>
        <v/>
      </c>
      <c r="C195" s="63">
        <f>_xlfn.XLOOKUP(J195,'Checking(ZSERIALS)'!G:G,'Checking(ZSERIALS)'!F:F)</f>
        <v>0</v>
      </c>
      <c r="E195" s="15"/>
      <c r="F195" s="10"/>
      <c r="G195" s="9"/>
      <c r="H195" s="21"/>
      <c r="I195" s="10"/>
      <c r="J195" s="72"/>
      <c r="K195" s="11"/>
      <c r="L195" s="11"/>
      <c r="M195" s="11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1"/>
      <c r="AA195" s="11"/>
      <c r="AB195" s="11"/>
      <c r="AC195" s="11"/>
      <c r="AD195" s="11"/>
      <c r="AE195" s="11"/>
      <c r="AF195" s="11"/>
      <c r="AG195" s="11"/>
      <c r="AH195" s="10"/>
      <c r="AI195" s="10"/>
      <c r="AJ195" s="95"/>
      <c r="AK195" s="95"/>
    </row>
    <row r="196" spans="1:37" hidden="1" x14ac:dyDescent="0.3">
      <c r="A196">
        <f>_xlfn.XLOOKUP(J196,'Checking(ZSERIALS)'!G:G,'Checking(ZSERIALS)'!C:C)</f>
        <v>0</v>
      </c>
      <c r="B196" s="35" t="str">
        <f>IF(J196="","",IF(COUNTIFS('Checking(ZSERIALS)'!J:J,MLR!G196,'Checking(ZSERIALS)'!G:G,MLR!J196)=1,"Correct",IF(COUNTIFS('Checking(ZSERIALS)'!J:J,MLR!G196,'Checking(ZSERIALS)'!G:G,MLR!J196)=0,"Incorrect","Err.")))</f>
        <v/>
      </c>
      <c r="C196" s="63">
        <f>_xlfn.XLOOKUP(J196,'Checking(ZSERIALS)'!G:G,'Checking(ZSERIALS)'!F:F)</f>
        <v>0</v>
      </c>
      <c r="E196" s="57"/>
      <c r="F196" s="10"/>
      <c r="G196" s="9"/>
      <c r="H196" s="21"/>
      <c r="I196" s="10"/>
      <c r="J196" s="76"/>
      <c r="K196" s="11"/>
      <c r="L196" s="11"/>
      <c r="M196" s="11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1"/>
      <c r="AA196" s="11"/>
      <c r="AB196" s="11"/>
      <c r="AC196" s="11"/>
      <c r="AD196" s="11"/>
      <c r="AE196" s="11"/>
      <c r="AF196" s="11"/>
      <c r="AG196" s="11"/>
      <c r="AH196" s="10"/>
      <c r="AI196" s="10"/>
      <c r="AJ196" s="95"/>
      <c r="AK196" s="95"/>
    </row>
    <row r="197" spans="1:37" hidden="1" x14ac:dyDescent="0.3">
      <c r="A197">
        <f>_xlfn.XLOOKUP(J197,'Checking(ZSERIALS)'!G:G,'Checking(ZSERIALS)'!C:C)</f>
        <v>0</v>
      </c>
      <c r="B197" s="35" t="str">
        <f>IF(J197="","",IF(COUNTIFS('Checking(ZSERIALS)'!J:J,MLR!G197,'Checking(ZSERIALS)'!G:G,MLR!J197)=1,"Correct",IF(COUNTIFS('Checking(ZSERIALS)'!J:J,MLR!G197,'Checking(ZSERIALS)'!G:G,MLR!J197)=0,"Incorrect","Err.")))</f>
        <v/>
      </c>
      <c r="C197" s="63">
        <f>_xlfn.XLOOKUP(J197,'Checking(ZSERIALS)'!G:G,'Checking(ZSERIALS)'!F:F)</f>
        <v>0</v>
      </c>
      <c r="E197" s="10"/>
      <c r="F197" s="10"/>
      <c r="G197" s="9"/>
      <c r="H197" s="8"/>
      <c r="I197" s="10"/>
      <c r="J197" s="76"/>
      <c r="K197" s="11"/>
      <c r="L197" s="11"/>
      <c r="M197" s="11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1"/>
      <c r="AA197" s="11"/>
      <c r="AB197" s="11"/>
      <c r="AC197" s="11"/>
      <c r="AD197" s="11"/>
      <c r="AE197" s="11"/>
      <c r="AF197" s="11"/>
      <c r="AG197" s="11"/>
      <c r="AH197" s="10"/>
      <c r="AI197" s="10"/>
      <c r="AJ197" s="95"/>
      <c r="AK197" s="95"/>
    </row>
    <row r="198" spans="1:37" hidden="1" x14ac:dyDescent="0.3">
      <c r="A198">
        <f>_xlfn.XLOOKUP(J198,'Checking(ZSERIALS)'!G:G,'Checking(ZSERIALS)'!C:C)</f>
        <v>0</v>
      </c>
      <c r="B198" s="35" t="str">
        <f>IF(J198="","",IF(COUNTIFS('Checking(ZSERIALS)'!J:J,MLR!G198,'Checking(ZSERIALS)'!G:G,MLR!J198)=1,"Correct",IF(COUNTIFS('Checking(ZSERIALS)'!J:J,MLR!G198,'Checking(ZSERIALS)'!G:G,MLR!J198)=0,"Incorrect","Err.")))</f>
        <v/>
      </c>
      <c r="C198" s="63">
        <f>_xlfn.XLOOKUP(J198,'Checking(ZSERIALS)'!G:G,'Checking(ZSERIALS)'!F:F)</f>
        <v>0</v>
      </c>
      <c r="E198" s="10"/>
      <c r="F198" s="10"/>
      <c r="G198" s="9"/>
      <c r="H198" s="21"/>
      <c r="I198" s="10"/>
      <c r="J198" s="76"/>
      <c r="K198" s="11"/>
      <c r="L198" s="11"/>
      <c r="M198" s="11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1"/>
      <c r="AA198" s="11"/>
      <c r="AB198" s="11"/>
      <c r="AC198" s="11"/>
      <c r="AD198" s="11"/>
      <c r="AE198" s="11"/>
      <c r="AF198" s="11"/>
      <c r="AG198" s="11"/>
      <c r="AH198" s="10"/>
      <c r="AI198" s="10"/>
      <c r="AJ198" s="95"/>
      <c r="AK198" s="95"/>
    </row>
    <row r="199" spans="1:37" hidden="1" x14ac:dyDescent="0.3">
      <c r="A199">
        <f>_xlfn.XLOOKUP(J199,'Checking(ZSERIALS)'!G:G,'Checking(ZSERIALS)'!C:C)</f>
        <v>0</v>
      </c>
      <c r="B199" s="35" t="str">
        <f>IF(J199="","",IF(COUNTIFS('Checking(ZSERIALS)'!J:J,MLR!G199,'Checking(ZSERIALS)'!G:G,MLR!J199)=1,"Correct",IF(COUNTIFS('Checking(ZSERIALS)'!J:J,MLR!G199,'Checking(ZSERIALS)'!G:G,MLR!J199)=0,"Incorrect","Err.")))</f>
        <v/>
      </c>
      <c r="C199" s="63">
        <f>_xlfn.XLOOKUP(J199,'Checking(ZSERIALS)'!G:G,'Checking(ZSERIALS)'!F:F)</f>
        <v>0</v>
      </c>
      <c r="E199" s="10"/>
      <c r="F199" s="10"/>
      <c r="G199" s="9"/>
      <c r="H199" s="21"/>
      <c r="I199" s="10"/>
      <c r="J199" s="72"/>
      <c r="K199" s="11"/>
      <c r="L199" s="11"/>
      <c r="M199" s="11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1"/>
      <c r="AA199" s="11"/>
      <c r="AB199" s="11"/>
      <c r="AC199" s="11"/>
      <c r="AD199" s="11"/>
      <c r="AE199" s="11"/>
      <c r="AF199" s="11"/>
      <c r="AG199" s="11"/>
      <c r="AH199" s="10"/>
      <c r="AI199" s="10"/>
      <c r="AJ199" s="95"/>
      <c r="AK199" s="95"/>
    </row>
    <row r="200" spans="1:37" hidden="1" x14ac:dyDescent="0.3">
      <c r="A200">
        <f>_xlfn.XLOOKUP(J200,'Checking(ZSERIALS)'!G:G,'Checking(ZSERIALS)'!C:C)</f>
        <v>0</v>
      </c>
      <c r="B200" s="35" t="str">
        <f>IF(J200="","",IF(COUNTIFS('Checking(ZSERIALS)'!J:J,MLR!G200,'Checking(ZSERIALS)'!G:G,MLR!J200)=1,"Correct",IF(COUNTIFS('Checking(ZSERIALS)'!J:J,MLR!G200,'Checking(ZSERIALS)'!G:G,MLR!J200)=0,"Incorrect","Err.")))</f>
        <v/>
      </c>
      <c r="C200" s="63">
        <f>_xlfn.XLOOKUP(J200,'Checking(ZSERIALS)'!G:G,'Checking(ZSERIALS)'!F:F)</f>
        <v>0</v>
      </c>
      <c r="E200" s="10"/>
      <c r="F200" s="10"/>
      <c r="G200" s="9"/>
      <c r="H200" s="21"/>
      <c r="I200" s="10"/>
      <c r="J200" s="72"/>
      <c r="K200" s="71"/>
      <c r="L200" s="71"/>
      <c r="M200" s="71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71"/>
      <c r="AA200" s="71"/>
      <c r="AB200" s="71"/>
      <c r="AC200" s="71"/>
      <c r="AD200" s="71"/>
      <c r="AE200" s="71"/>
      <c r="AF200" s="71"/>
      <c r="AG200" s="71"/>
      <c r="AH200" s="69"/>
      <c r="AI200" s="69"/>
      <c r="AJ200" s="95"/>
      <c r="AK200" s="95"/>
    </row>
    <row r="201" spans="1:37" hidden="1" x14ac:dyDescent="0.3">
      <c r="A201">
        <f>_xlfn.XLOOKUP(J201,'Checking(ZSERIALS)'!G:G,'Checking(ZSERIALS)'!C:C)</f>
        <v>0</v>
      </c>
      <c r="B201" s="35" t="str">
        <f>IF(J201="","",IF(COUNTIFS('Checking(ZSERIALS)'!J:J,MLR!G201,'Checking(ZSERIALS)'!G:G,MLR!J201)=1,"Correct",IF(COUNTIFS('Checking(ZSERIALS)'!J:J,MLR!G201,'Checking(ZSERIALS)'!G:G,MLR!J201)=0,"Incorrect","Err.")))</f>
        <v/>
      </c>
      <c r="C201" s="63">
        <f>_xlfn.XLOOKUP(J201,'Checking(ZSERIALS)'!G:G,'Checking(ZSERIALS)'!F:F)</f>
        <v>0</v>
      </c>
      <c r="G201" s="32"/>
      <c r="H201"/>
    </row>
    <row r="202" spans="1:37" hidden="1" x14ac:dyDescent="0.3">
      <c r="A202">
        <f>_xlfn.XLOOKUP(J202,'Checking(ZSERIALS)'!G:G,'Checking(ZSERIALS)'!C:C)</f>
        <v>0</v>
      </c>
      <c r="B202" s="35" t="str">
        <f>IF(J202="","",IF(COUNTIFS('Checking(ZSERIALS)'!J:J,MLR!G202,'Checking(ZSERIALS)'!G:G,MLR!J202)=1,"Correct",IF(COUNTIFS('Checking(ZSERIALS)'!J:J,MLR!G202,'Checking(ZSERIALS)'!G:G,MLR!J202)=0,"Incorrect","Err.")))</f>
        <v/>
      </c>
      <c r="C202" s="63">
        <f>_xlfn.XLOOKUP(J202,'Checking(ZSERIALS)'!G:G,'Checking(ZSERIALS)'!F:F)</f>
        <v>0</v>
      </c>
      <c r="G202" s="32"/>
      <c r="H202"/>
    </row>
    <row r="203" spans="1:37" hidden="1" x14ac:dyDescent="0.3">
      <c r="A203">
        <f>_xlfn.XLOOKUP(J203,'Checking(ZSERIALS)'!G:G,'Checking(ZSERIALS)'!C:C)</f>
        <v>0</v>
      </c>
      <c r="B203" s="35" t="str">
        <f>IF(J203="","",IF(COUNTIFS('Checking(ZSERIALS)'!J:J,MLR!G203,'Checking(ZSERIALS)'!G:G,MLR!J203)=1,"Correct",IF(COUNTIFS('Checking(ZSERIALS)'!J:J,MLR!G203,'Checking(ZSERIALS)'!G:G,MLR!J203)=0,"Incorrect","Err.")))</f>
        <v/>
      </c>
      <c r="C203" s="63">
        <f>_xlfn.XLOOKUP(J203,'Checking(ZSERIALS)'!G:G,'Checking(ZSERIALS)'!F:F)</f>
        <v>0</v>
      </c>
      <c r="G203" s="32"/>
      <c r="H203"/>
    </row>
    <row r="204" spans="1:37" hidden="1" x14ac:dyDescent="0.3">
      <c r="A204">
        <f>_xlfn.XLOOKUP(J204,'Checking(ZSERIALS)'!G:G,'Checking(ZSERIALS)'!C:C)</f>
        <v>0</v>
      </c>
      <c r="B204" s="35" t="str">
        <f>IF(J204="","",IF(COUNTIFS('Checking(ZSERIALS)'!J:J,MLR!G204,'Checking(ZSERIALS)'!G:G,MLR!J204)=1,"Correct",IF(COUNTIFS('Checking(ZSERIALS)'!J:J,MLR!G204,'Checking(ZSERIALS)'!G:G,MLR!J204)=0,"Incorrect","Err.")))</f>
        <v/>
      </c>
      <c r="C204" s="63">
        <f>_xlfn.XLOOKUP(J204,'Checking(ZSERIALS)'!G:G,'Checking(ZSERIALS)'!F:F)</f>
        <v>0</v>
      </c>
      <c r="G204" s="32"/>
      <c r="H204"/>
    </row>
    <row r="205" spans="1:37" hidden="1" x14ac:dyDescent="0.3">
      <c r="A205">
        <f>_xlfn.XLOOKUP(J205,'Checking(ZSERIALS)'!G:G,'Checking(ZSERIALS)'!C:C)</f>
        <v>0</v>
      </c>
      <c r="B205" s="35" t="str">
        <f>IF(J205="","",IF(COUNTIFS('Checking(ZSERIALS)'!J:J,MLR!G205,'Checking(ZSERIALS)'!G:G,MLR!J205)=1,"Correct",IF(COUNTIFS('Checking(ZSERIALS)'!J:J,MLR!G205,'Checking(ZSERIALS)'!G:G,MLR!J205)=0,"Incorrect","Err.")))</f>
        <v/>
      </c>
      <c r="C205" s="63">
        <f>_xlfn.XLOOKUP(J205,'Checking(ZSERIALS)'!G:G,'Checking(ZSERIALS)'!F:F)</f>
        <v>0</v>
      </c>
      <c r="G205" s="32"/>
      <c r="H205"/>
    </row>
    <row r="206" spans="1:37" hidden="1" x14ac:dyDescent="0.3">
      <c r="A206">
        <f>_xlfn.XLOOKUP(J206,'Checking(ZSERIALS)'!G:G,'Checking(ZSERIALS)'!C:C)</f>
        <v>0</v>
      </c>
      <c r="B206" s="35" t="str">
        <f>IF(J206="","",IF(COUNTIFS('Checking(ZSERIALS)'!J:J,MLR!G206,'Checking(ZSERIALS)'!G:G,MLR!J206)=1,"Correct",IF(COUNTIFS('Checking(ZSERIALS)'!J:J,MLR!G206,'Checking(ZSERIALS)'!G:G,MLR!J206)=0,"Incorrect","Err.")))</f>
        <v/>
      </c>
      <c r="C206" s="63">
        <f>_xlfn.XLOOKUP(J206,'Checking(ZSERIALS)'!G:G,'Checking(ZSERIALS)'!F:F)</f>
        <v>0</v>
      </c>
      <c r="G206" s="32"/>
      <c r="H206"/>
    </row>
    <row r="207" spans="1:37" hidden="1" x14ac:dyDescent="0.3">
      <c r="A207">
        <f>_xlfn.XLOOKUP(J207,'Checking(ZSERIALS)'!G:G,'Checking(ZSERIALS)'!C:C)</f>
        <v>0</v>
      </c>
      <c r="B207" s="35" t="str">
        <f>IF(J207="","",IF(COUNTIFS('Checking(ZSERIALS)'!J:J,MLR!G207,'Checking(ZSERIALS)'!G:G,MLR!J207)=1,"Correct",IF(COUNTIFS('Checking(ZSERIALS)'!J:J,MLR!G207,'Checking(ZSERIALS)'!G:G,MLR!J207)=0,"Incorrect","Err.")))</f>
        <v/>
      </c>
      <c r="C207" s="63">
        <f>_xlfn.XLOOKUP(J207,'Checking(ZSERIALS)'!G:G,'Checking(ZSERIALS)'!F:F)</f>
        <v>0</v>
      </c>
      <c r="G207" s="32"/>
      <c r="H207"/>
    </row>
    <row r="208" spans="1:37" hidden="1" x14ac:dyDescent="0.3">
      <c r="A208">
        <f>_xlfn.XLOOKUP(J208,'Checking(ZSERIALS)'!G:G,'Checking(ZSERIALS)'!C:C)</f>
        <v>0</v>
      </c>
      <c r="B208" s="35" t="str">
        <f>IF(J208="","",IF(COUNTIFS('Checking(ZSERIALS)'!J:J,MLR!G208,'Checking(ZSERIALS)'!G:G,MLR!J208)=1,"Correct",IF(COUNTIFS('Checking(ZSERIALS)'!J:J,MLR!G208,'Checking(ZSERIALS)'!G:G,MLR!J208)=0,"Incorrect","Err.")))</f>
        <v/>
      </c>
      <c r="C208" s="63">
        <f>_xlfn.XLOOKUP(J208,'Checking(ZSERIALS)'!G:G,'Checking(ZSERIALS)'!F:F)</f>
        <v>0</v>
      </c>
      <c r="G208" s="32"/>
      <c r="H208"/>
    </row>
    <row r="209" spans="1:8" hidden="1" x14ac:dyDescent="0.3">
      <c r="A209">
        <f>_xlfn.XLOOKUP(J209,'Checking(ZSERIALS)'!G:G,'Checking(ZSERIALS)'!C:C)</f>
        <v>0</v>
      </c>
      <c r="B209" s="35" t="str">
        <f>IF(J209="","",IF(COUNTIFS('Checking(ZSERIALS)'!J:J,MLR!G209,'Checking(ZSERIALS)'!G:G,MLR!J209)=1,"Correct",IF(COUNTIFS('Checking(ZSERIALS)'!J:J,MLR!G209,'Checking(ZSERIALS)'!G:G,MLR!J209)=0,"Incorrect","Err.")))</f>
        <v/>
      </c>
      <c r="C209" s="63">
        <f>_xlfn.XLOOKUP(J209,'Checking(ZSERIALS)'!G:G,'Checking(ZSERIALS)'!F:F)</f>
        <v>0</v>
      </c>
      <c r="G209" s="32"/>
      <c r="H209"/>
    </row>
    <row r="210" spans="1:8" hidden="1" x14ac:dyDescent="0.3">
      <c r="A210">
        <f>_xlfn.XLOOKUP(J210,'Checking(ZSERIALS)'!G:G,'Checking(ZSERIALS)'!C:C)</f>
        <v>0</v>
      </c>
      <c r="B210" s="35" t="str">
        <f>IF(J210="","",IF(COUNTIFS('Checking(ZSERIALS)'!J:J,MLR!G210,'Checking(ZSERIALS)'!G:G,MLR!J210)=1,"Correct",IF(COUNTIFS('Checking(ZSERIALS)'!J:J,MLR!G210,'Checking(ZSERIALS)'!G:G,MLR!J210)=0,"Incorrect","Err.")))</f>
        <v/>
      </c>
      <c r="C210" s="63">
        <f>_xlfn.XLOOKUP(J210,'Checking(ZSERIALS)'!G:G,'Checking(ZSERIALS)'!F:F)</f>
        <v>0</v>
      </c>
      <c r="G210" s="32"/>
      <c r="H210"/>
    </row>
    <row r="211" spans="1:8" hidden="1" x14ac:dyDescent="0.3">
      <c r="A211">
        <f>_xlfn.XLOOKUP(J211,'Checking(ZSERIALS)'!G:G,'Checking(ZSERIALS)'!C:C)</f>
        <v>0</v>
      </c>
      <c r="B211" s="35" t="str">
        <f>IF(J211="","",IF(COUNTIFS('Checking(ZSERIALS)'!J:J,MLR!G211,'Checking(ZSERIALS)'!G:G,MLR!J211)=1,"Correct",IF(COUNTIFS('Checking(ZSERIALS)'!J:J,MLR!G211,'Checking(ZSERIALS)'!G:G,MLR!J211)=0,"Incorrect","Err.")))</f>
        <v/>
      </c>
      <c r="C211" s="63">
        <f>_xlfn.XLOOKUP(J211,'Checking(ZSERIALS)'!G:G,'Checking(ZSERIALS)'!F:F)</f>
        <v>0</v>
      </c>
      <c r="G211" s="32"/>
      <c r="H211"/>
    </row>
    <row r="212" spans="1:8" hidden="1" x14ac:dyDescent="0.3">
      <c r="A212">
        <f>_xlfn.XLOOKUP(J212,'Checking(ZSERIALS)'!G:G,'Checking(ZSERIALS)'!C:C)</f>
        <v>0</v>
      </c>
      <c r="B212" s="35" t="str">
        <f>IF(J212="","",IF(COUNTIFS('Checking(ZSERIALS)'!J:J,MLR!G212,'Checking(ZSERIALS)'!G:G,MLR!J212)=1,"Correct",IF(COUNTIFS('Checking(ZSERIALS)'!J:J,MLR!G212,'Checking(ZSERIALS)'!G:G,MLR!J212)=0,"Incorrect","Err.")))</f>
        <v/>
      </c>
      <c r="C212" s="63">
        <f>_xlfn.XLOOKUP(J212,'Checking(ZSERIALS)'!G:G,'Checking(ZSERIALS)'!F:F)</f>
        <v>0</v>
      </c>
      <c r="G212" s="32"/>
      <c r="H212"/>
    </row>
    <row r="213" spans="1:8" hidden="1" x14ac:dyDescent="0.3">
      <c r="A213">
        <f>_xlfn.XLOOKUP(J213,'Checking(ZSERIALS)'!G:G,'Checking(ZSERIALS)'!C:C)</f>
        <v>0</v>
      </c>
      <c r="B213" s="35" t="str">
        <f>IF(J213="","",IF(COUNTIFS('Checking(ZSERIALS)'!J:J,MLR!G213,'Checking(ZSERIALS)'!G:G,MLR!J213)=1,"Correct",IF(COUNTIFS('Checking(ZSERIALS)'!J:J,MLR!G213,'Checking(ZSERIALS)'!G:G,MLR!J213)=0,"Incorrect","Err.")))</f>
        <v/>
      </c>
      <c r="C213" s="63">
        <f>_xlfn.XLOOKUP(J213,'Checking(ZSERIALS)'!G:G,'Checking(ZSERIALS)'!F:F)</f>
        <v>0</v>
      </c>
      <c r="G213" s="32"/>
      <c r="H213"/>
    </row>
    <row r="214" spans="1:8" hidden="1" x14ac:dyDescent="0.3">
      <c r="A214">
        <f>_xlfn.XLOOKUP(J214,'Checking(ZSERIALS)'!G:G,'Checking(ZSERIALS)'!C:C)</f>
        <v>0</v>
      </c>
      <c r="B214" s="35" t="str">
        <f>IF(J214="","",IF(COUNTIFS('Checking(ZSERIALS)'!J:J,MLR!G214,'Checking(ZSERIALS)'!G:G,MLR!J214)=1,"Correct",IF(COUNTIFS('Checking(ZSERIALS)'!J:J,MLR!G214,'Checking(ZSERIALS)'!G:G,MLR!J214)=0,"Incorrect","Err.")))</f>
        <v/>
      </c>
      <c r="C214" s="63">
        <f>_xlfn.XLOOKUP(J214,'Checking(ZSERIALS)'!G:G,'Checking(ZSERIALS)'!F:F)</f>
        <v>0</v>
      </c>
      <c r="G214" s="32"/>
      <c r="H214"/>
    </row>
    <row r="215" spans="1:8" hidden="1" x14ac:dyDescent="0.3">
      <c r="A215">
        <f>_xlfn.XLOOKUP(J215,'Checking(ZSERIALS)'!G:G,'Checking(ZSERIALS)'!C:C)</f>
        <v>0</v>
      </c>
      <c r="B215" s="35" t="str">
        <f>IF(J215="","",IF(COUNTIFS('Checking(ZSERIALS)'!J:J,MLR!G215,'Checking(ZSERIALS)'!G:G,MLR!J215)=1,"Correct",IF(COUNTIFS('Checking(ZSERIALS)'!J:J,MLR!G215,'Checking(ZSERIALS)'!G:G,MLR!J215)=0,"Incorrect","Err.")))</f>
        <v/>
      </c>
      <c r="C215" s="63">
        <f>_xlfn.XLOOKUP(J215,'Checking(ZSERIALS)'!G:G,'Checking(ZSERIALS)'!F:F)</f>
        <v>0</v>
      </c>
      <c r="G215" s="32"/>
      <c r="H215"/>
    </row>
    <row r="216" spans="1:8" hidden="1" x14ac:dyDescent="0.3">
      <c r="A216">
        <f>_xlfn.XLOOKUP(J216,'Checking(ZSERIALS)'!G:G,'Checking(ZSERIALS)'!C:C)</f>
        <v>0</v>
      </c>
      <c r="B216" s="35" t="str">
        <f>IF(J216="","",IF(COUNTIFS('Checking(ZSERIALS)'!J:J,MLR!G216,'Checking(ZSERIALS)'!G:G,MLR!J216)=1,"Correct",IF(COUNTIFS('Checking(ZSERIALS)'!J:J,MLR!G216,'Checking(ZSERIALS)'!G:G,MLR!J216)=0,"Incorrect","Err.")))</f>
        <v/>
      </c>
      <c r="C216" s="63">
        <f>_xlfn.XLOOKUP(J216,'Checking(ZSERIALS)'!G:G,'Checking(ZSERIALS)'!F:F)</f>
        <v>0</v>
      </c>
      <c r="G216" s="126"/>
    </row>
    <row r="217" spans="1:8" hidden="1" x14ac:dyDescent="0.3">
      <c r="A217">
        <f>_xlfn.XLOOKUP(J217,'Checking(ZSERIALS)'!G:G,'Checking(ZSERIALS)'!C:C)</f>
        <v>0</v>
      </c>
      <c r="B217" s="35" t="str">
        <f>IF(J217="","",IF(COUNTIFS('Checking(ZSERIALS)'!J:J,MLR!G217,'Checking(ZSERIALS)'!G:G,MLR!J217)=1,"Correct",IF(COUNTIFS('Checking(ZSERIALS)'!J:J,MLR!G217,'Checking(ZSERIALS)'!G:G,MLR!J217)=0,"Incorrect","Err.")))</f>
        <v/>
      </c>
      <c r="C217" s="63">
        <f>_xlfn.XLOOKUP(J217,'Checking(ZSERIALS)'!G:G,'Checking(ZSERIALS)'!F:F)</f>
        <v>0</v>
      </c>
      <c r="G217" s="32"/>
      <c r="H217"/>
    </row>
    <row r="218" spans="1:8" hidden="1" x14ac:dyDescent="0.3">
      <c r="A218">
        <f>_xlfn.XLOOKUP(J218,'Checking(ZSERIALS)'!G:G,'Checking(ZSERIALS)'!C:C)</f>
        <v>0</v>
      </c>
      <c r="B218" s="35" t="str">
        <f>IF(J218="","",IF(COUNTIFS('Checking(ZSERIALS)'!J:J,MLR!G218,'Checking(ZSERIALS)'!G:G,MLR!J218)=1,"Correct",IF(COUNTIFS('Checking(ZSERIALS)'!J:J,MLR!G218,'Checking(ZSERIALS)'!G:G,MLR!J218)=0,"Incorrect","Err.")))</f>
        <v/>
      </c>
      <c r="C218" s="63">
        <f>_xlfn.XLOOKUP(J218,'Checking(ZSERIALS)'!G:G,'Checking(ZSERIALS)'!F:F)</f>
        <v>0</v>
      </c>
      <c r="G218" s="32"/>
      <c r="H218"/>
    </row>
    <row r="219" spans="1:8" hidden="1" x14ac:dyDescent="0.3">
      <c r="A219">
        <f>_xlfn.XLOOKUP(J219,'Checking(ZSERIALS)'!G:G,'Checking(ZSERIALS)'!C:C)</f>
        <v>0</v>
      </c>
      <c r="B219" s="35" t="str">
        <f>IF(J219="","",IF(COUNTIFS('Checking(ZSERIALS)'!J:J,MLR!G219,'Checking(ZSERIALS)'!G:G,MLR!J219)=1,"Correct",IF(COUNTIFS('Checking(ZSERIALS)'!J:J,MLR!G219,'Checking(ZSERIALS)'!G:G,MLR!J219)=0,"Incorrect","Err.")))</f>
        <v/>
      </c>
      <c r="C219" s="63">
        <f>_xlfn.XLOOKUP(J219,'Checking(ZSERIALS)'!G:G,'Checking(ZSERIALS)'!F:F)</f>
        <v>0</v>
      </c>
      <c r="G219" s="32"/>
      <c r="H219"/>
    </row>
    <row r="220" spans="1:8" hidden="1" x14ac:dyDescent="0.3">
      <c r="A220">
        <f>_xlfn.XLOOKUP(J220,'Checking(ZSERIALS)'!G:G,'Checking(ZSERIALS)'!C:C)</f>
        <v>0</v>
      </c>
      <c r="B220" s="35" t="str">
        <f>IF(J220="","",IF(COUNTIFS('Checking(ZSERIALS)'!J:J,MLR!G220,'Checking(ZSERIALS)'!G:G,MLR!J220)=1,"Correct",IF(COUNTIFS('Checking(ZSERIALS)'!J:J,MLR!G220,'Checking(ZSERIALS)'!G:G,MLR!J220)=0,"Incorrect","Err.")))</f>
        <v/>
      </c>
      <c r="C220" s="63">
        <f>_xlfn.XLOOKUP(J220,'Checking(ZSERIALS)'!G:G,'Checking(ZSERIALS)'!F:F)</f>
        <v>0</v>
      </c>
      <c r="G220" s="32"/>
      <c r="H220"/>
    </row>
    <row r="221" spans="1:8" hidden="1" x14ac:dyDescent="0.3">
      <c r="A221">
        <f>_xlfn.XLOOKUP(J221,'Checking(ZSERIALS)'!G:G,'Checking(ZSERIALS)'!C:C)</f>
        <v>0</v>
      </c>
      <c r="B221" s="35" t="str">
        <f>IF(J221="","",IF(COUNTIFS('Checking(ZSERIALS)'!J:J,MLR!G221,'Checking(ZSERIALS)'!G:G,MLR!J221)=1,"Correct",IF(COUNTIFS('Checking(ZSERIALS)'!J:J,MLR!G221,'Checking(ZSERIALS)'!G:G,MLR!J221)=0,"Incorrect","Err.")))</f>
        <v/>
      </c>
      <c r="C221" s="63">
        <f>_xlfn.XLOOKUP(J221,'Checking(ZSERIALS)'!G:G,'Checking(ZSERIALS)'!F:F)</f>
        <v>0</v>
      </c>
      <c r="G221" s="32"/>
      <c r="H221"/>
    </row>
    <row r="222" spans="1:8" hidden="1" x14ac:dyDescent="0.3">
      <c r="A222">
        <f>_xlfn.XLOOKUP(J222,'Checking(ZSERIALS)'!G:G,'Checking(ZSERIALS)'!C:C)</f>
        <v>0</v>
      </c>
      <c r="B222" s="35" t="str">
        <f>IF(J222="","",IF(COUNTIFS('Checking(ZSERIALS)'!J:J,MLR!G222,'Checking(ZSERIALS)'!G:G,MLR!J222)=1,"Correct",IF(COUNTIFS('Checking(ZSERIALS)'!J:J,MLR!G222,'Checking(ZSERIALS)'!G:G,MLR!J222)=0,"Incorrect","Err.")))</f>
        <v/>
      </c>
      <c r="C222" s="63">
        <f>_xlfn.XLOOKUP(J222,'Checking(ZSERIALS)'!G:G,'Checking(ZSERIALS)'!F:F)</f>
        <v>0</v>
      </c>
      <c r="G222" s="126"/>
    </row>
    <row r="223" spans="1:8" hidden="1" x14ac:dyDescent="0.3">
      <c r="A223">
        <f>_xlfn.XLOOKUP(J223,'Checking(ZSERIALS)'!G:G,'Checking(ZSERIALS)'!C:C)</f>
        <v>0</v>
      </c>
      <c r="B223" s="35" t="str">
        <f>IF(J223="","",IF(COUNTIFS('Checking(ZSERIALS)'!J:J,MLR!G223,'Checking(ZSERIALS)'!G:G,MLR!J223)=1,"Correct",IF(COUNTIFS('Checking(ZSERIALS)'!J:J,MLR!G223,'Checking(ZSERIALS)'!G:G,MLR!J223)=0,"Incorrect","Err.")))</f>
        <v/>
      </c>
      <c r="C223" s="63">
        <f>_xlfn.XLOOKUP(J223,'Checking(ZSERIALS)'!G:G,'Checking(ZSERIALS)'!F:F)</f>
        <v>0</v>
      </c>
      <c r="G223" s="32"/>
      <c r="H223"/>
    </row>
    <row r="224" spans="1:8" hidden="1" x14ac:dyDescent="0.3">
      <c r="A224">
        <f>_xlfn.XLOOKUP(J224,'Checking(ZSERIALS)'!G:G,'Checking(ZSERIALS)'!C:C)</f>
        <v>0</v>
      </c>
      <c r="B224" s="35" t="str">
        <f>IF(J224="","",IF(COUNTIFS('Checking(ZSERIALS)'!J:J,MLR!G224,'Checking(ZSERIALS)'!G:G,MLR!J224)=1,"Correct",IF(COUNTIFS('Checking(ZSERIALS)'!J:J,MLR!G224,'Checking(ZSERIALS)'!G:G,MLR!J224)=0,"Incorrect","Err.")))</f>
        <v/>
      </c>
      <c r="C224" s="63">
        <f>_xlfn.XLOOKUP(J224,'Checking(ZSERIALS)'!G:G,'Checking(ZSERIALS)'!F:F)</f>
        <v>0</v>
      </c>
      <c r="G224" s="32"/>
      <c r="H224"/>
    </row>
    <row r="225" spans="1:35" hidden="1" x14ac:dyDescent="0.3">
      <c r="A225">
        <f>_xlfn.XLOOKUP(J225,'Checking(ZSERIALS)'!G:G,'Checking(ZSERIALS)'!C:C)</f>
        <v>0</v>
      </c>
      <c r="B225" s="35" t="str">
        <f>IF(J225="","",IF(COUNTIFS('Checking(ZSERIALS)'!J:J,MLR!G225,'Checking(ZSERIALS)'!G:G,MLR!J225)=1,"Correct",IF(COUNTIFS('Checking(ZSERIALS)'!J:J,MLR!G225,'Checking(ZSERIALS)'!G:G,MLR!J225)=0,"Incorrect","Err.")))</f>
        <v/>
      </c>
      <c r="C225" s="63">
        <f>_xlfn.XLOOKUP(J225,'Checking(ZSERIALS)'!G:G,'Checking(ZSERIALS)'!F:F)</f>
        <v>0</v>
      </c>
      <c r="G225" s="32"/>
      <c r="H225"/>
    </row>
    <row r="226" spans="1:35" hidden="1" x14ac:dyDescent="0.3">
      <c r="A226">
        <f>_xlfn.XLOOKUP(J226,'Checking(ZSERIALS)'!G:G,'Checking(ZSERIALS)'!C:C)</f>
        <v>0</v>
      </c>
      <c r="B226" s="35" t="str">
        <f>IF(J226="","",IF(COUNTIFS('Checking(ZSERIALS)'!J:J,MLR!G226,'Checking(ZSERIALS)'!G:G,MLR!J226)=1,"Correct",IF(COUNTIFS('Checking(ZSERIALS)'!J:J,MLR!G226,'Checking(ZSERIALS)'!G:G,MLR!J226)=0,"Incorrect","Err.")))</f>
        <v/>
      </c>
      <c r="C226" s="63">
        <f>_xlfn.XLOOKUP(J226,'Checking(ZSERIALS)'!G:G,'Checking(ZSERIALS)'!F:F)</f>
        <v>0</v>
      </c>
      <c r="G226" s="32"/>
      <c r="H226"/>
    </row>
    <row r="227" spans="1:35" hidden="1" x14ac:dyDescent="0.3">
      <c r="A227">
        <f>_xlfn.XLOOKUP(J227,'Checking(ZSERIALS)'!G:G,'Checking(ZSERIALS)'!C:C)</f>
        <v>0</v>
      </c>
      <c r="B227" s="35" t="str">
        <f>IF(J227="","",IF(COUNTIFS('Checking(ZSERIALS)'!J:J,MLR!G227,'Checking(ZSERIALS)'!G:G,MLR!J227)=1,"Correct",IF(COUNTIFS('Checking(ZSERIALS)'!J:J,MLR!G227,'Checking(ZSERIALS)'!G:G,MLR!J227)=0,"Incorrect","Err.")))</f>
        <v/>
      </c>
      <c r="C227" s="63">
        <f>_xlfn.XLOOKUP(J227,'Checking(ZSERIALS)'!G:G,'Checking(ZSERIALS)'!F:F)</f>
        <v>0</v>
      </c>
      <c r="G227" s="32"/>
      <c r="H227"/>
    </row>
    <row r="228" spans="1:35" hidden="1" x14ac:dyDescent="0.3">
      <c r="A228">
        <f>_xlfn.XLOOKUP(J228,'Checking(ZSERIALS)'!G:G,'Checking(ZSERIALS)'!C:C)</f>
        <v>0</v>
      </c>
      <c r="B228" s="35" t="str">
        <f>IF(J228="","",IF(COUNTIFS('Checking(ZSERIALS)'!J:J,MLR!G228,'Checking(ZSERIALS)'!G:G,MLR!J228)=1,"Correct",IF(COUNTIFS('Checking(ZSERIALS)'!J:J,MLR!G228,'Checking(ZSERIALS)'!G:G,MLR!J228)=0,"Incorrect","Err.")))</f>
        <v/>
      </c>
      <c r="C228" s="63">
        <f>_xlfn.XLOOKUP(J228,'Checking(ZSERIALS)'!G:G,'Checking(ZSERIALS)'!F:F)</f>
        <v>0</v>
      </c>
      <c r="G228" s="32"/>
      <c r="H228"/>
    </row>
    <row r="229" spans="1:35" hidden="1" x14ac:dyDescent="0.3">
      <c r="A229">
        <f>_xlfn.XLOOKUP(J229,'Checking(ZSERIALS)'!G:G,'Checking(ZSERIALS)'!C:C)</f>
        <v>0</v>
      </c>
      <c r="B229" s="35" t="str">
        <f>IF(J229="","",IF(COUNTIFS('Checking(ZSERIALS)'!J:J,MLR!G229,'Checking(ZSERIALS)'!G:G,MLR!J229)=1,"Correct",IF(COUNTIFS('Checking(ZSERIALS)'!J:J,MLR!G229,'Checking(ZSERIALS)'!G:G,MLR!J229)=0,"Incorrect","Err.")))</f>
        <v/>
      </c>
      <c r="C229" s="63">
        <f>_xlfn.XLOOKUP(J229,'Checking(ZSERIALS)'!G:G,'Checking(ZSERIALS)'!F:F)</f>
        <v>0</v>
      </c>
      <c r="G229" s="32"/>
      <c r="H229"/>
    </row>
    <row r="230" spans="1:35" hidden="1" x14ac:dyDescent="0.3">
      <c r="A230">
        <f>_xlfn.XLOOKUP(J230,'Checking(ZSERIALS)'!G:G,'Checking(ZSERIALS)'!C:C)</f>
        <v>0</v>
      </c>
      <c r="B230" s="35" t="str">
        <f>IF(J230="","",IF(COUNTIFS('Checking(ZSERIALS)'!J:J,MLR!G230,'Checking(ZSERIALS)'!G:G,MLR!J230)=1,"Correct",IF(COUNTIFS('Checking(ZSERIALS)'!J:J,MLR!G230,'Checking(ZSERIALS)'!G:G,MLR!J230)=0,"Incorrect","Err.")))</f>
        <v/>
      </c>
      <c r="C230" s="63">
        <f>_xlfn.XLOOKUP(J230,'Checking(ZSERIALS)'!G:G,'Checking(ZSERIALS)'!F:F)</f>
        <v>0</v>
      </c>
      <c r="G230" s="32"/>
      <c r="H230"/>
    </row>
    <row r="231" spans="1:35" hidden="1" x14ac:dyDescent="0.3">
      <c r="A231">
        <f>_xlfn.XLOOKUP(J231,'Checking(ZSERIALS)'!G:G,'Checking(ZSERIALS)'!C:C)</f>
        <v>0</v>
      </c>
      <c r="B231" s="35" t="str">
        <f>IF(J231="","",IF(COUNTIFS('Checking(ZSERIALS)'!J:J,MLR!G231,'Checking(ZSERIALS)'!G:G,MLR!J231)=1,"Correct",IF(COUNTIFS('Checking(ZSERIALS)'!J:J,MLR!G231,'Checking(ZSERIALS)'!G:G,MLR!J231)=0,"Incorrect","Err.")))</f>
        <v/>
      </c>
      <c r="C231" s="63">
        <f>_xlfn.XLOOKUP(J231,'Checking(ZSERIALS)'!G:G,'Checking(ZSERIALS)'!F:F)</f>
        <v>0</v>
      </c>
      <c r="G231" s="32"/>
      <c r="H231"/>
    </row>
    <row r="232" spans="1:35" hidden="1" x14ac:dyDescent="0.3">
      <c r="A232">
        <f>_xlfn.XLOOKUP(J232,'Checking(ZSERIALS)'!G:G,'Checking(ZSERIALS)'!C:C)</f>
        <v>0</v>
      </c>
      <c r="B232" s="35" t="str">
        <f>IF(J232="","",IF(COUNTIFS('Checking(ZSERIALS)'!J:J,MLR!G232,'Checking(ZSERIALS)'!G:G,MLR!J232)=1,"Correct",IF(COUNTIFS('Checking(ZSERIALS)'!J:J,MLR!G232,'Checking(ZSERIALS)'!G:G,MLR!J232)=0,"Incorrect","Err.")))</f>
        <v/>
      </c>
      <c r="C232" s="63">
        <f>_xlfn.XLOOKUP(J232,'Checking(ZSERIALS)'!G:G,'Checking(ZSERIALS)'!F:F)</f>
        <v>0</v>
      </c>
      <c r="E232" s="114"/>
      <c r="F232" s="115"/>
      <c r="G232" s="123"/>
      <c r="H232" s="116"/>
      <c r="I232" s="117"/>
      <c r="J232" s="115"/>
      <c r="N232" s="115"/>
      <c r="O232" s="115"/>
      <c r="P232" s="115"/>
      <c r="Q232" s="115"/>
      <c r="R232" s="115"/>
      <c r="S232" s="118"/>
      <c r="T232" s="115"/>
      <c r="U232" s="118"/>
      <c r="V232" s="115"/>
      <c r="W232" s="115"/>
      <c r="X232" s="115"/>
      <c r="Y232" s="118"/>
      <c r="AI232" s="115"/>
    </row>
    <row r="233" spans="1:35" hidden="1" x14ac:dyDescent="0.3">
      <c r="A233">
        <f>_xlfn.XLOOKUP(J233,'Checking(ZSERIALS)'!G:G,'Checking(ZSERIALS)'!C:C)</f>
        <v>0</v>
      </c>
      <c r="B233" s="35" t="str">
        <f>IF(J233="","",IF(COUNTIFS('Checking(ZSERIALS)'!J:J,MLR!G233,'Checking(ZSERIALS)'!G:G,MLR!J233)=1,"Correct",IF(COUNTIFS('Checking(ZSERIALS)'!J:J,MLR!G233,'Checking(ZSERIALS)'!G:G,MLR!J233)=0,"Incorrect","Err.")))</f>
        <v/>
      </c>
      <c r="C233" s="63">
        <f>_xlfn.XLOOKUP(J233,'Checking(ZSERIALS)'!G:G,'Checking(ZSERIALS)'!F:F)</f>
        <v>0</v>
      </c>
      <c r="E233" s="114"/>
      <c r="F233" s="115"/>
      <c r="G233" s="123"/>
      <c r="H233" s="116"/>
      <c r="I233" s="117"/>
      <c r="J233" s="115"/>
      <c r="N233" s="115"/>
      <c r="O233" s="115"/>
      <c r="P233" s="115"/>
      <c r="Q233" s="115"/>
      <c r="R233" s="115"/>
      <c r="S233" s="118"/>
      <c r="T233" s="115"/>
      <c r="U233" s="118"/>
      <c r="V233" s="115"/>
      <c r="W233" s="115"/>
      <c r="X233" s="115"/>
      <c r="Y233" s="118"/>
      <c r="AI233" s="115"/>
    </row>
    <row r="234" spans="1:35" hidden="1" x14ac:dyDescent="0.3">
      <c r="A234">
        <f>_xlfn.XLOOKUP(J234,'Checking(ZSERIALS)'!G:G,'Checking(ZSERIALS)'!C:C)</f>
        <v>0</v>
      </c>
      <c r="B234" s="35" t="str">
        <f>IF(J234="","",IF(COUNTIFS('Checking(ZSERIALS)'!J:J,MLR!G234,'Checking(ZSERIALS)'!G:G,MLR!J234)=1,"Correct",IF(COUNTIFS('Checking(ZSERIALS)'!J:J,MLR!G234,'Checking(ZSERIALS)'!G:G,MLR!J234)=0,"Incorrect","Err.")))</f>
        <v/>
      </c>
      <c r="C234" s="63">
        <f>_xlfn.XLOOKUP(J234,'Checking(ZSERIALS)'!G:G,'Checking(ZSERIALS)'!F:F)</f>
        <v>0</v>
      </c>
      <c r="E234" s="114"/>
      <c r="F234" s="115"/>
      <c r="G234" s="123"/>
      <c r="H234" s="116"/>
      <c r="I234" s="117"/>
      <c r="J234" s="115"/>
      <c r="N234" s="115"/>
      <c r="O234" s="115"/>
      <c r="P234" s="115"/>
      <c r="Q234" s="115"/>
      <c r="R234" s="115"/>
      <c r="S234" s="118"/>
      <c r="T234" s="115"/>
      <c r="U234" s="118"/>
      <c r="V234" s="115"/>
      <c r="W234" s="115"/>
      <c r="X234" s="115"/>
      <c r="Y234" s="118"/>
      <c r="AI234" s="115"/>
    </row>
    <row r="235" spans="1:35" hidden="1" x14ac:dyDescent="0.3">
      <c r="A235">
        <f>_xlfn.XLOOKUP(J235,'Checking(ZSERIALS)'!G:G,'Checking(ZSERIALS)'!C:C)</f>
        <v>0</v>
      </c>
      <c r="B235" s="35" t="str">
        <f>IF(J235="","",IF(COUNTIFS('Checking(ZSERIALS)'!J:J,MLR!G235,'Checking(ZSERIALS)'!G:G,MLR!J235)=1,"Correct",IF(COUNTIFS('Checking(ZSERIALS)'!J:J,MLR!G235,'Checking(ZSERIALS)'!G:G,MLR!J235)=0,"Incorrect","Err.")))</f>
        <v/>
      </c>
      <c r="C235" s="63">
        <f>_xlfn.XLOOKUP(J235,'Checking(ZSERIALS)'!G:G,'Checking(ZSERIALS)'!F:F)</f>
        <v>0</v>
      </c>
      <c r="E235" s="114"/>
      <c r="F235" s="115"/>
      <c r="G235" s="123"/>
      <c r="H235" s="116"/>
      <c r="I235" s="117"/>
      <c r="J235" s="115"/>
      <c r="N235" s="115"/>
      <c r="O235" s="115"/>
      <c r="P235" s="115"/>
      <c r="Q235" s="115"/>
      <c r="R235" s="115"/>
      <c r="S235" s="118"/>
      <c r="T235" s="115"/>
      <c r="U235" s="118"/>
      <c r="V235" s="115"/>
      <c r="W235" s="115"/>
      <c r="X235" s="115"/>
      <c r="Y235" s="118"/>
      <c r="AI235" s="115"/>
    </row>
    <row r="236" spans="1:35" hidden="1" x14ac:dyDescent="0.3">
      <c r="A236">
        <f>_xlfn.XLOOKUP(J236,'Checking(ZSERIALS)'!G:G,'Checking(ZSERIALS)'!C:C)</f>
        <v>0</v>
      </c>
      <c r="B236" s="35" t="str">
        <f>IF(J236="","",IF(COUNTIFS('Checking(ZSERIALS)'!J:J,MLR!G236,'Checking(ZSERIALS)'!G:G,MLR!J236)=1,"Correct",IF(COUNTIFS('Checking(ZSERIALS)'!J:J,MLR!G236,'Checking(ZSERIALS)'!G:G,MLR!J236)=0,"Incorrect","Err.")))</f>
        <v/>
      </c>
      <c r="C236" s="63">
        <f>_xlfn.XLOOKUP(J236,'Checking(ZSERIALS)'!G:G,'Checking(ZSERIALS)'!F:F)</f>
        <v>0</v>
      </c>
      <c r="E236" s="114"/>
      <c r="F236" s="115"/>
      <c r="G236" s="123"/>
      <c r="H236" s="116"/>
      <c r="I236" s="117"/>
      <c r="J236" s="115"/>
      <c r="N236" s="115"/>
      <c r="O236" s="115"/>
      <c r="P236" s="115"/>
      <c r="Q236" s="115"/>
      <c r="R236" s="115"/>
      <c r="S236" s="118"/>
      <c r="T236" s="115"/>
      <c r="U236" s="118"/>
      <c r="V236" s="115"/>
      <c r="W236" s="115"/>
      <c r="X236" s="115"/>
      <c r="Y236" s="118"/>
      <c r="AI236" s="115"/>
    </row>
    <row r="237" spans="1:35" hidden="1" x14ac:dyDescent="0.3">
      <c r="A237">
        <f>_xlfn.XLOOKUP(J237,'Checking(ZSERIALS)'!G:G,'Checking(ZSERIALS)'!C:C)</f>
        <v>0</v>
      </c>
      <c r="B237" s="35" t="str">
        <f>IF(J237="","",IF(COUNTIFS('Checking(ZSERIALS)'!J:J,MLR!G237,'Checking(ZSERIALS)'!G:G,MLR!J237)=1,"Correct",IF(COUNTIFS('Checking(ZSERIALS)'!J:J,MLR!G237,'Checking(ZSERIALS)'!G:G,MLR!J237)=0,"Incorrect","Err.")))</f>
        <v/>
      </c>
      <c r="C237" s="63">
        <f>_xlfn.XLOOKUP(J237,'Checking(ZSERIALS)'!G:G,'Checking(ZSERIALS)'!F:F)</f>
        <v>0</v>
      </c>
      <c r="E237" s="114"/>
      <c r="F237" s="115"/>
      <c r="G237" s="123"/>
      <c r="H237" s="116"/>
      <c r="I237" s="117"/>
      <c r="J237" s="115"/>
      <c r="N237" s="115"/>
      <c r="O237" s="115"/>
      <c r="P237" s="115"/>
      <c r="Q237" s="115"/>
      <c r="R237" s="115"/>
      <c r="S237" s="118"/>
      <c r="T237" s="115"/>
      <c r="U237" s="118"/>
      <c r="V237" s="115"/>
      <c r="W237" s="115"/>
      <c r="X237" s="115"/>
      <c r="Y237" s="118"/>
      <c r="AI237" s="115"/>
    </row>
    <row r="238" spans="1:35" hidden="1" x14ac:dyDescent="0.3">
      <c r="A238">
        <f>_xlfn.XLOOKUP(J238,'Checking(ZSERIALS)'!G:G,'Checking(ZSERIALS)'!C:C)</f>
        <v>0</v>
      </c>
      <c r="B238" s="35" t="str">
        <f>IF(J238="","",IF(COUNTIFS('Checking(ZSERIALS)'!J:J,MLR!G238,'Checking(ZSERIALS)'!G:G,MLR!J238)=1,"Correct",IF(COUNTIFS('Checking(ZSERIALS)'!J:J,MLR!G238,'Checking(ZSERIALS)'!G:G,MLR!J238)=0,"Incorrect","Err.")))</f>
        <v/>
      </c>
      <c r="C238" s="63">
        <f>_xlfn.XLOOKUP(J238,'Checking(ZSERIALS)'!G:G,'Checking(ZSERIALS)'!F:F)</f>
        <v>0</v>
      </c>
      <c r="E238" s="114"/>
      <c r="F238" s="115"/>
      <c r="G238" s="123"/>
      <c r="H238" s="116"/>
      <c r="I238" s="117"/>
      <c r="J238" s="115"/>
      <c r="N238" s="115"/>
      <c r="O238" s="115"/>
      <c r="P238" s="115"/>
      <c r="Q238" s="115"/>
      <c r="R238" s="115"/>
      <c r="S238" s="118"/>
      <c r="T238" s="115"/>
      <c r="U238" s="118"/>
      <c r="V238" s="115"/>
      <c r="W238" s="115"/>
      <c r="X238" s="115"/>
      <c r="Y238" s="118"/>
      <c r="AI238" s="115"/>
    </row>
    <row r="239" spans="1:35" hidden="1" x14ac:dyDescent="0.3">
      <c r="A239">
        <f>_xlfn.XLOOKUP(J239,'Checking(ZSERIALS)'!G:G,'Checking(ZSERIALS)'!C:C)</f>
        <v>0</v>
      </c>
      <c r="B239" s="35" t="str">
        <f>IF(J239="","",IF(COUNTIFS('Checking(ZSERIALS)'!J:J,MLR!G239,'Checking(ZSERIALS)'!G:G,MLR!J239)=1,"Correct",IF(COUNTIFS('Checking(ZSERIALS)'!J:J,MLR!G239,'Checking(ZSERIALS)'!G:G,MLR!J239)=0,"Incorrect","Err.")))</f>
        <v/>
      </c>
      <c r="C239" s="63">
        <f>_xlfn.XLOOKUP(J239,'Checking(ZSERIALS)'!G:G,'Checking(ZSERIALS)'!F:F)</f>
        <v>0</v>
      </c>
      <c r="E239" s="114"/>
      <c r="F239" s="115"/>
      <c r="G239" s="123"/>
      <c r="H239" s="116"/>
      <c r="I239" s="117"/>
      <c r="J239" s="115"/>
      <c r="N239" s="115"/>
      <c r="O239" s="115"/>
      <c r="P239" s="115"/>
      <c r="Q239" s="115"/>
      <c r="R239" s="115"/>
      <c r="S239" s="118"/>
      <c r="T239" s="115"/>
      <c r="U239" s="118"/>
      <c r="V239" s="115"/>
      <c r="W239" s="115"/>
      <c r="X239" s="115"/>
      <c r="Y239" s="118"/>
      <c r="AI239" s="115"/>
    </row>
    <row r="240" spans="1:35" hidden="1" x14ac:dyDescent="0.3">
      <c r="A240">
        <f>_xlfn.XLOOKUP(J240,'Checking(ZSERIALS)'!G:G,'Checking(ZSERIALS)'!C:C)</f>
        <v>0</v>
      </c>
      <c r="B240" s="35" t="str">
        <f>IF(J240="","",IF(COUNTIFS('Checking(ZSERIALS)'!J:J,MLR!G240,'Checking(ZSERIALS)'!G:G,MLR!J240)=1,"Correct",IF(COUNTIFS('Checking(ZSERIALS)'!J:J,MLR!G240,'Checking(ZSERIALS)'!G:G,MLR!J240)=0,"Incorrect","Err.")))</f>
        <v/>
      </c>
      <c r="C240" s="63">
        <f>_xlfn.XLOOKUP(J240,'Checking(ZSERIALS)'!G:G,'Checking(ZSERIALS)'!F:F)</f>
        <v>0</v>
      </c>
      <c r="E240" s="114"/>
      <c r="F240" s="115"/>
      <c r="G240" s="123"/>
      <c r="H240" s="116"/>
      <c r="I240" s="117"/>
      <c r="J240" s="115"/>
      <c r="N240" s="115"/>
      <c r="O240" s="115"/>
      <c r="P240" s="115"/>
      <c r="Q240" s="115"/>
      <c r="R240" s="115"/>
      <c r="S240" s="118"/>
      <c r="T240" s="115"/>
      <c r="U240" s="118"/>
      <c r="V240" s="115"/>
      <c r="W240" s="115"/>
      <c r="X240" s="115"/>
      <c r="Y240" s="118"/>
      <c r="AI240" s="115"/>
    </row>
    <row r="241" spans="1:35" hidden="1" x14ac:dyDescent="0.3">
      <c r="A241">
        <f>_xlfn.XLOOKUP(J241,'Checking(ZSERIALS)'!G:G,'Checking(ZSERIALS)'!C:C)</f>
        <v>0</v>
      </c>
      <c r="B241" s="35" t="str">
        <f>IF(J241="","",IF(COUNTIFS('Checking(ZSERIALS)'!J:J,MLR!G241,'Checking(ZSERIALS)'!G:G,MLR!J241)=1,"Correct",IF(COUNTIFS('Checking(ZSERIALS)'!J:J,MLR!G241,'Checking(ZSERIALS)'!G:G,MLR!J241)=0,"Incorrect","Err.")))</f>
        <v/>
      </c>
      <c r="C241" s="63">
        <f>_xlfn.XLOOKUP(J241,'Checking(ZSERIALS)'!G:G,'Checking(ZSERIALS)'!F:F)</f>
        <v>0</v>
      </c>
      <c r="E241" s="114"/>
      <c r="F241" s="115"/>
      <c r="G241" s="123"/>
      <c r="H241" s="116"/>
      <c r="I241" s="117"/>
      <c r="J241" s="115"/>
      <c r="N241" s="115"/>
      <c r="O241" s="115"/>
      <c r="P241" s="115"/>
      <c r="Q241" s="115"/>
      <c r="R241" s="115"/>
      <c r="S241" s="118"/>
      <c r="T241" s="115"/>
      <c r="U241" s="118"/>
      <c r="V241" s="115"/>
      <c r="W241" s="115"/>
      <c r="X241" s="115"/>
      <c r="Y241" s="118"/>
      <c r="AI241" s="115"/>
    </row>
    <row r="242" spans="1:35" hidden="1" x14ac:dyDescent="0.3">
      <c r="A242">
        <f>_xlfn.XLOOKUP(J242,'Checking(ZSERIALS)'!G:G,'Checking(ZSERIALS)'!C:C)</f>
        <v>0</v>
      </c>
      <c r="B242" s="35" t="str">
        <f>IF(J242="","",IF(COUNTIFS('Checking(ZSERIALS)'!J:J,MLR!G242,'Checking(ZSERIALS)'!G:G,MLR!J242)=1,"Correct",IF(COUNTIFS('Checking(ZSERIALS)'!J:J,MLR!G242,'Checking(ZSERIALS)'!G:G,MLR!J242)=0,"Incorrect","Err.")))</f>
        <v/>
      </c>
      <c r="C242" s="63">
        <f>_xlfn.XLOOKUP(J242,'Checking(ZSERIALS)'!G:G,'Checking(ZSERIALS)'!F:F)</f>
        <v>0</v>
      </c>
      <c r="E242" s="114"/>
      <c r="F242" s="115"/>
      <c r="G242" s="123"/>
      <c r="H242" s="116"/>
      <c r="I242" s="117"/>
      <c r="J242" s="115"/>
      <c r="N242" s="115"/>
      <c r="O242" s="115"/>
      <c r="P242" s="115"/>
      <c r="Q242" s="115"/>
      <c r="R242" s="115"/>
      <c r="S242" s="118"/>
      <c r="T242" s="115"/>
      <c r="U242" s="118"/>
      <c r="V242" s="115"/>
      <c r="W242" s="115"/>
      <c r="X242" s="115"/>
      <c r="Y242" s="118"/>
      <c r="AI242" s="115"/>
    </row>
    <row r="243" spans="1:35" hidden="1" x14ac:dyDescent="0.3">
      <c r="A243">
        <f>_xlfn.XLOOKUP(J243,'Checking(ZSERIALS)'!G:G,'Checking(ZSERIALS)'!C:C)</f>
        <v>0</v>
      </c>
      <c r="B243" s="35" t="str">
        <f>IF(J243="","",IF(COUNTIFS('Checking(ZSERIALS)'!J:J,MLR!G243,'Checking(ZSERIALS)'!G:G,MLR!J243)=1,"Correct",IF(COUNTIFS('Checking(ZSERIALS)'!J:J,MLR!G243,'Checking(ZSERIALS)'!G:G,MLR!J243)=0,"Incorrect","Err.")))</f>
        <v/>
      </c>
      <c r="C243" s="63">
        <f>_xlfn.XLOOKUP(J243,'Checking(ZSERIALS)'!G:G,'Checking(ZSERIALS)'!F:F)</f>
        <v>0</v>
      </c>
      <c r="E243" s="114"/>
      <c r="F243" s="115"/>
      <c r="G243" s="123"/>
      <c r="H243" s="116"/>
      <c r="I243" s="117"/>
      <c r="J243" s="115"/>
      <c r="N243" s="115"/>
      <c r="O243" s="115"/>
      <c r="P243" s="115"/>
      <c r="Q243" s="115"/>
      <c r="R243" s="115"/>
      <c r="S243" s="118"/>
      <c r="T243" s="115"/>
      <c r="U243" s="118"/>
      <c r="V243" s="115"/>
      <c r="W243" s="115"/>
      <c r="X243" s="115"/>
      <c r="Y243" s="118"/>
      <c r="AI243" s="115"/>
    </row>
    <row r="244" spans="1:35" hidden="1" x14ac:dyDescent="0.3">
      <c r="A244">
        <f>_xlfn.XLOOKUP(J244,'Checking(ZSERIALS)'!G:G,'Checking(ZSERIALS)'!C:C)</f>
        <v>0</v>
      </c>
      <c r="B244" s="35" t="str">
        <f>IF(J244="","",IF(COUNTIFS('Checking(ZSERIALS)'!J:J,MLR!G244,'Checking(ZSERIALS)'!G:G,MLR!J244)=1,"Correct",IF(COUNTIFS('Checking(ZSERIALS)'!J:J,MLR!G244,'Checking(ZSERIALS)'!G:G,MLR!J244)=0,"Incorrect","Err.")))</f>
        <v/>
      </c>
      <c r="C244" s="63">
        <f>_xlfn.XLOOKUP(J244,'Checking(ZSERIALS)'!G:G,'Checking(ZSERIALS)'!F:F)</f>
        <v>0</v>
      </c>
      <c r="E244" s="114"/>
      <c r="F244" s="115"/>
      <c r="G244" s="123"/>
      <c r="H244" s="116"/>
      <c r="I244" s="117"/>
      <c r="J244" s="115"/>
      <c r="N244" s="115"/>
      <c r="O244" s="115"/>
      <c r="P244" s="115"/>
      <c r="Q244" s="115"/>
      <c r="R244" s="115"/>
      <c r="S244" s="118"/>
      <c r="T244" s="115"/>
      <c r="U244" s="118"/>
      <c r="V244" s="115"/>
      <c r="W244" s="115"/>
      <c r="X244" s="115"/>
      <c r="Y244" s="118"/>
      <c r="AI244" s="115"/>
    </row>
    <row r="245" spans="1:35" hidden="1" x14ac:dyDescent="0.3">
      <c r="A245">
        <f>_xlfn.XLOOKUP(J245,'Checking(ZSERIALS)'!G:G,'Checking(ZSERIALS)'!C:C)</f>
        <v>0</v>
      </c>
      <c r="B245" s="35" t="str">
        <f>IF(J245="","",IF(COUNTIFS('Checking(ZSERIALS)'!J:J,MLR!G245,'Checking(ZSERIALS)'!G:G,MLR!J245)=1,"Correct",IF(COUNTIFS('Checking(ZSERIALS)'!J:J,MLR!G245,'Checking(ZSERIALS)'!G:G,MLR!J245)=0,"Incorrect","Err.")))</f>
        <v/>
      </c>
      <c r="C245" s="63">
        <f>_xlfn.XLOOKUP(J245,'Checking(ZSERIALS)'!G:G,'Checking(ZSERIALS)'!F:F)</f>
        <v>0</v>
      </c>
      <c r="E245" s="114"/>
      <c r="F245" s="115"/>
      <c r="G245" s="123"/>
      <c r="H245" s="116"/>
      <c r="I245" s="117"/>
      <c r="J245" s="115"/>
      <c r="N245" s="115"/>
      <c r="O245" s="115"/>
      <c r="P245" s="115"/>
      <c r="Q245" s="115"/>
      <c r="R245" s="115"/>
      <c r="S245" s="118"/>
      <c r="T245" s="115"/>
      <c r="U245" s="118"/>
      <c r="V245" s="115"/>
      <c r="W245" s="115"/>
      <c r="X245" s="115"/>
      <c r="Y245" s="118"/>
      <c r="AI245" s="115"/>
    </row>
    <row r="246" spans="1:35" hidden="1" x14ac:dyDescent="0.3">
      <c r="A246">
        <f>_xlfn.XLOOKUP(J246,'Checking(ZSERIALS)'!G:G,'Checking(ZSERIALS)'!C:C)</f>
        <v>0</v>
      </c>
      <c r="B246" s="35" t="str">
        <f>IF(J246="","",IF(COUNTIFS('Checking(ZSERIALS)'!J:J,MLR!G246,'Checking(ZSERIALS)'!G:G,MLR!J246)=1,"Correct",IF(COUNTIFS('Checking(ZSERIALS)'!J:J,MLR!G246,'Checking(ZSERIALS)'!G:G,MLR!J246)=0,"Incorrect","Err.")))</f>
        <v/>
      </c>
      <c r="C246" s="63">
        <f>_xlfn.XLOOKUP(J246,'Checking(ZSERIALS)'!G:G,'Checking(ZSERIALS)'!F:F)</f>
        <v>0</v>
      </c>
      <c r="E246" s="114"/>
      <c r="F246" s="115"/>
      <c r="G246" s="123"/>
      <c r="H246" s="116"/>
      <c r="I246" s="117"/>
      <c r="J246" s="115"/>
      <c r="N246" s="115"/>
      <c r="O246" s="115"/>
      <c r="P246" s="115"/>
      <c r="Q246" s="115"/>
      <c r="R246" s="115"/>
      <c r="S246" s="118"/>
      <c r="T246" s="115"/>
      <c r="U246" s="118"/>
      <c r="V246" s="115"/>
      <c r="W246" s="115"/>
      <c r="X246" s="115"/>
      <c r="Y246" s="118"/>
      <c r="AI246" s="115"/>
    </row>
    <row r="247" spans="1:35" hidden="1" x14ac:dyDescent="0.3">
      <c r="A247">
        <f>_xlfn.XLOOKUP(J247,'Checking(ZSERIALS)'!G:G,'Checking(ZSERIALS)'!C:C)</f>
        <v>0</v>
      </c>
      <c r="B247" s="35" t="str">
        <f>IF(J247="","",IF(COUNTIFS('Checking(ZSERIALS)'!J:J,MLR!G247,'Checking(ZSERIALS)'!G:G,MLR!J247)=1,"Correct",IF(COUNTIFS('Checking(ZSERIALS)'!J:J,MLR!G247,'Checking(ZSERIALS)'!G:G,MLR!J247)=0,"Incorrect","Err.")))</f>
        <v/>
      </c>
      <c r="C247" s="63">
        <f>_xlfn.XLOOKUP(J247,'Checking(ZSERIALS)'!G:G,'Checking(ZSERIALS)'!F:F)</f>
        <v>0</v>
      </c>
      <c r="E247" s="114"/>
      <c r="F247" s="115"/>
      <c r="G247" s="123"/>
      <c r="H247" s="116"/>
      <c r="I247" s="117"/>
      <c r="J247" s="115"/>
      <c r="N247" s="115"/>
      <c r="O247" s="115"/>
      <c r="P247" s="115"/>
      <c r="Q247" s="115"/>
      <c r="R247" s="115"/>
      <c r="S247" s="118"/>
      <c r="T247" s="115"/>
      <c r="U247" s="118"/>
      <c r="V247" s="115"/>
      <c r="W247" s="115"/>
      <c r="X247" s="115"/>
      <c r="Y247" s="118"/>
      <c r="AI247" s="115"/>
    </row>
    <row r="248" spans="1:35" hidden="1" x14ac:dyDescent="0.3">
      <c r="A248">
        <f>_xlfn.XLOOKUP(J248,'Checking(ZSERIALS)'!G:G,'Checking(ZSERIALS)'!C:C)</f>
        <v>0</v>
      </c>
      <c r="B248" s="35" t="str">
        <f>IF(J248="","",IF(COUNTIFS('Checking(ZSERIALS)'!J:J,MLR!G248,'Checking(ZSERIALS)'!G:G,MLR!J248)=1,"Correct",IF(COUNTIFS('Checking(ZSERIALS)'!J:J,MLR!G248,'Checking(ZSERIALS)'!G:G,MLR!J248)=0,"Incorrect","Err.")))</f>
        <v/>
      </c>
      <c r="C248" s="63">
        <f>_xlfn.XLOOKUP(J248,'Checking(ZSERIALS)'!G:G,'Checking(ZSERIALS)'!F:F)</f>
        <v>0</v>
      </c>
      <c r="E248" s="114"/>
      <c r="F248" s="115"/>
      <c r="G248" s="123"/>
      <c r="H248" s="116"/>
      <c r="I248" s="117"/>
      <c r="J248" s="115"/>
      <c r="N248" s="115"/>
      <c r="O248" s="115"/>
      <c r="P248" s="115"/>
      <c r="Q248" s="115"/>
      <c r="R248" s="115"/>
      <c r="S248" s="118"/>
      <c r="T248" s="115"/>
      <c r="U248" s="118"/>
      <c r="V248" s="115"/>
      <c r="W248" s="115"/>
      <c r="X248" s="115"/>
      <c r="Y248" s="118"/>
      <c r="AI248" s="115"/>
    </row>
    <row r="249" spans="1:35" hidden="1" x14ac:dyDescent="0.3">
      <c r="A249">
        <f>_xlfn.XLOOKUP(J249,'Checking(ZSERIALS)'!G:G,'Checking(ZSERIALS)'!C:C)</f>
        <v>0</v>
      </c>
      <c r="B249" s="35" t="str">
        <f>IF(J249="","",IF(COUNTIFS('Checking(ZSERIALS)'!J:J,MLR!G249,'Checking(ZSERIALS)'!G:G,MLR!J249)=1,"Correct",IF(COUNTIFS('Checking(ZSERIALS)'!J:J,MLR!G249,'Checking(ZSERIALS)'!G:G,MLR!J249)=0,"Incorrect","Err.")))</f>
        <v/>
      </c>
      <c r="C249" s="63">
        <f>_xlfn.XLOOKUP(J249,'Checking(ZSERIALS)'!G:G,'Checking(ZSERIALS)'!F:F)</f>
        <v>0</v>
      </c>
      <c r="E249" s="114"/>
      <c r="F249" s="115"/>
      <c r="G249" s="123"/>
      <c r="H249" s="116"/>
      <c r="I249" s="117"/>
      <c r="J249" s="115"/>
      <c r="N249" s="115"/>
      <c r="O249" s="115"/>
      <c r="P249" s="115"/>
      <c r="Q249" s="115"/>
      <c r="R249" s="115"/>
      <c r="S249" s="118"/>
      <c r="T249" s="115"/>
      <c r="U249" s="118"/>
      <c r="V249" s="115"/>
      <c r="W249" s="115"/>
      <c r="X249" s="115"/>
      <c r="Y249" s="118"/>
      <c r="AI249" s="115"/>
    </row>
    <row r="250" spans="1:35" hidden="1" x14ac:dyDescent="0.3">
      <c r="A250">
        <f>_xlfn.XLOOKUP(J250,'Checking(ZSERIALS)'!G:G,'Checking(ZSERIALS)'!C:C)</f>
        <v>0</v>
      </c>
      <c r="B250" s="35" t="str">
        <f>IF(J250="","",IF(COUNTIFS('Checking(ZSERIALS)'!J:J,MLR!G250,'Checking(ZSERIALS)'!G:G,MLR!J250)=1,"Correct",IF(COUNTIFS('Checking(ZSERIALS)'!J:J,MLR!G250,'Checking(ZSERIALS)'!G:G,MLR!J250)=0,"Incorrect","Err.")))</f>
        <v/>
      </c>
      <c r="C250" s="63">
        <f>_xlfn.XLOOKUP(J250,'Checking(ZSERIALS)'!G:G,'Checking(ZSERIALS)'!F:F)</f>
        <v>0</v>
      </c>
      <c r="E250" s="114"/>
      <c r="F250" s="115"/>
      <c r="G250" s="123"/>
      <c r="H250" s="116"/>
      <c r="I250" s="117"/>
      <c r="J250" s="115"/>
      <c r="N250" s="115"/>
      <c r="O250" s="115"/>
      <c r="P250" s="115"/>
      <c r="Q250" s="115"/>
      <c r="R250" s="115"/>
      <c r="S250" s="118"/>
      <c r="T250" s="115"/>
      <c r="U250" s="118"/>
      <c r="V250" s="115"/>
      <c r="W250" s="115"/>
      <c r="X250" s="115"/>
      <c r="Y250" s="118"/>
      <c r="AI250" s="115"/>
    </row>
    <row r="251" spans="1:35" hidden="1" x14ac:dyDescent="0.3">
      <c r="A251">
        <f>_xlfn.XLOOKUP(J251,'Checking(ZSERIALS)'!G:G,'Checking(ZSERIALS)'!C:C)</f>
        <v>0</v>
      </c>
      <c r="B251" s="35" t="str">
        <f>IF(J251="","",IF(COUNTIFS('Checking(ZSERIALS)'!J:J,MLR!G251,'Checking(ZSERIALS)'!G:G,MLR!J251)=1,"Correct",IF(COUNTIFS('Checking(ZSERIALS)'!J:J,MLR!G251,'Checking(ZSERIALS)'!G:G,MLR!J251)=0,"Incorrect","Err.")))</f>
        <v/>
      </c>
      <c r="C251" s="63">
        <f>_xlfn.XLOOKUP(J251,'Checking(ZSERIALS)'!G:G,'Checking(ZSERIALS)'!F:F)</f>
        <v>0</v>
      </c>
      <c r="E251" s="114"/>
      <c r="F251" s="115"/>
      <c r="G251" s="123"/>
      <c r="H251" s="116"/>
      <c r="I251" s="117"/>
      <c r="J251" s="115"/>
      <c r="N251" s="115"/>
      <c r="O251" s="115"/>
      <c r="P251" s="115"/>
      <c r="Q251" s="115"/>
      <c r="R251" s="115"/>
      <c r="S251" s="118"/>
      <c r="T251" s="115"/>
      <c r="U251" s="118"/>
      <c r="V251" s="115"/>
      <c r="W251" s="115"/>
      <c r="X251" s="115"/>
      <c r="Y251" s="118"/>
      <c r="AI251" s="115"/>
    </row>
    <row r="252" spans="1:35" hidden="1" x14ac:dyDescent="0.3">
      <c r="A252">
        <f>_xlfn.XLOOKUP(J252,'Checking(ZSERIALS)'!G:G,'Checking(ZSERIALS)'!C:C)</f>
        <v>0</v>
      </c>
      <c r="B252" s="35" t="str">
        <f>IF(J252="","",IF(COUNTIFS('Checking(ZSERIALS)'!J:J,MLR!G252,'Checking(ZSERIALS)'!G:G,MLR!J252)=1,"Correct",IF(COUNTIFS('Checking(ZSERIALS)'!J:J,MLR!G252,'Checking(ZSERIALS)'!G:G,MLR!J252)=0,"Incorrect","Err.")))</f>
        <v/>
      </c>
      <c r="C252" s="63">
        <f>_xlfn.XLOOKUP(J252,'Checking(ZSERIALS)'!G:G,'Checking(ZSERIALS)'!F:F)</f>
        <v>0</v>
      </c>
      <c r="E252" s="114"/>
      <c r="F252" s="115"/>
      <c r="G252" s="123"/>
      <c r="H252" s="116"/>
      <c r="I252" s="117"/>
      <c r="J252" s="115"/>
      <c r="N252" s="115"/>
      <c r="O252" s="115"/>
      <c r="P252" s="115"/>
      <c r="Q252" s="115"/>
      <c r="R252" s="115"/>
      <c r="S252" s="118"/>
      <c r="T252" s="115"/>
      <c r="U252" s="118"/>
      <c r="V252" s="115"/>
      <c r="W252" s="115"/>
      <c r="X252" s="115"/>
      <c r="Y252" s="118"/>
      <c r="AI252" s="115"/>
    </row>
    <row r="253" spans="1:35" hidden="1" x14ac:dyDescent="0.3">
      <c r="A253">
        <f>_xlfn.XLOOKUP(J253,'Checking(ZSERIALS)'!G:G,'Checking(ZSERIALS)'!C:C)</f>
        <v>0</v>
      </c>
      <c r="B253" s="35" t="str">
        <f>IF(J253="","",IF(COUNTIFS('Checking(ZSERIALS)'!J:J,MLR!G253,'Checking(ZSERIALS)'!G:G,MLR!J253)=1,"Correct",IF(COUNTIFS('Checking(ZSERIALS)'!J:J,MLR!G253,'Checking(ZSERIALS)'!G:G,MLR!J253)=0,"Incorrect","Err.")))</f>
        <v/>
      </c>
      <c r="C253" s="63">
        <f>_xlfn.XLOOKUP(J253,'Checking(ZSERIALS)'!G:G,'Checking(ZSERIALS)'!F:F)</f>
        <v>0</v>
      </c>
      <c r="E253" s="114"/>
      <c r="F253" s="115"/>
      <c r="G253" s="123"/>
      <c r="H253" s="116"/>
      <c r="I253" s="117"/>
      <c r="J253" s="115"/>
      <c r="N253" s="115"/>
      <c r="O253" s="115"/>
      <c r="P253" s="115"/>
      <c r="Q253" s="115"/>
      <c r="R253" s="115"/>
      <c r="S253" s="118"/>
      <c r="T253" s="115"/>
      <c r="U253" s="118"/>
      <c r="V253" s="115"/>
      <c r="W253" s="115"/>
      <c r="X253" s="115"/>
      <c r="Y253" s="118"/>
      <c r="AI253" s="115"/>
    </row>
    <row r="254" spans="1:35" hidden="1" x14ac:dyDescent="0.3">
      <c r="A254">
        <f>_xlfn.XLOOKUP(J254,'Checking(ZSERIALS)'!G:G,'Checking(ZSERIALS)'!C:C)</f>
        <v>0</v>
      </c>
      <c r="B254" s="35" t="str">
        <f>IF(J254="","",IF(COUNTIFS('Checking(ZSERIALS)'!J:J,MLR!G254,'Checking(ZSERIALS)'!G:G,MLR!J254)=1,"Correct",IF(COUNTIFS('Checking(ZSERIALS)'!J:J,MLR!G254,'Checking(ZSERIALS)'!G:G,MLR!J254)=0,"Incorrect","Err.")))</f>
        <v/>
      </c>
      <c r="C254" s="63">
        <f>_xlfn.XLOOKUP(J254,'Checking(ZSERIALS)'!G:G,'Checking(ZSERIALS)'!F:F)</f>
        <v>0</v>
      </c>
      <c r="E254" s="114"/>
      <c r="F254" s="115"/>
      <c r="G254" s="123"/>
      <c r="H254" s="116"/>
      <c r="I254" s="117"/>
      <c r="J254" s="115"/>
      <c r="N254" s="115"/>
      <c r="O254" s="115"/>
      <c r="P254" s="115"/>
      <c r="Q254" s="115"/>
      <c r="R254" s="115"/>
      <c r="S254" s="118"/>
      <c r="T254" s="115"/>
      <c r="U254" s="118"/>
      <c r="V254" s="115"/>
      <c r="W254" s="115"/>
      <c r="X254" s="115"/>
      <c r="Y254" s="118"/>
      <c r="AI254" s="115"/>
    </row>
    <row r="255" spans="1:35" hidden="1" x14ac:dyDescent="0.3">
      <c r="A255">
        <f>_xlfn.XLOOKUP(J255,'Checking(ZSERIALS)'!G:G,'Checking(ZSERIALS)'!C:C)</f>
        <v>0</v>
      </c>
      <c r="B255" s="35" t="str">
        <f>IF(J255="","",IF(COUNTIFS('Checking(ZSERIALS)'!J:J,MLR!G255,'Checking(ZSERIALS)'!G:G,MLR!J255)=1,"Correct",IF(COUNTIFS('Checking(ZSERIALS)'!J:J,MLR!G255,'Checking(ZSERIALS)'!G:G,MLR!J255)=0,"Incorrect","Err.")))</f>
        <v/>
      </c>
      <c r="C255" s="63">
        <f>_xlfn.XLOOKUP(J255,'Checking(ZSERIALS)'!G:G,'Checking(ZSERIALS)'!F:F)</f>
        <v>0</v>
      </c>
      <c r="E255" s="114"/>
      <c r="F255" s="115"/>
      <c r="G255" s="123"/>
      <c r="H255" s="116"/>
      <c r="I255" s="117"/>
      <c r="J255" s="115"/>
      <c r="N255" s="115"/>
      <c r="O255" s="115"/>
      <c r="P255" s="115"/>
      <c r="Q255" s="115"/>
      <c r="R255" s="115"/>
      <c r="S255" s="118"/>
      <c r="T255" s="115"/>
      <c r="U255" s="118"/>
      <c r="V255" s="115"/>
      <c r="W255" s="115"/>
      <c r="X255" s="115"/>
      <c r="Y255" s="118"/>
      <c r="AI255" s="115"/>
    </row>
    <row r="256" spans="1:35" hidden="1" x14ac:dyDescent="0.3">
      <c r="A256">
        <f>_xlfn.XLOOKUP(J256,'Checking(ZSERIALS)'!G:G,'Checking(ZSERIALS)'!C:C)</f>
        <v>0</v>
      </c>
      <c r="B256" s="35" t="str">
        <f>IF(J256="","",IF(COUNTIFS('Checking(ZSERIALS)'!J:J,MLR!G256,'Checking(ZSERIALS)'!G:G,MLR!J256)=1,"Correct",IF(COUNTIFS('Checking(ZSERIALS)'!J:J,MLR!G256,'Checking(ZSERIALS)'!G:G,MLR!J256)=0,"Incorrect","Err.")))</f>
        <v/>
      </c>
      <c r="C256" s="63">
        <f>_xlfn.XLOOKUP(J256,'Checking(ZSERIALS)'!G:G,'Checking(ZSERIALS)'!F:F)</f>
        <v>0</v>
      </c>
      <c r="E256" s="114"/>
      <c r="F256" s="115"/>
      <c r="G256" s="123"/>
      <c r="H256" s="116"/>
      <c r="I256" s="117"/>
      <c r="J256" s="115"/>
      <c r="N256" s="115"/>
      <c r="O256" s="115"/>
      <c r="P256" s="115"/>
      <c r="Q256" s="115"/>
      <c r="R256" s="115"/>
      <c r="S256" s="118"/>
      <c r="T256" s="115"/>
      <c r="U256" s="118"/>
      <c r="V256" s="115"/>
      <c r="W256" s="115"/>
      <c r="X256" s="115"/>
      <c r="Y256" s="118"/>
      <c r="AI256" s="115"/>
    </row>
    <row r="257" spans="1:35" hidden="1" x14ac:dyDescent="0.3">
      <c r="A257">
        <f>_xlfn.XLOOKUP(J257,'Checking(ZSERIALS)'!G:G,'Checking(ZSERIALS)'!C:C)</f>
        <v>0</v>
      </c>
      <c r="B257" s="35" t="str">
        <f>IF(J257="","",IF(COUNTIFS('Checking(ZSERIALS)'!J:J,MLR!G257,'Checking(ZSERIALS)'!G:G,MLR!J257)=1,"Correct",IF(COUNTIFS('Checking(ZSERIALS)'!J:J,MLR!G257,'Checking(ZSERIALS)'!G:G,MLR!J257)=0,"Incorrect","Err.")))</f>
        <v/>
      </c>
      <c r="C257" s="63">
        <f>_xlfn.XLOOKUP(J257,'Checking(ZSERIALS)'!G:G,'Checking(ZSERIALS)'!F:F)</f>
        <v>0</v>
      </c>
      <c r="E257" s="114"/>
      <c r="F257" s="115"/>
      <c r="G257" s="123"/>
      <c r="H257" s="116"/>
      <c r="I257" s="117"/>
      <c r="J257" s="115"/>
      <c r="N257" s="115"/>
      <c r="O257" s="115"/>
      <c r="P257" s="115"/>
      <c r="Q257" s="115"/>
      <c r="R257" s="115"/>
      <c r="S257" s="118"/>
      <c r="T257" s="115"/>
      <c r="U257" s="118"/>
      <c r="V257" s="115"/>
      <c r="W257" s="115"/>
      <c r="X257" s="115"/>
      <c r="Y257" s="118"/>
      <c r="AI257" s="115"/>
    </row>
    <row r="258" spans="1:35" hidden="1" x14ac:dyDescent="0.3">
      <c r="A258">
        <f>_xlfn.XLOOKUP(J258,'Checking(ZSERIALS)'!G:G,'Checking(ZSERIALS)'!C:C)</f>
        <v>0</v>
      </c>
      <c r="B258" s="35" t="str">
        <f>IF(J258="","",IF(COUNTIFS('Checking(ZSERIALS)'!J:J,MLR!G258,'Checking(ZSERIALS)'!G:G,MLR!J258)=1,"Correct",IF(COUNTIFS('Checking(ZSERIALS)'!J:J,MLR!G258,'Checking(ZSERIALS)'!G:G,MLR!J258)=0,"Incorrect","Err.")))</f>
        <v/>
      </c>
      <c r="C258" s="63">
        <f>_xlfn.XLOOKUP(J258,'Checking(ZSERIALS)'!G:G,'Checking(ZSERIALS)'!F:F)</f>
        <v>0</v>
      </c>
      <c r="E258" s="114"/>
      <c r="F258" s="115"/>
      <c r="G258" s="123"/>
      <c r="H258" s="116"/>
      <c r="I258" s="117"/>
      <c r="J258" s="115"/>
      <c r="N258" s="115"/>
      <c r="O258" s="115"/>
      <c r="P258" s="115"/>
      <c r="Q258" s="115"/>
      <c r="R258" s="115"/>
      <c r="S258" s="118"/>
      <c r="T258" s="115"/>
      <c r="U258" s="118"/>
      <c r="V258" s="115"/>
      <c r="W258" s="115"/>
      <c r="X258" s="115"/>
      <c r="Y258" s="118"/>
      <c r="AI258" s="115"/>
    </row>
    <row r="259" spans="1:35" hidden="1" x14ac:dyDescent="0.3">
      <c r="A259">
        <f>_xlfn.XLOOKUP(J259,'Checking(ZSERIALS)'!G:G,'Checking(ZSERIALS)'!C:C)</f>
        <v>0</v>
      </c>
      <c r="B259" s="35" t="str">
        <f>IF(J259="","",IF(COUNTIFS('Checking(ZSERIALS)'!J:J,MLR!G259,'Checking(ZSERIALS)'!G:G,MLR!J259)=1,"Correct",IF(COUNTIFS('Checking(ZSERIALS)'!J:J,MLR!G259,'Checking(ZSERIALS)'!G:G,MLR!J259)=0,"Incorrect","Err.")))</f>
        <v/>
      </c>
      <c r="C259" s="63">
        <f>_xlfn.XLOOKUP(J259,'Checking(ZSERIALS)'!G:G,'Checking(ZSERIALS)'!F:F)</f>
        <v>0</v>
      </c>
      <c r="E259" s="114"/>
      <c r="F259" s="115"/>
      <c r="G259" s="123"/>
      <c r="H259" s="116"/>
      <c r="I259" s="117"/>
      <c r="J259" s="115"/>
      <c r="N259" s="115"/>
      <c r="O259" s="115"/>
      <c r="P259" s="115"/>
      <c r="Q259" s="115"/>
      <c r="R259" s="115"/>
      <c r="S259" s="118"/>
      <c r="T259" s="115"/>
      <c r="U259" s="118"/>
      <c r="V259" s="115"/>
      <c r="W259" s="115"/>
      <c r="X259" s="115"/>
      <c r="Y259" s="118"/>
      <c r="AI259" s="115"/>
    </row>
    <row r="260" spans="1:35" hidden="1" x14ac:dyDescent="0.3">
      <c r="A260">
        <f>_xlfn.XLOOKUP(J260,'Checking(ZSERIALS)'!G:G,'Checking(ZSERIALS)'!C:C)</f>
        <v>0</v>
      </c>
      <c r="B260" s="35" t="str">
        <f>IF(J260="","",IF(COUNTIFS('Checking(ZSERIALS)'!J:J,MLR!G260,'Checking(ZSERIALS)'!G:G,MLR!J260)=1,"Correct",IF(COUNTIFS('Checking(ZSERIALS)'!J:J,MLR!G260,'Checking(ZSERIALS)'!G:G,MLR!J260)=0,"Incorrect","Err.")))</f>
        <v/>
      </c>
      <c r="C260" s="63">
        <f>_xlfn.XLOOKUP(J260,'Checking(ZSERIALS)'!G:G,'Checking(ZSERIALS)'!F:F)</f>
        <v>0</v>
      </c>
      <c r="E260" s="114"/>
      <c r="F260" s="115"/>
      <c r="G260" s="123"/>
      <c r="H260" s="116"/>
      <c r="I260" s="117"/>
      <c r="J260" s="115"/>
      <c r="N260" s="115"/>
      <c r="O260" s="115"/>
      <c r="P260" s="115"/>
      <c r="Q260" s="115"/>
      <c r="R260" s="115"/>
      <c r="S260" s="118"/>
      <c r="T260" s="115"/>
      <c r="U260" s="118"/>
      <c r="V260" s="115"/>
      <c r="W260" s="115"/>
      <c r="X260" s="115"/>
      <c r="Y260" s="118"/>
      <c r="AI260" s="115"/>
    </row>
    <row r="261" spans="1:35" hidden="1" x14ac:dyDescent="0.3">
      <c r="A261">
        <f>_xlfn.XLOOKUP(J261,'Checking(ZSERIALS)'!G:G,'Checking(ZSERIALS)'!C:C)</f>
        <v>0</v>
      </c>
      <c r="B261" s="35" t="str">
        <f>IF(J261="","",IF(COUNTIFS('Checking(ZSERIALS)'!J:J,MLR!G261,'Checking(ZSERIALS)'!G:G,MLR!J261)=1,"Correct",IF(COUNTIFS('Checking(ZSERIALS)'!J:J,MLR!G261,'Checking(ZSERIALS)'!G:G,MLR!J261)=0,"Incorrect","Err.")))</f>
        <v/>
      </c>
      <c r="C261" s="63">
        <f>_xlfn.XLOOKUP(J261,'Checking(ZSERIALS)'!G:G,'Checking(ZSERIALS)'!F:F)</f>
        <v>0</v>
      </c>
      <c r="E261" s="114"/>
      <c r="F261" s="115"/>
      <c r="G261" s="123"/>
      <c r="H261" s="116"/>
      <c r="I261" s="117"/>
      <c r="J261" s="115"/>
      <c r="N261" s="115"/>
      <c r="O261" s="115"/>
      <c r="P261" s="115"/>
      <c r="Q261" s="115"/>
      <c r="R261" s="115"/>
      <c r="S261" s="118"/>
      <c r="T261" s="115"/>
      <c r="U261" s="118"/>
      <c r="V261" s="115"/>
      <c r="W261" s="115"/>
      <c r="X261" s="115"/>
      <c r="Y261" s="118"/>
      <c r="AI261" s="115"/>
    </row>
    <row r="262" spans="1:35" hidden="1" x14ac:dyDescent="0.3">
      <c r="A262">
        <f>_xlfn.XLOOKUP(J262,'Checking(ZSERIALS)'!G:G,'Checking(ZSERIALS)'!C:C)</f>
        <v>0</v>
      </c>
      <c r="B262" s="35" t="str">
        <f>IF(J262="","",IF(COUNTIFS('Checking(ZSERIALS)'!J:J,MLR!G262,'Checking(ZSERIALS)'!G:G,MLR!J262)=1,"Correct",IF(COUNTIFS('Checking(ZSERIALS)'!J:J,MLR!G262,'Checking(ZSERIALS)'!G:G,MLR!J262)=0,"Incorrect","Err.")))</f>
        <v/>
      </c>
      <c r="C262" s="63">
        <f>_xlfn.XLOOKUP(J262,'Checking(ZSERIALS)'!G:G,'Checking(ZSERIALS)'!F:F)</f>
        <v>0</v>
      </c>
      <c r="E262" s="114"/>
      <c r="F262" s="115"/>
      <c r="G262" s="123"/>
      <c r="H262" s="116"/>
      <c r="I262" s="117"/>
      <c r="J262" s="115"/>
      <c r="N262" s="115"/>
      <c r="O262" s="115"/>
      <c r="P262" s="115"/>
      <c r="Q262" s="115"/>
      <c r="R262" s="115"/>
      <c r="S262" s="118"/>
      <c r="T262" s="115"/>
      <c r="U262" s="118"/>
      <c r="V262" s="115"/>
      <c r="W262" s="115"/>
      <c r="X262" s="115"/>
      <c r="Y262" s="118"/>
      <c r="AI262" s="115"/>
    </row>
    <row r="263" spans="1:35" hidden="1" x14ac:dyDescent="0.3">
      <c r="A263">
        <f>_xlfn.XLOOKUP(J263,'Checking(ZSERIALS)'!G:G,'Checking(ZSERIALS)'!C:C)</f>
        <v>0</v>
      </c>
      <c r="B263" s="35" t="str">
        <f>IF(J263="","",IF(COUNTIFS('Checking(ZSERIALS)'!J:J,MLR!G263,'Checking(ZSERIALS)'!G:G,MLR!J263)=1,"Correct",IF(COUNTIFS('Checking(ZSERIALS)'!J:J,MLR!G263,'Checking(ZSERIALS)'!G:G,MLR!J263)=0,"Incorrect","Err.")))</f>
        <v/>
      </c>
      <c r="C263" s="63">
        <f>_xlfn.XLOOKUP(J263,'Checking(ZSERIALS)'!G:G,'Checking(ZSERIALS)'!F:F)</f>
        <v>0</v>
      </c>
      <c r="E263" s="114"/>
      <c r="F263" s="115"/>
      <c r="G263" s="123"/>
      <c r="H263" s="116"/>
      <c r="I263" s="117"/>
      <c r="J263" s="115"/>
      <c r="N263" s="115"/>
      <c r="O263" s="115"/>
      <c r="P263" s="115"/>
      <c r="Q263" s="115"/>
      <c r="R263" s="115"/>
      <c r="S263" s="118"/>
      <c r="T263" s="115"/>
      <c r="U263" s="118"/>
      <c r="V263" s="115"/>
      <c r="W263" s="115"/>
      <c r="X263" s="115"/>
      <c r="Y263" s="118"/>
      <c r="AI263" s="115"/>
    </row>
    <row r="264" spans="1:35" hidden="1" x14ac:dyDescent="0.3">
      <c r="A264">
        <f>_xlfn.XLOOKUP(J264,'Checking(ZSERIALS)'!G:G,'Checking(ZSERIALS)'!C:C)</f>
        <v>0</v>
      </c>
      <c r="B264" s="35" t="str">
        <f>IF(J264="","",IF(COUNTIFS('Checking(ZSERIALS)'!J:J,MLR!G264,'Checking(ZSERIALS)'!G:G,MLR!J264)=1,"Correct",IF(COUNTIFS('Checking(ZSERIALS)'!J:J,MLR!G264,'Checking(ZSERIALS)'!G:G,MLR!J264)=0,"Incorrect","Err.")))</f>
        <v/>
      </c>
      <c r="C264" s="63">
        <f>_xlfn.XLOOKUP(J264,'Checking(ZSERIALS)'!G:G,'Checking(ZSERIALS)'!F:F)</f>
        <v>0</v>
      </c>
      <c r="E264" s="114"/>
      <c r="F264" s="115"/>
      <c r="G264" s="123"/>
      <c r="H264" s="116"/>
      <c r="I264" s="117"/>
      <c r="J264" s="115"/>
      <c r="N264" s="115"/>
      <c r="O264" s="115"/>
      <c r="P264" s="115"/>
      <c r="Q264" s="115"/>
      <c r="R264" s="115"/>
      <c r="S264" s="118"/>
      <c r="T264" s="115"/>
      <c r="U264" s="118"/>
      <c r="V264" s="115"/>
      <c r="W264" s="115"/>
      <c r="X264" s="115"/>
      <c r="Y264" s="118"/>
      <c r="AI264" s="115"/>
    </row>
    <row r="265" spans="1:35" hidden="1" x14ac:dyDescent="0.3">
      <c r="A265">
        <f>_xlfn.XLOOKUP(J265,'Checking(ZSERIALS)'!G:G,'Checking(ZSERIALS)'!C:C)</f>
        <v>0</v>
      </c>
      <c r="B265" s="35" t="str">
        <f>IF(J265="","",IF(COUNTIFS('Checking(ZSERIALS)'!J:J,MLR!G265,'Checking(ZSERIALS)'!G:G,MLR!J265)=1,"Correct",IF(COUNTIFS('Checking(ZSERIALS)'!J:J,MLR!G265,'Checking(ZSERIALS)'!G:G,MLR!J265)=0,"Incorrect","Err.")))</f>
        <v/>
      </c>
      <c r="C265" s="63">
        <f>_xlfn.XLOOKUP(J265,'Checking(ZSERIALS)'!G:G,'Checking(ZSERIALS)'!F:F)</f>
        <v>0</v>
      </c>
      <c r="E265" s="114"/>
      <c r="F265" s="115"/>
      <c r="G265" s="123"/>
      <c r="H265" s="116"/>
      <c r="I265" s="117"/>
      <c r="J265" s="115"/>
      <c r="N265" s="115"/>
      <c r="O265" s="115"/>
      <c r="P265" s="115"/>
      <c r="Q265" s="115"/>
      <c r="R265" s="115"/>
      <c r="S265" s="118"/>
      <c r="T265" s="115"/>
      <c r="U265" s="118"/>
      <c r="V265" s="115"/>
      <c r="W265" s="115"/>
      <c r="X265" s="115"/>
      <c r="Y265" s="118"/>
      <c r="AI265" s="115"/>
    </row>
    <row r="266" spans="1:35" hidden="1" x14ac:dyDescent="0.3">
      <c r="A266">
        <f>_xlfn.XLOOKUP(J266,'Checking(ZSERIALS)'!G:G,'Checking(ZSERIALS)'!C:C)</f>
        <v>0</v>
      </c>
      <c r="B266" s="35" t="str">
        <f>IF(J266="","",IF(COUNTIFS('Checking(ZSERIALS)'!J:J,MLR!G266,'Checking(ZSERIALS)'!G:G,MLR!J266)=1,"Correct",IF(COUNTIFS('Checking(ZSERIALS)'!J:J,MLR!G266,'Checking(ZSERIALS)'!G:G,MLR!J266)=0,"Incorrect","Err.")))</f>
        <v/>
      </c>
      <c r="C266" s="63">
        <f>_xlfn.XLOOKUP(J266,'Checking(ZSERIALS)'!G:G,'Checking(ZSERIALS)'!F:F)</f>
        <v>0</v>
      </c>
      <c r="E266" s="114"/>
      <c r="F266" s="115"/>
      <c r="G266" s="123"/>
      <c r="H266" s="116"/>
      <c r="I266" s="117"/>
      <c r="J266" s="115"/>
      <c r="N266" s="115"/>
      <c r="O266" s="115"/>
      <c r="P266" s="115"/>
      <c r="Q266" s="115"/>
      <c r="R266" s="115"/>
      <c r="S266" s="118"/>
      <c r="T266" s="115"/>
      <c r="U266" s="118"/>
      <c r="V266" s="115"/>
      <c r="W266" s="115"/>
      <c r="X266" s="115"/>
      <c r="Y266" s="118"/>
      <c r="AI266" s="115"/>
    </row>
    <row r="267" spans="1:35" hidden="1" x14ac:dyDescent="0.3">
      <c r="A267">
        <f>_xlfn.XLOOKUP(J267,'Checking(ZSERIALS)'!G:G,'Checking(ZSERIALS)'!C:C)</f>
        <v>0</v>
      </c>
      <c r="B267" s="35" t="str">
        <f>IF(J267="","",IF(COUNTIFS('Checking(ZSERIALS)'!J:J,MLR!G267,'Checking(ZSERIALS)'!G:G,MLR!J267)=1,"Correct",IF(COUNTIFS('Checking(ZSERIALS)'!J:J,MLR!G267,'Checking(ZSERIALS)'!G:G,MLR!J267)=0,"Incorrect","Err.")))</f>
        <v/>
      </c>
      <c r="C267" s="63">
        <f>_xlfn.XLOOKUP(J267,'Checking(ZSERIALS)'!G:G,'Checking(ZSERIALS)'!F:F)</f>
        <v>0</v>
      </c>
      <c r="E267" s="114"/>
      <c r="F267" s="115"/>
      <c r="G267" s="123"/>
      <c r="H267" s="116"/>
      <c r="I267" s="117"/>
      <c r="J267" s="115"/>
      <c r="N267" s="115"/>
      <c r="O267" s="115"/>
      <c r="P267" s="115"/>
      <c r="Q267" s="115"/>
      <c r="R267" s="115"/>
      <c r="S267" s="118"/>
      <c r="T267" s="115"/>
      <c r="U267" s="118"/>
      <c r="V267" s="115"/>
      <c r="W267" s="115"/>
      <c r="X267" s="115"/>
      <c r="Y267" s="118"/>
      <c r="AI267" s="115"/>
    </row>
    <row r="268" spans="1:35" hidden="1" x14ac:dyDescent="0.3">
      <c r="A268">
        <f>_xlfn.XLOOKUP(J268,'Checking(ZSERIALS)'!G:G,'Checking(ZSERIALS)'!C:C)</f>
        <v>0</v>
      </c>
      <c r="B268" s="35" t="str">
        <f>IF(J268="","",IF(COUNTIFS('Checking(ZSERIALS)'!J:J,MLR!G268,'Checking(ZSERIALS)'!G:G,MLR!J268)=1,"Correct",IF(COUNTIFS('Checking(ZSERIALS)'!J:J,MLR!G268,'Checking(ZSERIALS)'!G:G,MLR!J268)=0,"Incorrect","Err.")))</f>
        <v/>
      </c>
      <c r="C268" s="63">
        <f>_xlfn.XLOOKUP(J268,'Checking(ZSERIALS)'!G:G,'Checking(ZSERIALS)'!F:F)</f>
        <v>0</v>
      </c>
      <c r="E268" s="114"/>
      <c r="F268" s="115"/>
      <c r="G268" s="123"/>
      <c r="H268" s="116"/>
      <c r="I268" s="117"/>
      <c r="J268" s="115"/>
      <c r="N268" s="115"/>
      <c r="O268" s="115"/>
      <c r="P268" s="115"/>
      <c r="Q268" s="115"/>
      <c r="R268" s="115"/>
      <c r="S268" s="118"/>
      <c r="T268" s="115"/>
      <c r="U268" s="118"/>
      <c r="V268" s="115"/>
      <c r="W268" s="115"/>
      <c r="X268" s="115"/>
      <c r="Y268" s="118"/>
      <c r="AI268" s="115"/>
    </row>
    <row r="269" spans="1:35" hidden="1" x14ac:dyDescent="0.3">
      <c r="A269">
        <f>_xlfn.XLOOKUP(J269,'Checking(ZSERIALS)'!G:G,'Checking(ZSERIALS)'!C:C)</f>
        <v>0</v>
      </c>
      <c r="B269" s="35" t="str">
        <f>IF(J269="","",IF(COUNTIFS('Checking(ZSERIALS)'!J:J,MLR!G269,'Checking(ZSERIALS)'!G:G,MLR!J269)=1,"Correct",IF(COUNTIFS('Checking(ZSERIALS)'!J:J,MLR!G269,'Checking(ZSERIALS)'!G:G,MLR!J269)=0,"Incorrect","Err.")))</f>
        <v/>
      </c>
      <c r="C269" s="63">
        <f>_xlfn.XLOOKUP(J269,'Checking(ZSERIALS)'!G:G,'Checking(ZSERIALS)'!F:F)</f>
        <v>0</v>
      </c>
      <c r="E269" s="114"/>
      <c r="F269" s="115"/>
      <c r="G269" s="123"/>
      <c r="H269" s="116"/>
      <c r="I269" s="117"/>
      <c r="J269" s="115"/>
      <c r="N269" s="115"/>
      <c r="O269" s="115"/>
      <c r="P269" s="115"/>
      <c r="Q269" s="115"/>
      <c r="R269" s="115"/>
      <c r="S269" s="118"/>
      <c r="T269" s="115"/>
      <c r="U269" s="118"/>
      <c r="V269" s="115"/>
      <c r="W269" s="115"/>
      <c r="X269" s="115"/>
      <c r="Y269" s="118"/>
      <c r="AI269" s="115"/>
    </row>
    <row r="270" spans="1:35" hidden="1" x14ac:dyDescent="0.3">
      <c r="A270">
        <f>_xlfn.XLOOKUP(J270,'Checking(ZSERIALS)'!G:G,'Checking(ZSERIALS)'!C:C)</f>
        <v>0</v>
      </c>
      <c r="B270" s="35" t="str">
        <f>IF(J270="","",IF(COUNTIFS('Checking(ZSERIALS)'!J:J,MLR!G270,'Checking(ZSERIALS)'!G:G,MLR!J270)=1,"Correct",IF(COUNTIFS('Checking(ZSERIALS)'!J:J,MLR!G270,'Checking(ZSERIALS)'!G:G,MLR!J270)=0,"Incorrect","Err.")))</f>
        <v/>
      </c>
      <c r="C270" s="63">
        <f>_xlfn.XLOOKUP(J270,'Checking(ZSERIALS)'!G:G,'Checking(ZSERIALS)'!F:F)</f>
        <v>0</v>
      </c>
      <c r="E270" s="114"/>
      <c r="F270" s="115"/>
      <c r="G270" s="123"/>
      <c r="H270" s="116"/>
      <c r="I270" s="117"/>
      <c r="J270" s="115"/>
      <c r="N270" s="115"/>
      <c r="O270" s="115"/>
      <c r="P270" s="115"/>
      <c r="Q270" s="115"/>
      <c r="R270" s="115"/>
      <c r="S270" s="118"/>
      <c r="T270" s="115"/>
      <c r="U270" s="118"/>
      <c r="V270" s="115"/>
      <c r="W270" s="115"/>
      <c r="X270" s="115"/>
      <c r="Y270" s="118"/>
      <c r="AI270" s="115"/>
    </row>
    <row r="271" spans="1:35" hidden="1" x14ac:dyDescent="0.3">
      <c r="A271">
        <f>_xlfn.XLOOKUP(J271,'Checking(ZSERIALS)'!G:G,'Checking(ZSERIALS)'!C:C)</f>
        <v>0</v>
      </c>
      <c r="B271" s="35" t="str">
        <f>IF(J271="","",IF(COUNTIFS('Checking(ZSERIALS)'!J:J,MLR!G271,'Checking(ZSERIALS)'!G:G,MLR!J271)=1,"Correct",IF(COUNTIFS('Checking(ZSERIALS)'!J:J,MLR!G271,'Checking(ZSERIALS)'!G:G,MLR!J271)=0,"Incorrect","Err.")))</f>
        <v/>
      </c>
      <c r="C271" s="63">
        <f>_xlfn.XLOOKUP(J271,'Checking(ZSERIALS)'!G:G,'Checking(ZSERIALS)'!F:F)</f>
        <v>0</v>
      </c>
      <c r="E271" s="114"/>
      <c r="F271" s="115"/>
      <c r="G271" s="123"/>
      <c r="H271" s="116"/>
      <c r="I271" s="117"/>
      <c r="J271" s="115"/>
      <c r="N271" s="115"/>
      <c r="O271" s="115"/>
      <c r="P271" s="115"/>
      <c r="Q271" s="115"/>
      <c r="R271" s="115"/>
      <c r="S271" s="118"/>
      <c r="T271" s="115"/>
      <c r="U271" s="118"/>
      <c r="V271" s="115"/>
      <c r="W271" s="115"/>
      <c r="X271" s="115"/>
      <c r="Y271" s="118"/>
      <c r="AI271" s="115"/>
    </row>
    <row r="272" spans="1:35" hidden="1" x14ac:dyDescent="0.3">
      <c r="A272">
        <f>_xlfn.XLOOKUP(J272,'Checking(ZSERIALS)'!G:G,'Checking(ZSERIALS)'!C:C)</f>
        <v>0</v>
      </c>
      <c r="B272" s="35" t="str">
        <f>IF(J272="","",IF(COUNTIFS('Checking(ZSERIALS)'!J:J,MLR!G272,'Checking(ZSERIALS)'!G:G,MLR!J272)=1,"Correct",IF(COUNTIFS('Checking(ZSERIALS)'!J:J,MLR!G272,'Checking(ZSERIALS)'!G:G,MLR!J272)=0,"Incorrect","Err.")))</f>
        <v/>
      </c>
      <c r="C272" s="63">
        <f>_xlfn.XLOOKUP(J272,'Checking(ZSERIALS)'!G:G,'Checking(ZSERIALS)'!F:F)</f>
        <v>0</v>
      </c>
      <c r="E272" s="114"/>
      <c r="F272" s="115"/>
      <c r="G272" s="123"/>
      <c r="H272" s="116"/>
      <c r="I272" s="117"/>
      <c r="J272" s="115"/>
      <c r="N272" s="115"/>
      <c r="O272" s="115"/>
      <c r="P272" s="115"/>
      <c r="Q272" s="115"/>
      <c r="R272" s="115"/>
      <c r="S272" s="118"/>
      <c r="T272" s="115"/>
      <c r="U272" s="118"/>
      <c r="V272" s="115"/>
      <c r="W272" s="115"/>
      <c r="X272" s="115"/>
      <c r="Y272" s="118"/>
      <c r="AI272" s="115"/>
    </row>
    <row r="273" spans="1:35" hidden="1" x14ac:dyDescent="0.3">
      <c r="A273">
        <f>_xlfn.XLOOKUP(J273,'Checking(ZSERIALS)'!G:G,'Checking(ZSERIALS)'!C:C)</f>
        <v>0</v>
      </c>
      <c r="B273" s="35" t="str">
        <f>IF(J273="","",IF(COUNTIFS('Checking(ZSERIALS)'!J:J,MLR!G273,'Checking(ZSERIALS)'!G:G,MLR!J273)=1,"Correct",IF(COUNTIFS('Checking(ZSERIALS)'!J:J,MLR!G273,'Checking(ZSERIALS)'!G:G,MLR!J273)=0,"Incorrect","Err.")))</f>
        <v/>
      </c>
      <c r="C273" s="63">
        <f>_xlfn.XLOOKUP(J273,'Checking(ZSERIALS)'!G:G,'Checking(ZSERIALS)'!F:F)</f>
        <v>0</v>
      </c>
      <c r="E273" s="114"/>
      <c r="F273" s="115"/>
      <c r="G273" s="123"/>
      <c r="H273" s="116"/>
      <c r="I273" s="117"/>
      <c r="J273" s="115"/>
      <c r="N273" s="115"/>
      <c r="O273" s="115"/>
      <c r="P273" s="115"/>
      <c r="Q273" s="115"/>
      <c r="R273" s="115"/>
      <c r="S273" s="118"/>
      <c r="T273" s="115"/>
      <c r="U273" s="118"/>
      <c r="V273" s="115"/>
      <c r="W273" s="115"/>
      <c r="X273" s="115"/>
      <c r="Y273" s="118"/>
      <c r="AI273" s="115"/>
    </row>
    <row r="274" spans="1:35" hidden="1" x14ac:dyDescent="0.3">
      <c r="A274">
        <f>_xlfn.XLOOKUP(J274,'Checking(ZSERIALS)'!G:G,'Checking(ZSERIALS)'!C:C)</f>
        <v>0</v>
      </c>
      <c r="B274" s="35" t="str">
        <f>IF(J274="","",IF(COUNTIFS('Checking(ZSERIALS)'!J:J,MLR!G274,'Checking(ZSERIALS)'!G:G,MLR!J274)=1,"Correct",IF(COUNTIFS('Checking(ZSERIALS)'!J:J,MLR!G274,'Checking(ZSERIALS)'!G:G,MLR!J274)=0,"Incorrect","Err.")))</f>
        <v/>
      </c>
      <c r="C274" s="63">
        <f>_xlfn.XLOOKUP(J274,'Checking(ZSERIALS)'!G:G,'Checking(ZSERIALS)'!F:F)</f>
        <v>0</v>
      </c>
      <c r="E274" s="114"/>
      <c r="F274" s="115"/>
      <c r="G274" s="123"/>
      <c r="H274" s="116"/>
      <c r="I274" s="117"/>
      <c r="J274" s="115"/>
      <c r="N274" s="115"/>
      <c r="O274" s="115"/>
      <c r="P274" s="115"/>
      <c r="Q274" s="115"/>
      <c r="R274" s="115"/>
      <c r="S274" s="118"/>
      <c r="T274" s="115"/>
      <c r="U274" s="118"/>
      <c r="V274" s="115"/>
      <c r="W274" s="115"/>
      <c r="X274" s="115"/>
      <c r="Y274" s="118"/>
      <c r="AI274" s="115"/>
    </row>
    <row r="275" spans="1:35" hidden="1" x14ac:dyDescent="0.3">
      <c r="A275">
        <f>_xlfn.XLOOKUP(J275,'Checking(ZSERIALS)'!G:G,'Checking(ZSERIALS)'!C:C)</f>
        <v>0</v>
      </c>
      <c r="B275" s="35" t="str">
        <f>IF(J275="","",IF(COUNTIFS('Checking(ZSERIALS)'!J:J,MLR!G275,'Checking(ZSERIALS)'!G:G,MLR!J275)=1,"Correct",IF(COUNTIFS('Checking(ZSERIALS)'!J:J,MLR!G275,'Checking(ZSERIALS)'!G:G,MLR!J275)=0,"Incorrect","Err.")))</f>
        <v/>
      </c>
      <c r="C275" s="63">
        <f>_xlfn.XLOOKUP(J275,'Checking(ZSERIALS)'!G:G,'Checking(ZSERIALS)'!F:F)</f>
        <v>0</v>
      </c>
      <c r="E275" s="114"/>
      <c r="F275" s="115"/>
      <c r="G275" s="123"/>
      <c r="H275" s="116"/>
      <c r="I275" s="117"/>
      <c r="J275" s="115"/>
      <c r="N275" s="115"/>
      <c r="O275" s="115"/>
      <c r="P275" s="115"/>
      <c r="Q275" s="115"/>
      <c r="R275" s="115"/>
      <c r="S275" s="118"/>
      <c r="T275" s="115"/>
      <c r="U275" s="118"/>
      <c r="V275" s="115"/>
      <c r="W275" s="115"/>
      <c r="X275" s="115"/>
      <c r="Y275" s="118"/>
      <c r="AI275" s="115"/>
    </row>
    <row r="276" spans="1:35" hidden="1" x14ac:dyDescent="0.3">
      <c r="A276">
        <f>_xlfn.XLOOKUP(J276,'Checking(ZSERIALS)'!G:G,'Checking(ZSERIALS)'!C:C)</f>
        <v>0</v>
      </c>
      <c r="B276" s="35" t="str">
        <f>IF(J276="","",IF(COUNTIFS('Checking(ZSERIALS)'!J:J,MLR!G276,'Checking(ZSERIALS)'!G:G,MLR!J276)=1,"Correct",IF(COUNTIFS('Checking(ZSERIALS)'!J:J,MLR!G276,'Checking(ZSERIALS)'!G:G,MLR!J276)=0,"Incorrect","Err.")))</f>
        <v/>
      </c>
      <c r="C276" s="63">
        <f>_xlfn.XLOOKUP(J276,'Checking(ZSERIALS)'!G:G,'Checking(ZSERIALS)'!F:F)</f>
        <v>0</v>
      </c>
      <c r="E276" s="114"/>
      <c r="F276" s="115"/>
      <c r="G276" s="123"/>
      <c r="H276" s="116"/>
      <c r="I276" s="117"/>
      <c r="J276" s="115"/>
      <c r="N276" s="115"/>
      <c r="O276" s="115"/>
      <c r="P276" s="115"/>
      <c r="Q276" s="115"/>
      <c r="R276" s="115"/>
      <c r="S276" s="118"/>
      <c r="T276" s="115"/>
      <c r="U276" s="118"/>
      <c r="V276" s="115"/>
      <c r="W276" s="115"/>
      <c r="X276" s="115"/>
      <c r="Y276" s="118"/>
      <c r="AI276" s="115"/>
    </row>
    <row r="277" spans="1:35" hidden="1" x14ac:dyDescent="0.3">
      <c r="A277">
        <f>_xlfn.XLOOKUP(J277,'Checking(ZSERIALS)'!G:G,'Checking(ZSERIALS)'!C:C)</f>
        <v>0</v>
      </c>
      <c r="B277" s="35" t="str">
        <f>IF(J277="","",IF(COUNTIFS('Checking(ZSERIALS)'!J:J,MLR!G277,'Checking(ZSERIALS)'!G:G,MLR!J277)=1,"Correct",IF(COUNTIFS('Checking(ZSERIALS)'!J:J,MLR!G277,'Checking(ZSERIALS)'!G:G,MLR!J277)=0,"Incorrect","Err.")))</f>
        <v/>
      </c>
      <c r="C277" s="63">
        <f>_xlfn.XLOOKUP(J277,'Checking(ZSERIALS)'!G:G,'Checking(ZSERIALS)'!F:F)</f>
        <v>0</v>
      </c>
      <c r="E277" s="114"/>
      <c r="F277" s="115"/>
      <c r="G277" s="123"/>
      <c r="H277" s="116"/>
      <c r="I277" s="117"/>
      <c r="J277" s="115"/>
      <c r="N277" s="115"/>
      <c r="O277" s="115"/>
      <c r="P277" s="115"/>
      <c r="Q277" s="115"/>
      <c r="R277" s="115"/>
      <c r="S277" s="118"/>
      <c r="T277" s="115"/>
      <c r="U277" s="118"/>
      <c r="V277" s="115"/>
      <c r="W277" s="115"/>
      <c r="X277" s="115"/>
      <c r="Y277" s="118"/>
      <c r="AI277" s="115"/>
    </row>
    <row r="278" spans="1:35" hidden="1" x14ac:dyDescent="0.3">
      <c r="A278">
        <f>_xlfn.XLOOKUP(J278,'Checking(ZSERIALS)'!G:G,'Checking(ZSERIALS)'!C:C)</f>
        <v>0</v>
      </c>
      <c r="B278" s="35" t="str">
        <f>IF(J278="","",IF(COUNTIFS('Checking(ZSERIALS)'!J:J,MLR!G278,'Checking(ZSERIALS)'!G:G,MLR!J278)=1,"Correct",IF(COUNTIFS('Checking(ZSERIALS)'!J:J,MLR!G278,'Checking(ZSERIALS)'!G:G,MLR!J278)=0,"Incorrect","Err.")))</f>
        <v/>
      </c>
      <c r="C278" s="63">
        <f>_xlfn.XLOOKUP(J278,'Checking(ZSERIALS)'!G:G,'Checking(ZSERIALS)'!F:F)</f>
        <v>0</v>
      </c>
      <c r="E278" s="114"/>
      <c r="F278" s="115"/>
      <c r="G278" s="123"/>
      <c r="H278" s="116"/>
      <c r="I278" s="117"/>
      <c r="J278" s="115"/>
      <c r="N278" s="115"/>
      <c r="O278" s="115"/>
      <c r="P278" s="115"/>
      <c r="Q278" s="115"/>
      <c r="R278" s="115"/>
      <c r="S278" s="118"/>
      <c r="T278" s="115"/>
      <c r="U278" s="118"/>
      <c r="V278" s="115"/>
      <c r="W278" s="115"/>
      <c r="X278" s="115"/>
      <c r="Y278" s="118"/>
      <c r="AI278" s="115"/>
    </row>
    <row r="279" spans="1:35" hidden="1" x14ac:dyDescent="0.3">
      <c r="A279">
        <f>_xlfn.XLOOKUP(J279,'Checking(ZSERIALS)'!G:G,'Checking(ZSERIALS)'!C:C)</f>
        <v>0</v>
      </c>
      <c r="B279" s="35" t="str">
        <f>IF(J279="","",IF(COUNTIFS('Checking(ZSERIALS)'!J:J,MLR!G279,'Checking(ZSERIALS)'!G:G,MLR!J279)=1,"Correct",IF(COUNTIFS('Checking(ZSERIALS)'!J:J,MLR!G279,'Checking(ZSERIALS)'!G:G,MLR!J279)=0,"Incorrect","Err.")))</f>
        <v/>
      </c>
      <c r="C279" s="63">
        <f>_xlfn.XLOOKUP(J279,'Checking(ZSERIALS)'!G:G,'Checking(ZSERIALS)'!F:F)</f>
        <v>0</v>
      </c>
      <c r="E279" s="114"/>
      <c r="F279" s="115"/>
      <c r="G279" s="123"/>
      <c r="H279" s="116"/>
      <c r="I279" s="117"/>
      <c r="J279" s="115"/>
      <c r="N279" s="115"/>
      <c r="O279" s="115"/>
      <c r="P279" s="115"/>
      <c r="Q279" s="115"/>
      <c r="R279" s="115"/>
      <c r="S279" s="118"/>
      <c r="T279" s="115"/>
      <c r="U279" s="118"/>
      <c r="V279" s="115"/>
      <c r="W279" s="115"/>
      <c r="X279" s="115"/>
      <c r="Y279" s="118"/>
      <c r="AI279" s="115"/>
    </row>
    <row r="280" spans="1:35" hidden="1" x14ac:dyDescent="0.3">
      <c r="A280">
        <f>_xlfn.XLOOKUP(J280,'Checking(ZSERIALS)'!G:G,'Checking(ZSERIALS)'!C:C)</f>
        <v>0</v>
      </c>
      <c r="B280" s="35" t="str">
        <f>IF(J280="","",IF(COUNTIFS('Checking(ZSERIALS)'!J:J,MLR!G280,'Checking(ZSERIALS)'!G:G,MLR!J280)=1,"Correct",IF(COUNTIFS('Checking(ZSERIALS)'!J:J,MLR!G280,'Checking(ZSERIALS)'!G:G,MLR!J280)=0,"Incorrect","Err.")))</f>
        <v/>
      </c>
      <c r="C280" s="63">
        <f>_xlfn.XLOOKUP(J280,'Checking(ZSERIALS)'!G:G,'Checking(ZSERIALS)'!F:F)</f>
        <v>0</v>
      </c>
      <c r="E280" s="114"/>
      <c r="F280" s="115"/>
      <c r="G280" s="123"/>
      <c r="H280" s="116"/>
      <c r="I280" s="117"/>
      <c r="J280" s="115"/>
      <c r="N280" s="115"/>
      <c r="O280" s="115"/>
      <c r="P280" s="115"/>
      <c r="Q280" s="115"/>
      <c r="R280" s="115"/>
      <c r="S280" s="118"/>
      <c r="T280" s="115"/>
      <c r="U280" s="118"/>
      <c r="V280" s="115"/>
      <c r="W280" s="115"/>
      <c r="X280" s="115"/>
      <c r="Y280" s="118"/>
      <c r="AI280" s="115"/>
    </row>
    <row r="281" spans="1:35" hidden="1" x14ac:dyDescent="0.3">
      <c r="A281">
        <f>_xlfn.XLOOKUP(J281,'Checking(ZSERIALS)'!G:G,'Checking(ZSERIALS)'!C:C)</f>
        <v>0</v>
      </c>
      <c r="B281" s="35" t="str">
        <f>IF(J281="","",IF(COUNTIFS('Checking(ZSERIALS)'!J:J,MLR!G281,'Checking(ZSERIALS)'!G:G,MLR!J281)=1,"Correct",IF(COUNTIFS('Checking(ZSERIALS)'!J:J,MLR!G281,'Checking(ZSERIALS)'!G:G,MLR!J281)=0,"Incorrect","Err.")))</f>
        <v/>
      </c>
      <c r="C281" s="63">
        <f>_xlfn.XLOOKUP(J281,'Checking(ZSERIALS)'!G:G,'Checking(ZSERIALS)'!F:F)</f>
        <v>0</v>
      </c>
      <c r="E281" s="114"/>
      <c r="F281" s="115"/>
      <c r="G281" s="123"/>
      <c r="H281" s="116"/>
      <c r="I281" s="117"/>
      <c r="J281" s="115"/>
      <c r="N281" s="115"/>
      <c r="O281" s="115"/>
      <c r="P281" s="115"/>
      <c r="Q281" s="115"/>
      <c r="R281" s="115"/>
      <c r="S281" s="118"/>
      <c r="T281" s="115"/>
      <c r="U281" s="118"/>
      <c r="V281" s="115"/>
      <c r="W281" s="115"/>
      <c r="X281" s="115"/>
      <c r="Y281" s="118"/>
      <c r="AI281" s="115"/>
    </row>
    <row r="282" spans="1:35" hidden="1" x14ac:dyDescent="0.3">
      <c r="A282">
        <f>_xlfn.XLOOKUP(J282,'Checking(ZSERIALS)'!G:G,'Checking(ZSERIALS)'!C:C)</f>
        <v>0</v>
      </c>
      <c r="B282" s="35" t="str">
        <f>IF(J282="","",IF(COUNTIFS('Checking(ZSERIALS)'!J:J,MLR!G282,'Checking(ZSERIALS)'!G:G,MLR!J282)=1,"Correct",IF(COUNTIFS('Checking(ZSERIALS)'!J:J,MLR!G282,'Checking(ZSERIALS)'!G:G,MLR!J282)=0,"Incorrect","Err.")))</f>
        <v/>
      </c>
      <c r="C282" s="63">
        <f>_xlfn.XLOOKUP(J282,'Checking(ZSERIALS)'!G:G,'Checking(ZSERIALS)'!F:F)</f>
        <v>0</v>
      </c>
      <c r="E282" s="114"/>
      <c r="F282" s="115"/>
      <c r="G282" s="123"/>
      <c r="H282" s="116"/>
      <c r="I282" s="117"/>
      <c r="J282" s="115"/>
      <c r="N282" s="115"/>
      <c r="O282" s="115"/>
      <c r="P282" s="115"/>
      <c r="Q282" s="115"/>
      <c r="R282" s="115"/>
      <c r="S282" s="118"/>
      <c r="T282" s="115"/>
      <c r="U282" s="118"/>
      <c r="V282" s="115"/>
      <c r="W282" s="115"/>
      <c r="X282" s="115"/>
      <c r="Y282" s="118"/>
      <c r="AI282" s="115"/>
    </row>
    <row r="283" spans="1:35" hidden="1" x14ac:dyDescent="0.3">
      <c r="A283">
        <f>_xlfn.XLOOKUP(J283,'Checking(ZSERIALS)'!G:G,'Checking(ZSERIALS)'!C:C)</f>
        <v>0</v>
      </c>
      <c r="B283" s="35" t="str">
        <f>IF(J283="","",IF(COUNTIFS('Checking(ZSERIALS)'!J:J,MLR!G283,'Checking(ZSERIALS)'!G:G,MLR!J283)=1,"Correct",IF(COUNTIFS('Checking(ZSERIALS)'!J:J,MLR!G283,'Checking(ZSERIALS)'!G:G,MLR!J283)=0,"Incorrect","Err.")))</f>
        <v/>
      </c>
      <c r="C283" s="63">
        <f>_xlfn.XLOOKUP(J283,'Checking(ZSERIALS)'!G:G,'Checking(ZSERIALS)'!F:F)</f>
        <v>0</v>
      </c>
      <c r="E283" s="114"/>
      <c r="F283" s="115"/>
      <c r="G283" s="123"/>
      <c r="H283" s="116"/>
      <c r="I283" s="117"/>
      <c r="J283" s="115"/>
      <c r="N283" s="115"/>
      <c r="O283" s="115"/>
      <c r="P283" s="115"/>
      <c r="Q283" s="115"/>
      <c r="R283" s="115"/>
      <c r="S283" s="118"/>
      <c r="T283" s="115"/>
      <c r="U283" s="118"/>
      <c r="V283" s="115"/>
      <c r="W283" s="115"/>
      <c r="X283" s="115"/>
      <c r="Y283" s="118"/>
      <c r="AI283" s="115"/>
    </row>
    <row r="284" spans="1:35" hidden="1" x14ac:dyDescent="0.3">
      <c r="A284">
        <f>_xlfn.XLOOKUP(J284,'Checking(ZSERIALS)'!G:G,'Checking(ZSERIALS)'!C:C)</f>
        <v>0</v>
      </c>
      <c r="B284" s="35" t="str">
        <f>IF(J284="","",IF(COUNTIFS('Checking(ZSERIALS)'!J:J,MLR!G284,'Checking(ZSERIALS)'!G:G,MLR!J284)=1,"Correct",IF(COUNTIFS('Checking(ZSERIALS)'!J:J,MLR!G284,'Checking(ZSERIALS)'!G:G,MLR!J284)=0,"Incorrect","Err.")))</f>
        <v/>
      </c>
      <c r="C284" s="63">
        <f>_xlfn.XLOOKUP(J284,'Checking(ZSERIALS)'!G:G,'Checking(ZSERIALS)'!F:F)</f>
        <v>0</v>
      </c>
      <c r="E284" s="114"/>
      <c r="F284" s="115"/>
      <c r="G284" s="123"/>
      <c r="H284" s="116"/>
      <c r="I284" s="117"/>
      <c r="J284" s="115"/>
      <c r="N284" s="115"/>
      <c r="O284" s="115"/>
      <c r="P284" s="115"/>
      <c r="Q284" s="115"/>
      <c r="R284" s="115"/>
      <c r="S284" s="118"/>
      <c r="T284" s="115"/>
      <c r="U284" s="118"/>
      <c r="V284" s="115"/>
      <c r="W284" s="115"/>
      <c r="X284" s="115"/>
      <c r="Y284" s="118"/>
      <c r="AI284" s="115"/>
    </row>
    <row r="285" spans="1:35" hidden="1" x14ac:dyDescent="0.3">
      <c r="A285">
        <f>_xlfn.XLOOKUP(J285,'Checking(ZSERIALS)'!G:G,'Checking(ZSERIALS)'!C:C)</f>
        <v>0</v>
      </c>
      <c r="B285" s="35" t="str">
        <f>IF(J285="","",IF(COUNTIFS('Checking(ZSERIALS)'!J:J,MLR!G285,'Checking(ZSERIALS)'!G:G,MLR!J285)=1,"Correct",IF(COUNTIFS('Checking(ZSERIALS)'!J:J,MLR!G285,'Checking(ZSERIALS)'!G:G,MLR!J285)=0,"Incorrect","Err.")))</f>
        <v/>
      </c>
      <c r="C285" s="63">
        <f>_xlfn.XLOOKUP(J285,'Checking(ZSERIALS)'!G:G,'Checking(ZSERIALS)'!F:F)</f>
        <v>0</v>
      </c>
      <c r="E285" s="114"/>
      <c r="F285" s="115"/>
      <c r="G285" s="123"/>
      <c r="H285" s="116"/>
      <c r="I285" s="117"/>
      <c r="J285" s="115"/>
      <c r="N285" s="115"/>
      <c r="O285" s="115"/>
      <c r="P285" s="115"/>
      <c r="Q285" s="115"/>
      <c r="R285" s="115"/>
      <c r="S285" s="118"/>
      <c r="T285" s="115"/>
      <c r="U285" s="118"/>
      <c r="V285" s="115"/>
      <c r="W285" s="115"/>
      <c r="X285" s="115"/>
      <c r="Y285" s="118"/>
      <c r="AI285" s="115"/>
    </row>
    <row r="286" spans="1:35" hidden="1" x14ac:dyDescent="0.3">
      <c r="A286">
        <f>_xlfn.XLOOKUP(J286,'Checking(ZSERIALS)'!G:G,'Checking(ZSERIALS)'!C:C)</f>
        <v>0</v>
      </c>
      <c r="B286" s="35" t="str">
        <f>IF(J286="","",IF(COUNTIFS('Checking(ZSERIALS)'!J:J,MLR!G286,'Checking(ZSERIALS)'!G:G,MLR!J286)=1,"Correct",IF(COUNTIFS('Checking(ZSERIALS)'!J:J,MLR!G286,'Checking(ZSERIALS)'!G:G,MLR!J286)=0,"Incorrect","Err.")))</f>
        <v/>
      </c>
      <c r="C286" s="63">
        <f>_xlfn.XLOOKUP(J286,'Checking(ZSERIALS)'!G:G,'Checking(ZSERIALS)'!F:F)</f>
        <v>0</v>
      </c>
      <c r="E286" s="114"/>
      <c r="F286" s="115"/>
      <c r="G286" s="123"/>
      <c r="H286" s="116"/>
      <c r="I286" s="117"/>
      <c r="J286" s="115"/>
      <c r="N286" s="115"/>
      <c r="O286" s="115"/>
      <c r="P286" s="115"/>
      <c r="Q286" s="115"/>
      <c r="R286" s="115"/>
      <c r="S286" s="118"/>
      <c r="T286" s="115"/>
      <c r="U286" s="118"/>
      <c r="V286" s="115"/>
      <c r="W286" s="115"/>
      <c r="X286" s="115"/>
      <c r="Y286" s="118"/>
      <c r="AI286" s="115"/>
    </row>
    <row r="287" spans="1:35" hidden="1" x14ac:dyDescent="0.3">
      <c r="A287">
        <f>_xlfn.XLOOKUP(J287,'Checking(ZSERIALS)'!G:G,'Checking(ZSERIALS)'!C:C)</f>
        <v>0</v>
      </c>
      <c r="B287" s="35" t="str">
        <f>IF(J287="","",IF(COUNTIFS('Checking(ZSERIALS)'!J:J,MLR!G287,'Checking(ZSERIALS)'!G:G,MLR!J287)=1,"Correct",IF(COUNTIFS('Checking(ZSERIALS)'!J:J,MLR!G287,'Checking(ZSERIALS)'!G:G,MLR!J287)=0,"Incorrect","Err.")))</f>
        <v/>
      </c>
      <c r="C287" s="63">
        <f>_xlfn.XLOOKUP(J287,'Checking(ZSERIALS)'!G:G,'Checking(ZSERIALS)'!F:F)</f>
        <v>0</v>
      </c>
      <c r="E287" s="114"/>
      <c r="F287" s="115"/>
      <c r="G287" s="123"/>
      <c r="H287" s="116"/>
      <c r="I287" s="117"/>
      <c r="J287" s="115"/>
      <c r="N287" s="115"/>
      <c r="O287" s="115"/>
      <c r="P287" s="115"/>
      <c r="Q287" s="115"/>
      <c r="R287" s="115"/>
      <c r="S287" s="118"/>
      <c r="T287" s="115"/>
      <c r="U287" s="118"/>
      <c r="V287" s="115"/>
      <c r="W287" s="115"/>
      <c r="X287" s="115"/>
      <c r="Y287" s="118"/>
      <c r="AI287" s="115"/>
    </row>
    <row r="288" spans="1:35" hidden="1" x14ac:dyDescent="0.3">
      <c r="A288">
        <f>_xlfn.XLOOKUP(J288,'Checking(ZSERIALS)'!G:G,'Checking(ZSERIALS)'!C:C)</f>
        <v>0</v>
      </c>
      <c r="B288" s="35" t="str">
        <f>IF(J288="","",IF(COUNTIFS('Checking(ZSERIALS)'!J:J,MLR!G288,'Checking(ZSERIALS)'!G:G,MLR!J288)=1,"Correct",IF(COUNTIFS('Checking(ZSERIALS)'!J:J,MLR!G288,'Checking(ZSERIALS)'!G:G,MLR!J288)=0,"Incorrect","Err.")))</f>
        <v/>
      </c>
      <c r="C288" s="63">
        <f>_xlfn.XLOOKUP(J288,'Checking(ZSERIALS)'!G:G,'Checking(ZSERIALS)'!F:F)</f>
        <v>0</v>
      </c>
      <c r="E288" s="114"/>
      <c r="F288" s="115"/>
      <c r="G288" s="123"/>
      <c r="H288" s="116"/>
      <c r="I288" s="117"/>
      <c r="J288" s="115"/>
      <c r="N288" s="115"/>
      <c r="O288" s="115"/>
      <c r="P288" s="115"/>
      <c r="Q288" s="115"/>
      <c r="R288" s="115"/>
      <c r="S288" s="118"/>
      <c r="T288" s="115"/>
      <c r="U288" s="118"/>
      <c r="V288" s="115"/>
      <c r="W288" s="115"/>
      <c r="X288" s="115"/>
      <c r="Y288" s="118"/>
      <c r="AI288" s="115"/>
    </row>
    <row r="289" spans="1:35" hidden="1" x14ac:dyDescent="0.3">
      <c r="A289">
        <f>_xlfn.XLOOKUP(J289,'Checking(ZSERIALS)'!G:G,'Checking(ZSERIALS)'!C:C)</f>
        <v>0</v>
      </c>
      <c r="B289" s="35" t="str">
        <f>IF(J289="","",IF(COUNTIFS('Checking(ZSERIALS)'!J:J,MLR!G289,'Checking(ZSERIALS)'!G:G,MLR!J289)=1,"Correct",IF(COUNTIFS('Checking(ZSERIALS)'!J:J,MLR!G289,'Checking(ZSERIALS)'!G:G,MLR!J289)=0,"Incorrect","Err.")))</f>
        <v/>
      </c>
      <c r="C289" s="63">
        <f>_xlfn.XLOOKUP(J289,'Checking(ZSERIALS)'!G:G,'Checking(ZSERIALS)'!F:F)</f>
        <v>0</v>
      </c>
      <c r="E289" s="114"/>
      <c r="F289" s="115"/>
      <c r="G289" s="123"/>
      <c r="H289" s="116"/>
      <c r="I289" s="117"/>
      <c r="J289" s="115"/>
      <c r="N289" s="115"/>
      <c r="O289" s="115"/>
      <c r="P289" s="115"/>
      <c r="Q289" s="115"/>
      <c r="R289" s="115"/>
      <c r="S289" s="118"/>
      <c r="T289" s="115"/>
      <c r="U289" s="118"/>
      <c r="V289" s="115"/>
      <c r="W289" s="115"/>
      <c r="X289" s="115"/>
      <c r="Y289" s="118"/>
      <c r="AI289" s="115"/>
    </row>
    <row r="290" spans="1:35" hidden="1" x14ac:dyDescent="0.3">
      <c r="A290">
        <f>_xlfn.XLOOKUP(J290,'Checking(ZSERIALS)'!G:G,'Checking(ZSERIALS)'!C:C)</f>
        <v>0</v>
      </c>
      <c r="B290" s="35" t="str">
        <f>IF(J290="","",IF(COUNTIFS('Checking(ZSERIALS)'!J:J,MLR!G290,'Checking(ZSERIALS)'!G:G,MLR!J290)=1,"Correct",IF(COUNTIFS('Checking(ZSERIALS)'!J:J,MLR!G290,'Checking(ZSERIALS)'!G:G,MLR!J290)=0,"Incorrect","Err.")))</f>
        <v/>
      </c>
      <c r="C290" s="63">
        <f>_xlfn.XLOOKUP(J290,'Checking(ZSERIALS)'!G:G,'Checking(ZSERIALS)'!F:F)</f>
        <v>0</v>
      </c>
      <c r="E290" s="114"/>
      <c r="F290" s="115"/>
      <c r="G290" s="123"/>
      <c r="H290" s="116"/>
      <c r="I290" s="117"/>
      <c r="J290" s="115"/>
      <c r="N290" s="115"/>
      <c r="O290" s="115"/>
      <c r="P290" s="115"/>
      <c r="Q290" s="115"/>
      <c r="R290" s="115"/>
      <c r="S290" s="118"/>
      <c r="T290" s="115"/>
      <c r="U290" s="118"/>
      <c r="V290" s="115"/>
      <c r="W290" s="115"/>
      <c r="X290" s="115"/>
      <c r="Y290" s="118"/>
      <c r="AI290" s="115"/>
    </row>
    <row r="291" spans="1:35" hidden="1" x14ac:dyDescent="0.3">
      <c r="A291">
        <f>_xlfn.XLOOKUP(J291,'Checking(ZSERIALS)'!G:G,'Checking(ZSERIALS)'!C:C)</f>
        <v>0</v>
      </c>
      <c r="B291" s="35" t="str">
        <f>IF(J291="","",IF(COUNTIFS('Checking(ZSERIALS)'!J:J,MLR!G291,'Checking(ZSERIALS)'!G:G,MLR!J291)=1,"Correct",IF(COUNTIFS('Checking(ZSERIALS)'!J:J,MLR!G291,'Checking(ZSERIALS)'!G:G,MLR!J291)=0,"Incorrect","Err.")))</f>
        <v/>
      </c>
      <c r="C291" s="63">
        <f>_xlfn.XLOOKUP(J291,'Checking(ZSERIALS)'!G:G,'Checking(ZSERIALS)'!F:F)</f>
        <v>0</v>
      </c>
      <c r="E291" s="114"/>
      <c r="F291" s="115"/>
      <c r="G291" s="123"/>
      <c r="H291" s="116"/>
      <c r="I291" s="117"/>
      <c r="J291" s="115"/>
      <c r="N291" s="115"/>
      <c r="O291" s="115"/>
      <c r="P291" s="115"/>
      <c r="Q291" s="115"/>
      <c r="R291" s="115"/>
      <c r="S291" s="118"/>
      <c r="T291" s="115"/>
      <c r="U291" s="118"/>
      <c r="V291" s="115"/>
      <c r="W291" s="115"/>
      <c r="X291" s="115"/>
      <c r="Y291" s="118"/>
      <c r="AI291" s="115"/>
    </row>
    <row r="292" spans="1:35" hidden="1" x14ac:dyDescent="0.3">
      <c r="A292">
        <f>_xlfn.XLOOKUP(J292,'Checking(ZSERIALS)'!G:G,'Checking(ZSERIALS)'!C:C)</f>
        <v>0</v>
      </c>
      <c r="B292" s="35" t="str">
        <f>IF(J292="","",IF(COUNTIFS('Checking(ZSERIALS)'!J:J,MLR!G292,'Checking(ZSERIALS)'!G:G,MLR!J292)=1,"Correct",IF(COUNTIFS('Checking(ZSERIALS)'!J:J,MLR!G292,'Checking(ZSERIALS)'!G:G,MLR!J292)=0,"Incorrect","Err.")))</f>
        <v/>
      </c>
      <c r="C292" s="63">
        <f>_xlfn.XLOOKUP(J292,'Checking(ZSERIALS)'!G:G,'Checking(ZSERIALS)'!F:F)</f>
        <v>0</v>
      </c>
      <c r="E292" s="114"/>
      <c r="F292" s="115"/>
      <c r="G292" s="123"/>
      <c r="H292" s="116"/>
      <c r="I292" s="117"/>
      <c r="J292" s="115"/>
      <c r="N292" s="115"/>
      <c r="O292" s="115"/>
      <c r="P292" s="115"/>
      <c r="Q292" s="115"/>
      <c r="R292" s="115"/>
      <c r="S292" s="118"/>
      <c r="T292" s="115"/>
      <c r="U292" s="118"/>
      <c r="V292" s="115"/>
      <c r="W292" s="115"/>
      <c r="X292" s="115"/>
      <c r="Y292" s="118"/>
      <c r="AI292" s="115"/>
    </row>
    <row r="293" spans="1:35" hidden="1" x14ac:dyDescent="0.3">
      <c r="A293">
        <f>_xlfn.XLOOKUP(J293,'Checking(ZSERIALS)'!G:G,'Checking(ZSERIALS)'!C:C)</f>
        <v>0</v>
      </c>
      <c r="B293" s="35" t="str">
        <f>IF(J293="","",IF(COUNTIFS('Checking(ZSERIALS)'!J:J,MLR!G293,'Checking(ZSERIALS)'!G:G,MLR!J293)=1,"Correct",IF(COUNTIFS('Checking(ZSERIALS)'!J:J,MLR!G293,'Checking(ZSERIALS)'!G:G,MLR!J293)=0,"Incorrect","Err.")))</f>
        <v/>
      </c>
      <c r="C293" s="63">
        <f>_xlfn.XLOOKUP(J293,'Checking(ZSERIALS)'!G:G,'Checking(ZSERIALS)'!F:F)</f>
        <v>0</v>
      </c>
      <c r="E293" s="114"/>
      <c r="F293" s="115"/>
      <c r="G293" s="123"/>
      <c r="H293" s="116"/>
      <c r="I293" s="117"/>
      <c r="J293" s="115"/>
      <c r="N293" s="115"/>
      <c r="O293" s="115"/>
      <c r="P293" s="115"/>
      <c r="Q293" s="115"/>
      <c r="R293" s="115"/>
      <c r="S293" s="118"/>
      <c r="T293" s="115"/>
      <c r="U293" s="118"/>
      <c r="V293" s="115"/>
      <c r="W293" s="115"/>
      <c r="X293" s="115"/>
      <c r="Y293" s="118"/>
      <c r="AI293" s="115"/>
    </row>
    <row r="294" spans="1:35" hidden="1" x14ac:dyDescent="0.3">
      <c r="A294">
        <f>_xlfn.XLOOKUP(J294,'Checking(ZSERIALS)'!G:G,'Checking(ZSERIALS)'!C:C)</f>
        <v>0</v>
      </c>
      <c r="B294" s="35" t="str">
        <f>IF(J294="","",IF(COUNTIFS('Checking(ZSERIALS)'!J:J,MLR!G294,'Checking(ZSERIALS)'!G:G,MLR!J294)=1,"Correct",IF(COUNTIFS('Checking(ZSERIALS)'!J:J,MLR!G294,'Checking(ZSERIALS)'!G:G,MLR!J294)=0,"Incorrect","Err.")))</f>
        <v/>
      </c>
      <c r="C294" s="63">
        <f>_xlfn.XLOOKUP(J294,'Checking(ZSERIALS)'!G:G,'Checking(ZSERIALS)'!F:F)</f>
        <v>0</v>
      </c>
      <c r="E294" s="114"/>
      <c r="F294" s="115"/>
      <c r="G294" s="123"/>
      <c r="H294" s="116"/>
      <c r="I294" s="117"/>
      <c r="J294" s="115"/>
      <c r="N294" s="115"/>
      <c r="O294" s="115"/>
      <c r="P294" s="115"/>
      <c r="Q294" s="115"/>
      <c r="R294" s="115"/>
      <c r="S294" s="118"/>
      <c r="T294" s="115"/>
      <c r="U294" s="118"/>
      <c r="V294" s="115"/>
      <c r="W294" s="115"/>
      <c r="X294" s="115"/>
      <c r="Y294" s="118"/>
      <c r="AI294" s="115"/>
    </row>
    <row r="295" spans="1:35" hidden="1" x14ac:dyDescent="0.3">
      <c r="A295">
        <f>_xlfn.XLOOKUP(J295,'Checking(ZSERIALS)'!G:G,'Checking(ZSERIALS)'!C:C)</f>
        <v>0</v>
      </c>
      <c r="B295" s="35" t="str">
        <f>IF(J295="","",IF(COUNTIFS('Checking(ZSERIALS)'!J:J,MLR!G295,'Checking(ZSERIALS)'!G:G,MLR!J295)=1,"Correct",IF(COUNTIFS('Checking(ZSERIALS)'!J:J,MLR!G295,'Checking(ZSERIALS)'!G:G,MLR!J295)=0,"Incorrect","Err.")))</f>
        <v/>
      </c>
      <c r="C295" s="63">
        <f>_xlfn.XLOOKUP(J295,'Checking(ZSERIALS)'!G:G,'Checking(ZSERIALS)'!F:F)</f>
        <v>0</v>
      </c>
      <c r="E295" s="114"/>
      <c r="F295" s="115"/>
      <c r="G295" s="123"/>
      <c r="H295" s="116"/>
      <c r="I295" s="117"/>
      <c r="J295" s="115"/>
      <c r="N295" s="115"/>
      <c r="O295" s="115"/>
      <c r="P295" s="115"/>
      <c r="Q295" s="115"/>
      <c r="R295" s="115"/>
      <c r="S295" s="118"/>
      <c r="T295" s="115"/>
      <c r="U295" s="118"/>
      <c r="V295" s="115"/>
      <c r="W295" s="115"/>
      <c r="X295" s="115"/>
      <c r="Y295" s="118"/>
      <c r="AI295" s="115"/>
    </row>
    <row r="296" spans="1:35" hidden="1" x14ac:dyDescent="0.3">
      <c r="A296">
        <f>_xlfn.XLOOKUP(J296,'Checking(ZSERIALS)'!G:G,'Checking(ZSERIALS)'!C:C)</f>
        <v>0</v>
      </c>
      <c r="B296" s="35" t="str">
        <f>IF(J296="","",IF(COUNTIFS('Checking(ZSERIALS)'!J:J,MLR!G296,'Checking(ZSERIALS)'!G:G,MLR!J296)=1,"Correct",IF(COUNTIFS('Checking(ZSERIALS)'!J:J,MLR!G296,'Checking(ZSERIALS)'!G:G,MLR!J296)=0,"Incorrect","Err.")))</f>
        <v/>
      </c>
      <c r="C296" s="63">
        <f>_xlfn.XLOOKUP(J296,'Checking(ZSERIALS)'!G:G,'Checking(ZSERIALS)'!F:F)</f>
        <v>0</v>
      </c>
      <c r="E296" s="114"/>
      <c r="F296" s="115"/>
      <c r="G296" s="123"/>
      <c r="H296" s="116"/>
      <c r="I296" s="117"/>
      <c r="J296" s="115"/>
      <c r="N296" s="115"/>
      <c r="O296" s="115"/>
      <c r="P296" s="115"/>
      <c r="Q296" s="115"/>
      <c r="R296" s="115"/>
      <c r="S296" s="118"/>
      <c r="T296" s="115"/>
      <c r="U296" s="118"/>
      <c r="V296" s="115"/>
      <c r="W296" s="115"/>
      <c r="X296" s="115"/>
      <c r="Y296" s="118"/>
      <c r="AI296" s="115"/>
    </row>
    <row r="297" spans="1:35" hidden="1" x14ac:dyDescent="0.3">
      <c r="A297">
        <f>_xlfn.XLOOKUP(J297,'Checking(ZSERIALS)'!G:G,'Checking(ZSERIALS)'!C:C)</f>
        <v>0</v>
      </c>
      <c r="B297" s="35" t="str">
        <f>IF(J297="","",IF(COUNTIFS('Checking(ZSERIALS)'!J:J,MLR!G297,'Checking(ZSERIALS)'!G:G,MLR!J297)=1,"Correct",IF(COUNTIFS('Checking(ZSERIALS)'!J:J,MLR!G297,'Checking(ZSERIALS)'!G:G,MLR!J297)=0,"Incorrect","Err.")))</f>
        <v/>
      </c>
      <c r="C297" s="63">
        <f>_xlfn.XLOOKUP(J297,'Checking(ZSERIALS)'!G:G,'Checking(ZSERIALS)'!F:F)</f>
        <v>0</v>
      </c>
      <c r="E297" s="114"/>
      <c r="F297" s="115"/>
      <c r="G297" s="123"/>
      <c r="H297" s="116"/>
      <c r="I297" s="117"/>
      <c r="J297" s="115"/>
      <c r="N297" s="115"/>
      <c r="O297" s="115"/>
      <c r="P297" s="115"/>
      <c r="Q297" s="115"/>
      <c r="R297" s="115"/>
      <c r="S297" s="118"/>
      <c r="T297" s="115"/>
      <c r="U297" s="118"/>
      <c r="V297" s="115"/>
      <c r="W297" s="115"/>
      <c r="X297" s="115"/>
      <c r="Y297" s="118"/>
      <c r="AI297" s="115"/>
    </row>
    <row r="298" spans="1:35" hidden="1" x14ac:dyDescent="0.3">
      <c r="A298">
        <f>_xlfn.XLOOKUP(J298,'Checking(ZSERIALS)'!G:G,'Checking(ZSERIALS)'!C:C)</f>
        <v>0</v>
      </c>
      <c r="B298" s="35" t="str">
        <f>IF(J298="","",IF(COUNTIFS('Checking(ZSERIALS)'!J:J,MLR!G298,'Checking(ZSERIALS)'!G:G,MLR!J298)=1,"Correct",IF(COUNTIFS('Checking(ZSERIALS)'!J:J,MLR!G298,'Checking(ZSERIALS)'!G:G,MLR!J298)=0,"Incorrect","Err.")))</f>
        <v/>
      </c>
      <c r="C298" s="63">
        <f>_xlfn.XLOOKUP(J298,'Checking(ZSERIALS)'!G:G,'Checking(ZSERIALS)'!F:F)</f>
        <v>0</v>
      </c>
      <c r="E298" s="114"/>
      <c r="F298" s="115"/>
      <c r="G298" s="123"/>
      <c r="H298" s="116"/>
      <c r="I298" s="117"/>
      <c r="J298" s="115"/>
      <c r="N298" s="115"/>
      <c r="O298" s="115"/>
      <c r="P298" s="115"/>
      <c r="Q298" s="115"/>
      <c r="R298" s="115"/>
      <c r="S298" s="118"/>
      <c r="T298" s="115"/>
      <c r="U298" s="118"/>
      <c r="V298" s="115"/>
      <c r="W298" s="115"/>
      <c r="X298" s="115"/>
      <c r="Y298" s="118"/>
      <c r="AI298" s="115"/>
    </row>
    <row r="299" spans="1:35" hidden="1" x14ac:dyDescent="0.3">
      <c r="A299">
        <f>_xlfn.XLOOKUP(J299,'Checking(ZSERIALS)'!G:G,'Checking(ZSERIALS)'!C:C)</f>
        <v>0</v>
      </c>
      <c r="B299" s="35" t="str">
        <f>IF(J299="","",IF(COUNTIFS('Checking(ZSERIALS)'!J:J,MLR!G299,'Checking(ZSERIALS)'!G:G,MLR!J299)=1,"Correct",IF(COUNTIFS('Checking(ZSERIALS)'!J:J,MLR!G299,'Checking(ZSERIALS)'!G:G,MLR!J299)=0,"Incorrect","Err.")))</f>
        <v/>
      </c>
      <c r="C299" s="63">
        <f>_xlfn.XLOOKUP(J299,'Checking(ZSERIALS)'!G:G,'Checking(ZSERIALS)'!F:F)</f>
        <v>0</v>
      </c>
      <c r="E299" s="114"/>
      <c r="F299" s="115"/>
      <c r="G299" s="123"/>
      <c r="H299" s="116"/>
      <c r="I299" s="117"/>
      <c r="J299" s="115"/>
      <c r="N299" s="115"/>
      <c r="O299" s="115"/>
      <c r="P299" s="115"/>
      <c r="Q299" s="115"/>
      <c r="R299" s="115"/>
      <c r="S299" s="118"/>
      <c r="T299" s="115"/>
      <c r="U299" s="118"/>
      <c r="V299" s="115"/>
      <c r="W299" s="115"/>
      <c r="X299" s="115"/>
      <c r="Y299" s="118"/>
      <c r="AI299" s="115"/>
    </row>
    <row r="300" spans="1:35" hidden="1" x14ac:dyDescent="0.3">
      <c r="A300">
        <f>_xlfn.XLOOKUP(J300,'Checking(ZSERIALS)'!G:G,'Checking(ZSERIALS)'!C:C)</f>
        <v>0</v>
      </c>
      <c r="B300" s="35" t="str">
        <f>IF(J300="","",IF(COUNTIFS('Checking(ZSERIALS)'!J:J,MLR!G300,'Checking(ZSERIALS)'!G:G,MLR!J300)=1,"Correct",IF(COUNTIFS('Checking(ZSERIALS)'!J:J,MLR!G300,'Checking(ZSERIALS)'!G:G,MLR!J300)=0,"Incorrect","Err.")))</f>
        <v/>
      </c>
      <c r="C300" s="63">
        <f>_xlfn.XLOOKUP(J300,'Checking(ZSERIALS)'!G:G,'Checking(ZSERIALS)'!F:F)</f>
        <v>0</v>
      </c>
      <c r="E300" s="114"/>
      <c r="F300" s="115"/>
      <c r="G300" s="123"/>
      <c r="H300" s="116"/>
      <c r="I300" s="117"/>
      <c r="J300" s="115"/>
      <c r="N300" s="115"/>
      <c r="O300" s="115"/>
      <c r="P300" s="115"/>
      <c r="Q300" s="115"/>
      <c r="R300" s="115"/>
      <c r="S300" s="118"/>
      <c r="T300" s="115"/>
      <c r="U300" s="118"/>
      <c r="V300" s="115"/>
      <c r="W300" s="115"/>
      <c r="X300" s="115"/>
      <c r="Y300" s="118"/>
      <c r="AI300" s="115"/>
    </row>
    <row r="301" spans="1:35" hidden="1" x14ac:dyDescent="0.3">
      <c r="A301">
        <f>_xlfn.XLOOKUP(J301,'Checking(ZSERIALS)'!G:G,'Checking(ZSERIALS)'!C:C)</f>
        <v>0</v>
      </c>
      <c r="B301" s="35" t="str">
        <f>IF(J301="","",IF(COUNTIFS('Checking(ZSERIALS)'!J:J,MLR!G301,'Checking(ZSERIALS)'!G:G,MLR!J301)=1,"Correct",IF(COUNTIFS('Checking(ZSERIALS)'!J:J,MLR!G301,'Checking(ZSERIALS)'!G:G,MLR!J301)=0,"Incorrect","Err.")))</f>
        <v/>
      </c>
      <c r="C301" s="63">
        <f>_xlfn.XLOOKUP(J301,'Checking(ZSERIALS)'!G:G,'Checking(ZSERIALS)'!F:F)</f>
        <v>0</v>
      </c>
      <c r="E301" s="114"/>
      <c r="F301" s="115"/>
      <c r="G301" s="123"/>
      <c r="H301" s="116"/>
      <c r="I301" s="117"/>
      <c r="J301" s="115"/>
      <c r="N301" s="115"/>
      <c r="O301" s="115"/>
      <c r="P301" s="115"/>
      <c r="Q301" s="115"/>
      <c r="R301" s="115"/>
      <c r="S301" s="118"/>
      <c r="T301" s="115"/>
      <c r="U301" s="118"/>
      <c r="V301" s="115"/>
      <c r="W301" s="115"/>
      <c r="X301" s="115"/>
      <c r="Y301" s="118"/>
      <c r="AI301" s="115"/>
    </row>
    <row r="302" spans="1:35" hidden="1" x14ac:dyDescent="0.3">
      <c r="A302">
        <f>_xlfn.XLOOKUP(J302,'Checking(ZSERIALS)'!G:G,'Checking(ZSERIALS)'!C:C)</f>
        <v>0</v>
      </c>
      <c r="B302" s="35" t="str">
        <f>IF(J302="","",IF(COUNTIFS('Checking(ZSERIALS)'!J:J,MLR!G302,'Checking(ZSERIALS)'!G:G,MLR!J302)=1,"Correct",IF(COUNTIFS('Checking(ZSERIALS)'!J:J,MLR!G302,'Checking(ZSERIALS)'!G:G,MLR!J302)=0,"Incorrect","Err.")))</f>
        <v/>
      </c>
      <c r="C302" s="63">
        <f>_xlfn.XLOOKUP(J302,'Checking(ZSERIALS)'!G:G,'Checking(ZSERIALS)'!F:F)</f>
        <v>0</v>
      </c>
      <c r="E302" s="114"/>
      <c r="F302" s="115"/>
      <c r="G302" s="123"/>
      <c r="H302" s="116"/>
      <c r="I302" s="117"/>
      <c r="J302" s="115"/>
      <c r="N302" s="115"/>
      <c r="O302" s="115"/>
      <c r="P302" s="115"/>
      <c r="Q302" s="115"/>
      <c r="R302" s="115"/>
      <c r="S302" s="118"/>
      <c r="T302" s="115"/>
      <c r="U302" s="118"/>
      <c r="V302" s="115"/>
      <c r="W302" s="115"/>
      <c r="X302" s="115"/>
      <c r="Y302" s="118"/>
      <c r="AI302" s="115"/>
    </row>
    <row r="303" spans="1:35" hidden="1" x14ac:dyDescent="0.3">
      <c r="A303">
        <f>_xlfn.XLOOKUP(J303,'Checking(ZSERIALS)'!G:G,'Checking(ZSERIALS)'!C:C)</f>
        <v>0</v>
      </c>
      <c r="B303" s="35" t="str">
        <f>IF(J303="","",IF(COUNTIFS('Checking(ZSERIALS)'!J:J,MLR!G303,'Checking(ZSERIALS)'!G:G,MLR!J303)=1,"Correct",IF(COUNTIFS('Checking(ZSERIALS)'!J:J,MLR!G303,'Checking(ZSERIALS)'!G:G,MLR!J303)=0,"Incorrect","Err.")))</f>
        <v/>
      </c>
      <c r="C303" s="63">
        <f>_xlfn.XLOOKUP(J303,'Checking(ZSERIALS)'!G:G,'Checking(ZSERIALS)'!F:F)</f>
        <v>0</v>
      </c>
      <c r="E303" s="114"/>
      <c r="F303" s="115"/>
      <c r="G303" s="123"/>
      <c r="H303" s="116"/>
      <c r="I303" s="117"/>
      <c r="J303" s="115"/>
      <c r="N303" s="115"/>
      <c r="O303" s="115"/>
      <c r="P303" s="115"/>
      <c r="Q303" s="115"/>
      <c r="R303" s="115"/>
      <c r="S303" s="118"/>
      <c r="T303" s="115"/>
      <c r="U303" s="118"/>
      <c r="V303" s="115"/>
      <c r="W303" s="115"/>
      <c r="X303" s="115"/>
      <c r="Y303" s="118"/>
      <c r="AI303" s="115"/>
    </row>
    <row r="304" spans="1:35" hidden="1" x14ac:dyDescent="0.3">
      <c r="A304">
        <f>_xlfn.XLOOKUP(J304,'Checking(ZSERIALS)'!G:G,'Checking(ZSERIALS)'!C:C)</f>
        <v>0</v>
      </c>
      <c r="B304" s="35" t="str">
        <f>IF(J304="","",IF(COUNTIFS('Checking(ZSERIALS)'!J:J,MLR!G304,'Checking(ZSERIALS)'!G:G,MLR!J304)=1,"Correct",IF(COUNTIFS('Checking(ZSERIALS)'!J:J,MLR!G304,'Checking(ZSERIALS)'!G:G,MLR!J304)=0,"Incorrect","Err.")))</f>
        <v/>
      </c>
      <c r="C304" s="63">
        <f>_xlfn.XLOOKUP(J304,'Checking(ZSERIALS)'!G:G,'Checking(ZSERIALS)'!F:F)</f>
        <v>0</v>
      </c>
      <c r="E304" s="114"/>
      <c r="F304" s="115"/>
      <c r="G304" s="123"/>
      <c r="H304" s="116"/>
      <c r="I304" s="117"/>
      <c r="J304" s="115"/>
      <c r="N304" s="115"/>
      <c r="O304" s="119"/>
      <c r="P304" s="115"/>
      <c r="Q304" s="115"/>
      <c r="R304" s="115"/>
      <c r="S304" s="118"/>
      <c r="T304" s="115"/>
      <c r="U304" s="118"/>
      <c r="V304" s="115"/>
      <c r="W304" s="115"/>
      <c r="X304" s="115"/>
      <c r="Y304" s="118"/>
      <c r="AI304" s="115"/>
    </row>
    <row r="305" spans="1:35" hidden="1" x14ac:dyDescent="0.3">
      <c r="A305">
        <f>_xlfn.XLOOKUP(J305,'Checking(ZSERIALS)'!G:G,'Checking(ZSERIALS)'!C:C)</f>
        <v>0</v>
      </c>
      <c r="B305" s="35" t="str">
        <f>IF(J305="","",IF(COUNTIFS('Checking(ZSERIALS)'!J:J,MLR!G305,'Checking(ZSERIALS)'!G:G,MLR!J305)=1,"Correct",IF(COUNTIFS('Checking(ZSERIALS)'!J:J,MLR!G305,'Checking(ZSERIALS)'!G:G,MLR!J305)=0,"Incorrect","Err.")))</f>
        <v/>
      </c>
      <c r="C305" s="63">
        <f>_xlfn.XLOOKUP(J305,'Checking(ZSERIALS)'!G:G,'Checking(ZSERIALS)'!F:F)</f>
        <v>0</v>
      </c>
      <c r="E305" s="114"/>
      <c r="F305" s="115"/>
      <c r="G305" s="123"/>
      <c r="H305" s="116"/>
      <c r="I305" s="117"/>
      <c r="J305" s="115"/>
      <c r="N305" s="115"/>
      <c r="O305" s="115"/>
      <c r="P305" s="115"/>
      <c r="Q305" s="115"/>
      <c r="R305" s="115"/>
      <c r="S305" s="118"/>
      <c r="T305" s="115"/>
      <c r="U305" s="118"/>
      <c r="V305" s="115"/>
      <c r="W305" s="115"/>
      <c r="X305" s="115"/>
      <c r="Y305" s="118"/>
      <c r="AI305" s="115"/>
    </row>
    <row r="306" spans="1:35" hidden="1" x14ac:dyDescent="0.3">
      <c r="A306">
        <f>_xlfn.XLOOKUP(J306,'Checking(ZSERIALS)'!G:G,'Checking(ZSERIALS)'!C:C)</f>
        <v>0</v>
      </c>
      <c r="B306" s="35" t="str">
        <f>IF(J306="","",IF(COUNTIFS('Checking(ZSERIALS)'!J:J,MLR!G306,'Checking(ZSERIALS)'!G:G,MLR!J306)=1,"Correct",IF(COUNTIFS('Checking(ZSERIALS)'!J:J,MLR!G306,'Checking(ZSERIALS)'!G:G,MLR!J306)=0,"Incorrect","Err.")))</f>
        <v/>
      </c>
      <c r="C306" s="63">
        <f>_xlfn.XLOOKUP(J306,'Checking(ZSERIALS)'!G:G,'Checking(ZSERIALS)'!F:F)</f>
        <v>0</v>
      </c>
      <c r="E306" s="114"/>
      <c r="F306" s="115"/>
      <c r="G306" s="123"/>
      <c r="H306" s="116"/>
      <c r="I306" s="117"/>
      <c r="J306" s="115"/>
      <c r="N306" s="115"/>
      <c r="O306" s="115"/>
      <c r="P306" s="115"/>
      <c r="Q306" s="115"/>
      <c r="R306" s="115"/>
      <c r="S306" s="118"/>
      <c r="T306" s="115"/>
      <c r="U306" s="118"/>
      <c r="V306" s="115"/>
      <c r="W306" s="115"/>
      <c r="X306" s="115"/>
      <c r="Y306" s="118"/>
      <c r="AI306" s="115"/>
    </row>
    <row r="307" spans="1:35" hidden="1" x14ac:dyDescent="0.3">
      <c r="A307">
        <f>_xlfn.XLOOKUP(J307,'Checking(ZSERIALS)'!G:G,'Checking(ZSERIALS)'!C:C)</f>
        <v>0</v>
      </c>
      <c r="B307" s="35" t="str">
        <f>IF(J307="","",IF(COUNTIFS('Checking(ZSERIALS)'!J:J,MLR!G307,'Checking(ZSERIALS)'!G:G,MLR!J307)=1,"Correct",IF(COUNTIFS('Checking(ZSERIALS)'!J:J,MLR!G307,'Checking(ZSERIALS)'!G:G,MLR!J307)=0,"Incorrect","Err.")))</f>
        <v/>
      </c>
      <c r="C307" s="63">
        <f>_xlfn.XLOOKUP(J307,'Checking(ZSERIALS)'!G:G,'Checking(ZSERIALS)'!F:F)</f>
        <v>0</v>
      </c>
      <c r="E307" s="114"/>
      <c r="F307" s="115"/>
      <c r="G307" s="123"/>
      <c r="H307" s="116"/>
      <c r="I307" s="117"/>
      <c r="J307" s="115"/>
      <c r="N307" s="115"/>
      <c r="O307" s="115"/>
      <c r="P307" s="115"/>
      <c r="Q307" s="115"/>
      <c r="R307" s="115"/>
      <c r="S307" s="118"/>
      <c r="T307" s="115"/>
      <c r="U307" s="118"/>
      <c r="V307" s="115"/>
      <c r="W307" s="115"/>
      <c r="X307" s="115"/>
      <c r="Y307" s="118"/>
      <c r="AI307" s="115"/>
    </row>
    <row r="308" spans="1:35" hidden="1" x14ac:dyDescent="0.3">
      <c r="A308">
        <f>_xlfn.XLOOKUP(J308,'Checking(ZSERIALS)'!G:G,'Checking(ZSERIALS)'!C:C)</f>
        <v>0</v>
      </c>
      <c r="B308" s="35" t="str">
        <f>IF(J308="","",IF(COUNTIFS('Checking(ZSERIALS)'!J:J,MLR!G308,'Checking(ZSERIALS)'!G:G,MLR!J308)=1,"Correct",IF(COUNTIFS('Checking(ZSERIALS)'!J:J,MLR!G308,'Checking(ZSERIALS)'!G:G,MLR!J308)=0,"Incorrect","Err.")))</f>
        <v/>
      </c>
      <c r="C308" s="63">
        <f>_xlfn.XLOOKUP(J308,'Checking(ZSERIALS)'!G:G,'Checking(ZSERIALS)'!F:F)</f>
        <v>0</v>
      </c>
      <c r="E308" s="114"/>
      <c r="F308" s="115"/>
      <c r="G308" s="123"/>
      <c r="H308" s="116"/>
      <c r="I308" s="117"/>
      <c r="J308" s="115"/>
      <c r="N308" s="115"/>
      <c r="O308" s="115"/>
      <c r="P308" s="115"/>
      <c r="Q308" s="115"/>
      <c r="R308" s="115"/>
      <c r="S308" s="118"/>
      <c r="T308" s="115"/>
      <c r="U308" s="118"/>
      <c r="V308" s="115"/>
      <c r="W308" s="115"/>
      <c r="X308" s="115"/>
      <c r="Y308" s="118"/>
      <c r="AI308" s="115"/>
    </row>
    <row r="309" spans="1:35" hidden="1" x14ac:dyDescent="0.3">
      <c r="A309">
        <f>_xlfn.XLOOKUP(J309,'Checking(ZSERIALS)'!G:G,'Checking(ZSERIALS)'!C:C)</f>
        <v>0</v>
      </c>
      <c r="B309" s="35" t="str">
        <f>IF(J309="","",IF(COUNTIFS('Checking(ZSERIALS)'!J:J,MLR!G309,'Checking(ZSERIALS)'!G:G,MLR!J309)=1,"Correct",IF(COUNTIFS('Checking(ZSERIALS)'!J:J,MLR!G309,'Checking(ZSERIALS)'!G:G,MLR!J309)=0,"Incorrect","Err.")))</f>
        <v/>
      </c>
      <c r="C309" s="63">
        <f>_xlfn.XLOOKUP(J309,'Checking(ZSERIALS)'!G:G,'Checking(ZSERIALS)'!F:F)</f>
        <v>0</v>
      </c>
      <c r="E309" s="114"/>
      <c r="F309" s="115"/>
      <c r="G309" s="123"/>
      <c r="H309" s="116"/>
      <c r="I309" s="117"/>
      <c r="J309" s="115"/>
      <c r="N309" s="115"/>
      <c r="O309" s="115"/>
      <c r="P309" s="115"/>
      <c r="Q309" s="115"/>
      <c r="R309" s="115"/>
      <c r="S309" s="118"/>
      <c r="T309" s="115"/>
      <c r="U309" s="118"/>
      <c r="V309" s="115"/>
      <c r="W309" s="115"/>
      <c r="X309" s="115"/>
      <c r="Y309" s="118"/>
      <c r="AI309" s="115"/>
    </row>
    <row r="310" spans="1:35" hidden="1" x14ac:dyDescent="0.3">
      <c r="A310">
        <f>_xlfn.XLOOKUP(J310,'Checking(ZSERIALS)'!G:G,'Checking(ZSERIALS)'!C:C)</f>
        <v>0</v>
      </c>
      <c r="B310" s="35" t="str">
        <f>IF(J310="","",IF(COUNTIFS('Checking(ZSERIALS)'!J:J,MLR!G310,'Checking(ZSERIALS)'!G:G,MLR!J310)=1,"Correct",IF(COUNTIFS('Checking(ZSERIALS)'!J:J,MLR!G310,'Checking(ZSERIALS)'!G:G,MLR!J310)=0,"Incorrect","Err.")))</f>
        <v/>
      </c>
      <c r="C310" s="63">
        <f>_xlfn.XLOOKUP(J310,'Checking(ZSERIALS)'!G:G,'Checking(ZSERIALS)'!F:F)</f>
        <v>0</v>
      </c>
      <c r="E310" s="114"/>
      <c r="F310" s="115"/>
      <c r="G310" s="123"/>
      <c r="H310" s="116"/>
      <c r="I310" s="117"/>
      <c r="J310" s="115"/>
      <c r="N310" s="115"/>
      <c r="O310" s="115"/>
      <c r="P310" s="115"/>
      <c r="Q310" s="115"/>
      <c r="R310" s="115"/>
      <c r="S310" s="118"/>
      <c r="T310" s="115"/>
      <c r="U310" s="118"/>
      <c r="V310" s="115"/>
      <c r="W310" s="115"/>
      <c r="X310" s="115"/>
      <c r="Y310" s="118"/>
      <c r="AI310" s="115"/>
    </row>
    <row r="311" spans="1:35" hidden="1" x14ac:dyDescent="0.3">
      <c r="A311">
        <f>_xlfn.XLOOKUP(J311,'Checking(ZSERIALS)'!G:G,'Checking(ZSERIALS)'!C:C)</f>
        <v>0</v>
      </c>
      <c r="B311" s="35" t="str">
        <f>IF(J311="","",IF(COUNTIFS('Checking(ZSERIALS)'!J:J,MLR!G311,'Checking(ZSERIALS)'!G:G,MLR!J311)=1,"Correct",IF(COUNTIFS('Checking(ZSERIALS)'!J:J,MLR!G311,'Checking(ZSERIALS)'!G:G,MLR!J311)=0,"Incorrect","Err.")))</f>
        <v/>
      </c>
      <c r="C311" s="63">
        <f>_xlfn.XLOOKUP(J311,'Checking(ZSERIALS)'!G:G,'Checking(ZSERIALS)'!F:F)</f>
        <v>0</v>
      </c>
      <c r="E311" s="114"/>
      <c r="F311" s="115"/>
      <c r="G311" s="123"/>
      <c r="H311" s="116"/>
      <c r="I311" s="117"/>
      <c r="J311" s="115"/>
      <c r="N311" s="115"/>
      <c r="O311" s="115"/>
      <c r="P311" s="115"/>
      <c r="Q311" s="115"/>
      <c r="R311" s="115"/>
      <c r="S311" s="118"/>
      <c r="T311" s="115"/>
      <c r="U311" s="118"/>
      <c r="V311" s="115"/>
      <c r="W311" s="115"/>
      <c r="X311" s="115"/>
      <c r="Y311" s="118"/>
      <c r="AI311" s="115"/>
    </row>
    <row r="312" spans="1:35" hidden="1" x14ac:dyDescent="0.3">
      <c r="A312">
        <f>_xlfn.XLOOKUP(J312,'Checking(ZSERIALS)'!G:G,'Checking(ZSERIALS)'!C:C)</f>
        <v>0</v>
      </c>
      <c r="B312" s="35" t="str">
        <f>IF(J312="","",IF(COUNTIFS('Checking(ZSERIALS)'!J:J,MLR!G312,'Checking(ZSERIALS)'!G:G,MLR!J312)=1,"Correct",IF(COUNTIFS('Checking(ZSERIALS)'!J:J,MLR!G312,'Checking(ZSERIALS)'!G:G,MLR!J312)=0,"Incorrect","Err.")))</f>
        <v/>
      </c>
      <c r="C312" s="63">
        <f>_xlfn.XLOOKUP(J312,'Checking(ZSERIALS)'!G:G,'Checking(ZSERIALS)'!F:F)</f>
        <v>0</v>
      </c>
      <c r="E312" s="114"/>
      <c r="F312" s="115"/>
      <c r="G312" s="123"/>
      <c r="H312" s="116"/>
      <c r="I312" s="117"/>
      <c r="J312" s="115"/>
      <c r="N312" s="115"/>
      <c r="O312" s="115"/>
      <c r="P312" s="115"/>
      <c r="Q312" s="115"/>
      <c r="R312" s="115"/>
      <c r="S312" s="118"/>
      <c r="T312" s="115"/>
      <c r="U312" s="118"/>
      <c r="V312" s="115"/>
      <c r="W312" s="115"/>
      <c r="X312" s="115"/>
      <c r="Y312" s="118"/>
      <c r="AI312" s="115"/>
    </row>
    <row r="313" spans="1:35" hidden="1" x14ac:dyDescent="0.3">
      <c r="A313">
        <f>_xlfn.XLOOKUP(J313,'Checking(ZSERIALS)'!G:G,'Checking(ZSERIALS)'!C:C)</f>
        <v>0</v>
      </c>
      <c r="B313" s="35" t="str">
        <f>IF(J313="","",IF(COUNTIFS('Checking(ZSERIALS)'!J:J,MLR!G313,'Checking(ZSERIALS)'!G:G,MLR!J313)=1,"Correct",IF(COUNTIFS('Checking(ZSERIALS)'!J:J,MLR!G313,'Checking(ZSERIALS)'!G:G,MLR!J313)=0,"Incorrect","Err.")))</f>
        <v/>
      </c>
      <c r="C313" s="63">
        <f>_xlfn.XLOOKUP(J313,'Checking(ZSERIALS)'!G:G,'Checking(ZSERIALS)'!F:F)</f>
        <v>0</v>
      </c>
      <c r="E313" s="114"/>
      <c r="F313" s="115"/>
      <c r="G313" s="123"/>
      <c r="H313" s="116"/>
      <c r="I313" s="117"/>
      <c r="J313" s="115"/>
      <c r="N313" s="115"/>
      <c r="O313" s="115"/>
      <c r="P313" s="115"/>
      <c r="Q313" s="115"/>
      <c r="R313" s="115"/>
      <c r="S313" s="118"/>
      <c r="T313" s="115"/>
      <c r="U313" s="118"/>
      <c r="V313" s="115"/>
      <c r="W313" s="115"/>
      <c r="X313" s="115"/>
      <c r="Y313" s="118"/>
      <c r="AI313" s="115"/>
    </row>
    <row r="314" spans="1:35" hidden="1" x14ac:dyDescent="0.3">
      <c r="A314">
        <f>_xlfn.XLOOKUP(J314,'Checking(ZSERIALS)'!G:G,'Checking(ZSERIALS)'!C:C)</f>
        <v>0</v>
      </c>
      <c r="B314" s="35" t="str">
        <f>IF(J314="","",IF(COUNTIFS('Checking(ZSERIALS)'!J:J,MLR!G314,'Checking(ZSERIALS)'!G:G,MLR!J314)=1,"Correct",IF(COUNTIFS('Checking(ZSERIALS)'!J:J,MLR!G314,'Checking(ZSERIALS)'!G:G,MLR!J314)=0,"Incorrect","Err.")))</f>
        <v/>
      </c>
      <c r="C314" s="63">
        <f>_xlfn.XLOOKUP(J314,'Checking(ZSERIALS)'!G:G,'Checking(ZSERIALS)'!F:F)</f>
        <v>0</v>
      </c>
      <c r="E314" s="114"/>
      <c r="F314" s="115"/>
      <c r="G314" s="123"/>
      <c r="H314" s="116"/>
      <c r="I314" s="117"/>
      <c r="J314" s="115"/>
      <c r="N314" s="115"/>
      <c r="O314" s="115"/>
      <c r="P314" s="115"/>
      <c r="Q314" s="115"/>
      <c r="R314" s="115"/>
      <c r="S314" s="118"/>
      <c r="T314" s="115"/>
      <c r="U314" s="118"/>
      <c r="V314" s="115"/>
      <c r="W314" s="115"/>
      <c r="X314" s="115"/>
      <c r="Y314" s="118"/>
      <c r="AI314" s="115"/>
    </row>
    <row r="315" spans="1:35" hidden="1" x14ac:dyDescent="0.3">
      <c r="A315">
        <f>_xlfn.XLOOKUP(J315,'Checking(ZSERIALS)'!G:G,'Checking(ZSERIALS)'!C:C)</f>
        <v>0</v>
      </c>
      <c r="B315" s="35" t="str">
        <f>IF(J315="","",IF(COUNTIFS('Checking(ZSERIALS)'!J:J,MLR!G315,'Checking(ZSERIALS)'!G:G,MLR!J315)=1,"Correct",IF(COUNTIFS('Checking(ZSERIALS)'!J:J,MLR!G315,'Checking(ZSERIALS)'!G:G,MLR!J315)=0,"Incorrect","Err.")))</f>
        <v/>
      </c>
      <c r="C315" s="63">
        <f>_xlfn.XLOOKUP(J315,'Checking(ZSERIALS)'!G:G,'Checking(ZSERIALS)'!F:F)</f>
        <v>0</v>
      </c>
      <c r="E315" s="114"/>
      <c r="F315" s="115"/>
      <c r="G315" s="123"/>
      <c r="H315" s="116"/>
      <c r="I315" s="117"/>
      <c r="J315" s="115"/>
      <c r="N315" s="115"/>
      <c r="O315" s="115"/>
      <c r="P315" s="115"/>
      <c r="Q315" s="115"/>
      <c r="R315" s="115"/>
      <c r="S315" s="118"/>
      <c r="T315" s="115"/>
      <c r="U315" s="118"/>
      <c r="V315" s="115"/>
      <c r="W315" s="115"/>
      <c r="X315" s="115"/>
      <c r="Y315" s="118"/>
      <c r="AI315" s="115"/>
    </row>
    <row r="316" spans="1:35" hidden="1" x14ac:dyDescent="0.3">
      <c r="A316">
        <f>_xlfn.XLOOKUP(J316,'Checking(ZSERIALS)'!G:G,'Checking(ZSERIALS)'!C:C)</f>
        <v>0</v>
      </c>
      <c r="B316" s="35" t="str">
        <f>IF(J316="","",IF(COUNTIFS('Checking(ZSERIALS)'!J:J,MLR!G316,'Checking(ZSERIALS)'!G:G,MLR!J316)=1,"Correct",IF(COUNTIFS('Checking(ZSERIALS)'!J:J,MLR!G316,'Checking(ZSERIALS)'!G:G,MLR!J316)=0,"Incorrect","Err.")))</f>
        <v/>
      </c>
      <c r="C316" s="63">
        <f>_xlfn.XLOOKUP(J316,'Checking(ZSERIALS)'!G:G,'Checking(ZSERIALS)'!F:F)</f>
        <v>0</v>
      </c>
      <c r="G316" s="32"/>
      <c r="H316"/>
    </row>
    <row r="317" spans="1:35" hidden="1" x14ac:dyDescent="0.3">
      <c r="A317">
        <f>_xlfn.XLOOKUP(J317,'Checking(ZSERIALS)'!G:G,'Checking(ZSERIALS)'!C:C)</f>
        <v>0</v>
      </c>
      <c r="B317" s="35" t="str">
        <f>IF(J317="","",IF(COUNTIFS('Checking(ZSERIALS)'!J:J,MLR!G317,'Checking(ZSERIALS)'!G:G,MLR!J317)=1,"Correct",IF(COUNTIFS('Checking(ZSERIALS)'!J:J,MLR!G317,'Checking(ZSERIALS)'!G:G,MLR!J317)=0,"Incorrect","Err.")))</f>
        <v/>
      </c>
      <c r="C317" s="63">
        <f>_xlfn.XLOOKUP(J317,'Checking(ZSERIALS)'!G:G,'Checking(ZSERIALS)'!F:F)</f>
        <v>0</v>
      </c>
      <c r="G317" s="32"/>
      <c r="H317"/>
    </row>
    <row r="318" spans="1:35" hidden="1" x14ac:dyDescent="0.3">
      <c r="A318">
        <f>_xlfn.XLOOKUP(J318,'Checking(ZSERIALS)'!G:G,'Checking(ZSERIALS)'!C:C)</f>
        <v>0</v>
      </c>
      <c r="B318" s="35" t="str">
        <f>IF(J318="","",IF(COUNTIFS('Checking(ZSERIALS)'!J:J,MLR!G318,'Checking(ZSERIALS)'!G:G,MLR!J318)=1,"Correct",IF(COUNTIFS('Checking(ZSERIALS)'!J:J,MLR!G318,'Checking(ZSERIALS)'!G:G,MLR!J318)=0,"Incorrect","Err.")))</f>
        <v/>
      </c>
      <c r="C318" s="63">
        <f>_xlfn.XLOOKUP(J318,'Checking(ZSERIALS)'!G:G,'Checking(ZSERIALS)'!F:F)</f>
        <v>0</v>
      </c>
    </row>
    <row r="319" spans="1:35" hidden="1" x14ac:dyDescent="0.3">
      <c r="A319">
        <f>_xlfn.XLOOKUP(J319,'Checking(ZSERIALS)'!G:G,'Checking(ZSERIALS)'!C:C)</f>
        <v>0</v>
      </c>
      <c r="B319" s="35" t="str">
        <f>IF(J319="","",IF(COUNTIFS('Checking(ZSERIALS)'!J:J,MLR!G319,'Checking(ZSERIALS)'!G:G,MLR!J319)=1,"Correct",IF(COUNTIFS('Checking(ZSERIALS)'!J:J,MLR!G319,'Checking(ZSERIALS)'!G:G,MLR!J319)=0,"Incorrect","Err.")))</f>
        <v/>
      </c>
      <c r="C319" s="63">
        <f>_xlfn.XLOOKUP(J319,'Checking(ZSERIALS)'!G:G,'Checking(ZSERIALS)'!F:F)</f>
        <v>0</v>
      </c>
      <c r="G319" s="32"/>
      <c r="H319"/>
    </row>
    <row r="320" spans="1:35" hidden="1" x14ac:dyDescent="0.3">
      <c r="A320">
        <f>_xlfn.XLOOKUP(J320,'Checking(ZSERIALS)'!G:G,'Checking(ZSERIALS)'!C:C)</f>
        <v>0</v>
      </c>
      <c r="B320" s="35" t="str">
        <f>IF(J320="","",IF(COUNTIFS('Checking(ZSERIALS)'!J:J,MLR!G320,'Checking(ZSERIALS)'!G:G,MLR!J320)=1,"Correct",IF(COUNTIFS('Checking(ZSERIALS)'!J:J,MLR!G320,'Checking(ZSERIALS)'!G:G,MLR!J320)=0,"Incorrect","Err.")))</f>
        <v/>
      </c>
      <c r="C320" s="63">
        <f>_xlfn.XLOOKUP(J320,'Checking(ZSERIALS)'!G:G,'Checking(ZSERIALS)'!F:F)</f>
        <v>0</v>
      </c>
      <c r="G320" s="32"/>
      <c r="H320"/>
    </row>
    <row r="321" spans="1:8" hidden="1" x14ac:dyDescent="0.3">
      <c r="A321">
        <f>_xlfn.XLOOKUP(J321,'Checking(ZSERIALS)'!G:G,'Checking(ZSERIALS)'!C:C)</f>
        <v>0</v>
      </c>
      <c r="B321" s="35" t="str">
        <f>IF(J321="","",IF(COUNTIFS('Checking(ZSERIALS)'!J:J,MLR!G321,'Checking(ZSERIALS)'!G:G,MLR!J321)=1,"Correct",IF(COUNTIFS('Checking(ZSERIALS)'!J:J,MLR!G321,'Checking(ZSERIALS)'!G:G,MLR!J321)=0,"Incorrect","Err.")))</f>
        <v/>
      </c>
      <c r="C321" s="63">
        <f>_xlfn.XLOOKUP(J321,'Checking(ZSERIALS)'!G:G,'Checking(ZSERIALS)'!F:F)</f>
        <v>0</v>
      </c>
      <c r="G321" s="32"/>
      <c r="H321"/>
    </row>
    <row r="322" spans="1:8" hidden="1" x14ac:dyDescent="0.3">
      <c r="A322">
        <f>_xlfn.XLOOKUP(J322,'Checking(ZSERIALS)'!G:G,'Checking(ZSERIALS)'!C:C)</f>
        <v>0</v>
      </c>
      <c r="B322" s="35" t="str">
        <f>IF(J322="","",IF(COUNTIFS('Checking(ZSERIALS)'!J:J,MLR!G322,'Checking(ZSERIALS)'!G:G,MLR!J322)=1,"Correct",IF(COUNTIFS('Checking(ZSERIALS)'!J:J,MLR!G322,'Checking(ZSERIALS)'!G:G,MLR!J322)=0,"Incorrect","Err.")))</f>
        <v/>
      </c>
      <c r="C322" s="63">
        <f>_xlfn.XLOOKUP(J322,'Checking(ZSERIALS)'!G:G,'Checking(ZSERIALS)'!F:F)</f>
        <v>0</v>
      </c>
      <c r="G322" s="32"/>
      <c r="H322"/>
    </row>
    <row r="323" spans="1:8" hidden="1" x14ac:dyDescent="0.3">
      <c r="A323">
        <f>_xlfn.XLOOKUP(J323,'Checking(ZSERIALS)'!G:G,'Checking(ZSERIALS)'!C:C)</f>
        <v>0</v>
      </c>
      <c r="B323" s="35" t="str">
        <f>IF(J323="","",IF(COUNTIFS('Checking(ZSERIALS)'!J:J,MLR!G323,'Checking(ZSERIALS)'!G:G,MLR!J323)=1,"Correct",IF(COUNTIFS('Checking(ZSERIALS)'!J:J,MLR!G323,'Checking(ZSERIALS)'!G:G,MLR!J323)=0,"Incorrect","Err.")))</f>
        <v/>
      </c>
      <c r="C323" s="63">
        <f>_xlfn.XLOOKUP(J323,'Checking(ZSERIALS)'!G:G,'Checking(ZSERIALS)'!F:F)</f>
        <v>0</v>
      </c>
      <c r="G323" s="32"/>
      <c r="H323"/>
    </row>
    <row r="324" spans="1:8" hidden="1" x14ac:dyDescent="0.3">
      <c r="A324">
        <f>_xlfn.XLOOKUP(J324,'Checking(ZSERIALS)'!G:G,'Checking(ZSERIALS)'!C:C)</f>
        <v>0</v>
      </c>
      <c r="B324" s="35" t="str">
        <f>IF(J324="","",IF(COUNTIFS('Checking(ZSERIALS)'!J:J,MLR!G324,'Checking(ZSERIALS)'!G:G,MLR!J324)=1,"Correct",IF(COUNTIFS('Checking(ZSERIALS)'!J:J,MLR!G324,'Checking(ZSERIALS)'!G:G,MLR!J324)=0,"Incorrect","Err.")))</f>
        <v/>
      </c>
      <c r="C324" s="63">
        <f>_xlfn.XLOOKUP(J324,'Checking(ZSERIALS)'!G:G,'Checking(ZSERIALS)'!F:F)</f>
        <v>0</v>
      </c>
      <c r="G324" s="32"/>
      <c r="H324"/>
    </row>
    <row r="325" spans="1:8" hidden="1" x14ac:dyDescent="0.3">
      <c r="A325">
        <f>_xlfn.XLOOKUP(J325,'Checking(ZSERIALS)'!G:G,'Checking(ZSERIALS)'!C:C)</f>
        <v>0</v>
      </c>
      <c r="B325" s="35" t="str">
        <f>IF(J325="","",IF(COUNTIFS('Checking(ZSERIALS)'!J:J,MLR!G325,'Checking(ZSERIALS)'!G:G,MLR!J325)=1,"Correct",IF(COUNTIFS('Checking(ZSERIALS)'!J:J,MLR!G325,'Checking(ZSERIALS)'!G:G,MLR!J325)=0,"Incorrect","Err.")))</f>
        <v/>
      </c>
      <c r="C325" s="63">
        <f>_xlfn.XLOOKUP(J325,'Checking(ZSERIALS)'!G:G,'Checking(ZSERIALS)'!F:F)</f>
        <v>0</v>
      </c>
      <c r="G325" s="32"/>
      <c r="H325"/>
    </row>
    <row r="326" spans="1:8" hidden="1" x14ac:dyDescent="0.3">
      <c r="A326">
        <f>_xlfn.XLOOKUP(J326,'Checking(ZSERIALS)'!G:G,'Checking(ZSERIALS)'!C:C)</f>
        <v>0</v>
      </c>
      <c r="B326" s="35" t="str">
        <f>IF(J326="","",IF(COUNTIFS('Checking(ZSERIALS)'!J:J,MLR!G326,'Checking(ZSERIALS)'!G:G,MLR!J326)=1,"Correct",IF(COUNTIFS('Checking(ZSERIALS)'!J:J,MLR!G326,'Checking(ZSERIALS)'!G:G,MLR!J326)=0,"Incorrect","Err.")))</f>
        <v/>
      </c>
      <c r="C326" s="63">
        <f>_xlfn.XLOOKUP(J326,'Checking(ZSERIALS)'!G:G,'Checking(ZSERIALS)'!F:F)</f>
        <v>0</v>
      </c>
      <c r="G326" s="32"/>
      <c r="H326"/>
    </row>
    <row r="327" spans="1:8" hidden="1" x14ac:dyDescent="0.3">
      <c r="A327">
        <f>_xlfn.XLOOKUP(J327,'Checking(ZSERIALS)'!G:G,'Checking(ZSERIALS)'!C:C)</f>
        <v>0</v>
      </c>
      <c r="B327" s="35" t="str">
        <f>IF(J327="","",IF(COUNTIFS('Checking(ZSERIALS)'!J:J,MLR!G327,'Checking(ZSERIALS)'!G:G,MLR!J327)=1,"Correct",IF(COUNTIFS('Checking(ZSERIALS)'!J:J,MLR!G327,'Checking(ZSERIALS)'!G:G,MLR!J327)=0,"Incorrect","Err.")))</f>
        <v/>
      </c>
      <c r="C327" s="63">
        <f>_xlfn.XLOOKUP(J327,'Checking(ZSERIALS)'!G:G,'Checking(ZSERIALS)'!F:F)</f>
        <v>0</v>
      </c>
      <c r="G327" s="32"/>
      <c r="H327"/>
    </row>
    <row r="328" spans="1:8" hidden="1" x14ac:dyDescent="0.3">
      <c r="A328">
        <f>_xlfn.XLOOKUP(J328,'Checking(ZSERIALS)'!G:G,'Checking(ZSERIALS)'!C:C)</f>
        <v>0</v>
      </c>
      <c r="B328" s="35" t="str">
        <f>IF(J328="","",IF(COUNTIFS('Checking(ZSERIALS)'!J:J,MLR!G328,'Checking(ZSERIALS)'!G:G,MLR!J328)=1,"Correct",IF(COUNTIFS('Checking(ZSERIALS)'!J:J,MLR!G328,'Checking(ZSERIALS)'!G:G,MLR!J328)=0,"Incorrect","Err.")))</f>
        <v/>
      </c>
      <c r="C328" s="63">
        <f>_xlfn.XLOOKUP(J328,'Checking(ZSERIALS)'!G:G,'Checking(ZSERIALS)'!F:F)</f>
        <v>0</v>
      </c>
      <c r="G328" s="32"/>
      <c r="H328"/>
    </row>
    <row r="329" spans="1:8" hidden="1" x14ac:dyDescent="0.3">
      <c r="A329">
        <f>_xlfn.XLOOKUP(J329,'Checking(ZSERIALS)'!G:G,'Checking(ZSERIALS)'!C:C)</f>
        <v>0</v>
      </c>
      <c r="B329" s="35" t="str">
        <f>IF(J329="","",IF(COUNTIFS('Checking(ZSERIALS)'!J:J,MLR!G329,'Checking(ZSERIALS)'!G:G,MLR!J329)=1,"Correct",IF(COUNTIFS('Checking(ZSERIALS)'!J:J,MLR!G329,'Checking(ZSERIALS)'!G:G,MLR!J329)=0,"Incorrect","Err.")))</f>
        <v/>
      </c>
      <c r="C329" s="63">
        <f>_xlfn.XLOOKUP(J329,'Checking(ZSERIALS)'!G:G,'Checking(ZSERIALS)'!F:F)</f>
        <v>0</v>
      </c>
      <c r="G329" s="32"/>
      <c r="H329"/>
    </row>
    <row r="330" spans="1:8" hidden="1" x14ac:dyDescent="0.3">
      <c r="A330">
        <f>_xlfn.XLOOKUP(J330,'Checking(ZSERIALS)'!G:G,'Checking(ZSERIALS)'!C:C)</f>
        <v>0</v>
      </c>
      <c r="B330" s="35" t="str">
        <f>IF(J330="","",IF(COUNTIFS('Checking(ZSERIALS)'!J:J,MLR!G330,'Checking(ZSERIALS)'!G:G,MLR!J330)=1,"Correct",IF(COUNTIFS('Checking(ZSERIALS)'!J:J,MLR!G330,'Checking(ZSERIALS)'!G:G,MLR!J330)=0,"Incorrect","Err.")))</f>
        <v/>
      </c>
      <c r="C330" s="63">
        <f>_xlfn.XLOOKUP(J330,'Checking(ZSERIALS)'!G:G,'Checking(ZSERIALS)'!F:F)</f>
        <v>0</v>
      </c>
      <c r="G330" s="32"/>
      <c r="H330"/>
    </row>
    <row r="331" spans="1:8" hidden="1" x14ac:dyDescent="0.3">
      <c r="A331">
        <f>_xlfn.XLOOKUP(J331,'Checking(ZSERIALS)'!G:G,'Checking(ZSERIALS)'!C:C)</f>
        <v>0</v>
      </c>
      <c r="B331" s="35" t="str">
        <f>IF(J331="","",IF(COUNTIFS('Checking(ZSERIALS)'!J:J,MLR!G331,'Checking(ZSERIALS)'!G:G,MLR!J331)=1,"Correct",IF(COUNTIFS('Checking(ZSERIALS)'!J:J,MLR!G331,'Checking(ZSERIALS)'!G:G,MLR!J331)=0,"Incorrect","Err.")))</f>
        <v/>
      </c>
      <c r="C331" s="63">
        <f>_xlfn.XLOOKUP(J331,'Checking(ZSERIALS)'!G:G,'Checking(ZSERIALS)'!F:F)</f>
        <v>0</v>
      </c>
      <c r="G331" s="32"/>
      <c r="H331"/>
    </row>
    <row r="332" spans="1:8" hidden="1" x14ac:dyDescent="0.3">
      <c r="A332">
        <f>_xlfn.XLOOKUP(J332,'Checking(ZSERIALS)'!G:G,'Checking(ZSERIALS)'!C:C)</f>
        <v>0</v>
      </c>
      <c r="B332" s="35" t="str">
        <f>IF(J332="","",IF(COUNTIFS('Checking(ZSERIALS)'!J:J,MLR!G332,'Checking(ZSERIALS)'!G:G,MLR!J332)=1,"Correct",IF(COUNTIFS('Checking(ZSERIALS)'!J:J,MLR!G332,'Checking(ZSERIALS)'!G:G,MLR!J332)=0,"Incorrect","Err.")))</f>
        <v/>
      </c>
      <c r="C332" s="63">
        <f>_xlfn.XLOOKUP(J332,'Checking(ZSERIALS)'!G:G,'Checking(ZSERIALS)'!F:F)</f>
        <v>0</v>
      </c>
      <c r="G332" s="32"/>
      <c r="H332"/>
    </row>
    <row r="333" spans="1:8" hidden="1" x14ac:dyDescent="0.3">
      <c r="A333">
        <f>_xlfn.XLOOKUP(J333,'Checking(ZSERIALS)'!G:G,'Checking(ZSERIALS)'!C:C)</f>
        <v>0</v>
      </c>
      <c r="B333" s="35" t="str">
        <f>IF(J333="","",IF(COUNTIFS('Checking(ZSERIALS)'!J:J,MLR!G333,'Checking(ZSERIALS)'!G:G,MLR!J333)=1,"Correct",IF(COUNTIFS('Checking(ZSERIALS)'!J:J,MLR!G333,'Checking(ZSERIALS)'!G:G,MLR!J333)=0,"Incorrect","Err.")))</f>
        <v/>
      </c>
      <c r="C333" s="63">
        <f>_xlfn.XLOOKUP(J333,'Checking(ZSERIALS)'!G:G,'Checking(ZSERIALS)'!F:F)</f>
        <v>0</v>
      </c>
      <c r="G333" s="32"/>
      <c r="H333"/>
    </row>
    <row r="334" spans="1:8" hidden="1" x14ac:dyDescent="0.3">
      <c r="A334">
        <f>_xlfn.XLOOKUP(J334,'Checking(ZSERIALS)'!G:G,'Checking(ZSERIALS)'!C:C)</f>
        <v>0</v>
      </c>
      <c r="B334" s="35" t="str">
        <f>IF(J334="","",IF(COUNTIFS('Checking(ZSERIALS)'!J:J,MLR!G334,'Checking(ZSERIALS)'!G:G,MLR!J334)=1,"Correct",IF(COUNTIFS('Checking(ZSERIALS)'!J:J,MLR!G334,'Checking(ZSERIALS)'!G:G,MLR!J334)=0,"Incorrect","Err.")))</f>
        <v/>
      </c>
      <c r="C334" s="63">
        <f>_xlfn.XLOOKUP(J334,'Checking(ZSERIALS)'!G:G,'Checking(ZSERIALS)'!F:F)</f>
        <v>0</v>
      </c>
      <c r="G334" s="32"/>
      <c r="H334"/>
    </row>
    <row r="335" spans="1:8" hidden="1" x14ac:dyDescent="0.3">
      <c r="A335">
        <f>_xlfn.XLOOKUP(J335,'Checking(ZSERIALS)'!G:G,'Checking(ZSERIALS)'!C:C)</f>
        <v>0</v>
      </c>
      <c r="B335" s="35" t="str">
        <f>IF(J335="","",IF(COUNTIFS('Checking(ZSERIALS)'!J:J,MLR!G335,'Checking(ZSERIALS)'!G:G,MLR!J335)=1,"Correct",IF(COUNTIFS('Checking(ZSERIALS)'!J:J,MLR!G335,'Checking(ZSERIALS)'!G:G,MLR!J335)=0,"Incorrect","Err.")))</f>
        <v/>
      </c>
      <c r="C335" s="63">
        <f>_xlfn.XLOOKUP(J335,'Checking(ZSERIALS)'!G:G,'Checking(ZSERIALS)'!F:F)</f>
        <v>0</v>
      </c>
      <c r="G335" s="32"/>
      <c r="H335"/>
    </row>
    <row r="336" spans="1:8" hidden="1" x14ac:dyDescent="0.3">
      <c r="A336">
        <f>_xlfn.XLOOKUP(J336,'Checking(ZSERIALS)'!G:G,'Checking(ZSERIALS)'!C:C)</f>
        <v>0</v>
      </c>
      <c r="B336" s="35" t="str">
        <f>IF(J336="","",IF(COUNTIFS('Checking(ZSERIALS)'!J:J,MLR!G336,'Checking(ZSERIALS)'!G:G,MLR!J336)=1,"Correct",IF(COUNTIFS('Checking(ZSERIALS)'!J:J,MLR!G336,'Checking(ZSERIALS)'!G:G,MLR!J336)=0,"Incorrect","Err.")))</f>
        <v/>
      </c>
      <c r="C336" s="63">
        <f>_xlfn.XLOOKUP(J336,'Checking(ZSERIALS)'!G:G,'Checking(ZSERIALS)'!F:F)</f>
        <v>0</v>
      </c>
      <c r="G336" s="32"/>
      <c r="H336"/>
    </row>
    <row r="337" spans="1:8" hidden="1" x14ac:dyDescent="0.3">
      <c r="A337">
        <f>_xlfn.XLOOKUP(J337,'Checking(ZSERIALS)'!G:G,'Checking(ZSERIALS)'!C:C)</f>
        <v>0</v>
      </c>
      <c r="B337" s="35" t="str">
        <f>IF(J337="","",IF(COUNTIFS('Checking(ZSERIALS)'!J:J,MLR!G337,'Checking(ZSERIALS)'!G:G,MLR!J337)=1,"Correct",IF(COUNTIFS('Checking(ZSERIALS)'!J:J,MLR!G337,'Checking(ZSERIALS)'!G:G,MLR!J337)=0,"Incorrect","Err.")))</f>
        <v/>
      </c>
      <c r="C337" s="63">
        <f>_xlfn.XLOOKUP(J337,'Checking(ZSERIALS)'!G:G,'Checking(ZSERIALS)'!F:F)</f>
        <v>0</v>
      </c>
      <c r="G337" s="32"/>
      <c r="H337"/>
    </row>
    <row r="338" spans="1:8" hidden="1" x14ac:dyDescent="0.3">
      <c r="A338">
        <f>_xlfn.XLOOKUP(J338,'Checking(ZSERIALS)'!G:G,'Checking(ZSERIALS)'!C:C)</f>
        <v>0</v>
      </c>
      <c r="B338" s="35" t="str">
        <f>IF(J338="","",IF(COUNTIFS('Checking(ZSERIALS)'!J:J,MLR!G338,'Checking(ZSERIALS)'!G:G,MLR!J338)=1,"Correct",IF(COUNTIFS('Checking(ZSERIALS)'!J:J,MLR!G338,'Checking(ZSERIALS)'!G:G,MLR!J338)=0,"Incorrect","Err.")))</f>
        <v/>
      </c>
      <c r="C338" s="63">
        <f>_xlfn.XLOOKUP(J338,'Checking(ZSERIALS)'!G:G,'Checking(ZSERIALS)'!F:F)</f>
        <v>0</v>
      </c>
      <c r="G338" s="32"/>
      <c r="H338"/>
    </row>
    <row r="339" spans="1:8" hidden="1" x14ac:dyDescent="0.3">
      <c r="A339">
        <f>_xlfn.XLOOKUP(J339,'Checking(ZSERIALS)'!G:G,'Checking(ZSERIALS)'!C:C)</f>
        <v>0</v>
      </c>
      <c r="B339" s="35" t="str">
        <f>IF(J339="","",IF(COUNTIFS('Checking(ZSERIALS)'!J:J,MLR!G339,'Checking(ZSERIALS)'!G:G,MLR!J339)=1,"Correct",IF(COUNTIFS('Checking(ZSERIALS)'!J:J,MLR!G339,'Checking(ZSERIALS)'!G:G,MLR!J339)=0,"Incorrect","Err.")))</f>
        <v/>
      </c>
      <c r="C339" s="63">
        <f>_xlfn.XLOOKUP(J339,'Checking(ZSERIALS)'!G:G,'Checking(ZSERIALS)'!F:F)</f>
        <v>0</v>
      </c>
      <c r="G339" s="32"/>
      <c r="H339"/>
    </row>
    <row r="340" spans="1:8" hidden="1" x14ac:dyDescent="0.3">
      <c r="A340">
        <f>_xlfn.XLOOKUP(J340,'Checking(ZSERIALS)'!G:G,'Checking(ZSERIALS)'!C:C)</f>
        <v>0</v>
      </c>
      <c r="B340" s="35" t="str">
        <f>IF(J340="","",IF(COUNTIFS('Checking(ZSERIALS)'!J:J,MLR!G340,'Checking(ZSERIALS)'!G:G,MLR!J340)=1,"Correct",IF(COUNTIFS('Checking(ZSERIALS)'!J:J,MLR!G340,'Checking(ZSERIALS)'!G:G,MLR!J340)=0,"Incorrect","Err.")))</f>
        <v/>
      </c>
      <c r="C340" s="63">
        <f>_xlfn.XLOOKUP(J340,'Checking(ZSERIALS)'!G:G,'Checking(ZSERIALS)'!F:F)</f>
        <v>0</v>
      </c>
      <c r="G340" s="32"/>
      <c r="H340"/>
    </row>
    <row r="341" spans="1:8" hidden="1" x14ac:dyDescent="0.3">
      <c r="A341">
        <f>_xlfn.XLOOKUP(J341,'Checking(ZSERIALS)'!G:G,'Checking(ZSERIALS)'!C:C)</f>
        <v>0</v>
      </c>
      <c r="B341" s="35" t="str">
        <f>IF(J341="","",IF(COUNTIFS('Checking(ZSERIALS)'!J:J,MLR!G341,'Checking(ZSERIALS)'!G:G,MLR!J341)=1,"Correct",IF(COUNTIFS('Checking(ZSERIALS)'!J:J,MLR!G341,'Checking(ZSERIALS)'!G:G,MLR!J341)=0,"Incorrect","Err.")))</f>
        <v/>
      </c>
      <c r="C341" s="63">
        <f>_xlfn.XLOOKUP(J341,'Checking(ZSERIALS)'!G:G,'Checking(ZSERIALS)'!F:F)</f>
        <v>0</v>
      </c>
      <c r="G341" s="32"/>
      <c r="H341"/>
    </row>
    <row r="342" spans="1:8" hidden="1" x14ac:dyDescent="0.3">
      <c r="A342">
        <f>_xlfn.XLOOKUP(J342,'Checking(ZSERIALS)'!G:G,'Checking(ZSERIALS)'!C:C)</f>
        <v>0</v>
      </c>
      <c r="B342" s="35" t="str">
        <f>IF(J342="","",IF(COUNTIFS('Checking(ZSERIALS)'!J:J,MLR!G342,'Checking(ZSERIALS)'!G:G,MLR!J342)=1,"Correct",IF(COUNTIFS('Checking(ZSERIALS)'!J:J,MLR!G342,'Checking(ZSERIALS)'!G:G,MLR!J342)=0,"Incorrect","Err.")))</f>
        <v/>
      </c>
      <c r="C342" s="63">
        <f>_xlfn.XLOOKUP(J342,'Checking(ZSERIALS)'!G:G,'Checking(ZSERIALS)'!F:F)</f>
        <v>0</v>
      </c>
      <c r="G342" s="32"/>
      <c r="H342"/>
    </row>
    <row r="343" spans="1:8" hidden="1" x14ac:dyDescent="0.3">
      <c r="A343">
        <f>_xlfn.XLOOKUP(J343,'Checking(ZSERIALS)'!G:G,'Checking(ZSERIALS)'!C:C)</f>
        <v>0</v>
      </c>
      <c r="B343" s="35" t="str">
        <f>IF(J343="","",IF(COUNTIFS('Checking(ZSERIALS)'!J:J,MLR!G343,'Checking(ZSERIALS)'!G:G,MLR!J343)=1,"Correct",IF(COUNTIFS('Checking(ZSERIALS)'!J:J,MLR!G343,'Checking(ZSERIALS)'!G:G,MLR!J343)=0,"Incorrect","Err.")))</f>
        <v/>
      </c>
      <c r="C343" s="63">
        <f>_xlfn.XLOOKUP(J343,'Checking(ZSERIALS)'!G:G,'Checking(ZSERIALS)'!F:F)</f>
        <v>0</v>
      </c>
      <c r="G343" s="32"/>
      <c r="H343"/>
    </row>
    <row r="344" spans="1:8" hidden="1" x14ac:dyDescent="0.3">
      <c r="A344">
        <f>_xlfn.XLOOKUP(J344,'Checking(ZSERIALS)'!G:G,'Checking(ZSERIALS)'!C:C)</f>
        <v>0</v>
      </c>
      <c r="B344" s="35" t="str">
        <f>IF(J344="","",IF(COUNTIFS('Checking(ZSERIALS)'!J:J,MLR!G344,'Checking(ZSERIALS)'!G:G,MLR!J344)=1,"Correct",IF(COUNTIFS('Checking(ZSERIALS)'!J:J,MLR!G344,'Checking(ZSERIALS)'!G:G,MLR!J344)=0,"Incorrect","Err.")))</f>
        <v/>
      </c>
      <c r="C344" s="63">
        <f>_xlfn.XLOOKUP(J344,'Checking(ZSERIALS)'!G:G,'Checking(ZSERIALS)'!F:F)</f>
        <v>0</v>
      </c>
      <c r="G344" s="32"/>
      <c r="H344"/>
    </row>
    <row r="345" spans="1:8" hidden="1" x14ac:dyDescent="0.3">
      <c r="A345">
        <f>_xlfn.XLOOKUP(J345,'Checking(ZSERIALS)'!G:G,'Checking(ZSERIALS)'!C:C)</f>
        <v>0</v>
      </c>
      <c r="B345" s="35" t="str">
        <f>IF(J345="","",IF(COUNTIFS('Checking(ZSERIALS)'!J:J,MLR!G345,'Checking(ZSERIALS)'!G:G,MLR!J345)=1,"Correct",IF(COUNTIFS('Checking(ZSERIALS)'!J:J,MLR!G345,'Checking(ZSERIALS)'!G:G,MLR!J345)=0,"Incorrect","Err.")))</f>
        <v/>
      </c>
      <c r="C345" s="63">
        <f>_xlfn.XLOOKUP(J345,'Checking(ZSERIALS)'!G:G,'Checking(ZSERIALS)'!F:F)</f>
        <v>0</v>
      </c>
      <c r="G345" s="32"/>
      <c r="H345"/>
    </row>
    <row r="346" spans="1:8" hidden="1" x14ac:dyDescent="0.3">
      <c r="A346">
        <f>_xlfn.XLOOKUP(J346,'Checking(ZSERIALS)'!G:G,'Checking(ZSERIALS)'!C:C)</f>
        <v>0</v>
      </c>
      <c r="B346" s="35" t="str">
        <f>IF(J346="","",IF(COUNTIFS('Checking(ZSERIALS)'!J:J,MLR!G346,'Checking(ZSERIALS)'!G:G,MLR!J346)=1,"Correct",IF(COUNTIFS('Checking(ZSERIALS)'!J:J,MLR!G346,'Checking(ZSERIALS)'!G:G,MLR!J346)=0,"Incorrect","Err.")))</f>
        <v/>
      </c>
      <c r="C346" s="63">
        <f>_xlfn.XLOOKUP(J346,'Checking(ZSERIALS)'!G:G,'Checking(ZSERIALS)'!F:F)</f>
        <v>0</v>
      </c>
      <c r="G346" s="32"/>
      <c r="H346"/>
    </row>
    <row r="347" spans="1:8" hidden="1" x14ac:dyDescent="0.3">
      <c r="A347">
        <f>_xlfn.XLOOKUP(J347,'Checking(ZSERIALS)'!G:G,'Checking(ZSERIALS)'!C:C)</f>
        <v>0</v>
      </c>
      <c r="B347" s="35" t="str">
        <f>IF(J347="","",IF(COUNTIFS('Checking(ZSERIALS)'!J:J,MLR!G347,'Checking(ZSERIALS)'!G:G,MLR!J347)=1,"Correct",IF(COUNTIFS('Checking(ZSERIALS)'!J:J,MLR!G347,'Checking(ZSERIALS)'!G:G,MLR!J347)=0,"Incorrect","Err.")))</f>
        <v/>
      </c>
      <c r="C347" s="63">
        <f>_xlfn.XLOOKUP(J347,'Checking(ZSERIALS)'!G:G,'Checking(ZSERIALS)'!F:F)</f>
        <v>0</v>
      </c>
      <c r="G347" s="32"/>
      <c r="H347"/>
    </row>
    <row r="348" spans="1:8" hidden="1" x14ac:dyDescent="0.3">
      <c r="A348">
        <f>_xlfn.XLOOKUP(J348,'Checking(ZSERIALS)'!G:G,'Checking(ZSERIALS)'!C:C)</f>
        <v>0</v>
      </c>
      <c r="B348" s="35" t="str">
        <f>IF(J348="","",IF(COUNTIFS('Checking(ZSERIALS)'!J:J,MLR!G348,'Checking(ZSERIALS)'!G:G,MLR!J348)=1,"Correct",IF(COUNTIFS('Checking(ZSERIALS)'!J:J,MLR!G348,'Checking(ZSERIALS)'!G:G,MLR!J348)=0,"Incorrect","Err.")))</f>
        <v/>
      </c>
      <c r="C348" s="63">
        <f>_xlfn.XLOOKUP(J348,'Checking(ZSERIALS)'!G:G,'Checking(ZSERIALS)'!F:F)</f>
        <v>0</v>
      </c>
      <c r="G348" s="32"/>
      <c r="H348"/>
    </row>
    <row r="349" spans="1:8" hidden="1" x14ac:dyDescent="0.3">
      <c r="A349">
        <f>_xlfn.XLOOKUP(J349,'Checking(ZSERIALS)'!G:G,'Checking(ZSERIALS)'!C:C)</f>
        <v>0</v>
      </c>
      <c r="B349" s="35" t="str">
        <f>IF(J349="","",IF(COUNTIFS('Checking(ZSERIALS)'!J:J,MLR!G349,'Checking(ZSERIALS)'!G:G,MLR!J349)=1,"Correct",IF(COUNTIFS('Checking(ZSERIALS)'!J:J,MLR!G349,'Checking(ZSERIALS)'!G:G,MLR!J349)=0,"Incorrect","Err.")))</f>
        <v/>
      </c>
      <c r="C349" s="63">
        <f>_xlfn.XLOOKUP(J349,'Checking(ZSERIALS)'!G:G,'Checking(ZSERIALS)'!F:F)</f>
        <v>0</v>
      </c>
      <c r="G349" s="32"/>
      <c r="H349"/>
    </row>
    <row r="350" spans="1:8" hidden="1" x14ac:dyDescent="0.3">
      <c r="A350">
        <f>_xlfn.XLOOKUP(J350,'Checking(ZSERIALS)'!G:G,'Checking(ZSERIALS)'!C:C)</f>
        <v>0</v>
      </c>
      <c r="B350" s="35" t="str">
        <f>IF(J350="","",IF(COUNTIFS('Checking(ZSERIALS)'!J:J,MLR!G350,'Checking(ZSERIALS)'!G:G,MLR!J350)=1,"Correct",IF(COUNTIFS('Checking(ZSERIALS)'!J:J,MLR!G350,'Checking(ZSERIALS)'!G:G,MLR!J350)=0,"Incorrect","Err.")))</f>
        <v/>
      </c>
      <c r="C350" s="63">
        <f>_xlfn.XLOOKUP(J350,'Checking(ZSERIALS)'!G:G,'Checking(ZSERIALS)'!F:F)</f>
        <v>0</v>
      </c>
      <c r="G350" s="32"/>
      <c r="H350"/>
    </row>
    <row r="351" spans="1:8" hidden="1" x14ac:dyDescent="0.3">
      <c r="A351">
        <f>_xlfn.XLOOKUP(J351,'Checking(ZSERIALS)'!G:G,'Checking(ZSERIALS)'!C:C)</f>
        <v>0</v>
      </c>
      <c r="B351" s="35" t="str">
        <f>IF(J351="","",IF(COUNTIFS('Checking(ZSERIALS)'!J:J,MLR!G351,'Checking(ZSERIALS)'!G:G,MLR!J351)=1,"Correct",IF(COUNTIFS('Checking(ZSERIALS)'!J:J,MLR!G351,'Checking(ZSERIALS)'!G:G,MLR!J351)=0,"Incorrect","Err.")))</f>
        <v/>
      </c>
      <c r="C351" s="63">
        <f>_xlfn.XLOOKUP(J351,'Checking(ZSERIALS)'!G:G,'Checking(ZSERIALS)'!F:F)</f>
        <v>0</v>
      </c>
      <c r="G351" s="32"/>
      <c r="H351"/>
    </row>
    <row r="352" spans="1:8" hidden="1" x14ac:dyDescent="0.3">
      <c r="A352">
        <f>_xlfn.XLOOKUP(J352,'Checking(ZSERIALS)'!G:G,'Checking(ZSERIALS)'!C:C)</f>
        <v>0</v>
      </c>
      <c r="B352" s="35" t="str">
        <f>IF(J352="","",IF(COUNTIFS('Checking(ZSERIALS)'!J:J,MLR!G352,'Checking(ZSERIALS)'!G:G,MLR!J352)=1,"Correct",IF(COUNTIFS('Checking(ZSERIALS)'!J:J,MLR!G352,'Checking(ZSERIALS)'!G:G,MLR!J352)=0,"Incorrect","Err.")))</f>
        <v/>
      </c>
      <c r="C352" s="63">
        <f>_xlfn.XLOOKUP(J352,'Checking(ZSERIALS)'!G:G,'Checking(ZSERIALS)'!F:F)</f>
        <v>0</v>
      </c>
      <c r="G352" s="32"/>
      <c r="H352"/>
    </row>
    <row r="353" spans="1:8" hidden="1" x14ac:dyDescent="0.3">
      <c r="A353">
        <f>_xlfn.XLOOKUP(J353,'Checking(ZSERIALS)'!G:G,'Checking(ZSERIALS)'!C:C)</f>
        <v>0</v>
      </c>
      <c r="B353" s="35" t="str">
        <f>IF(J353="","",IF(COUNTIFS('Checking(ZSERIALS)'!J:J,MLR!G353,'Checking(ZSERIALS)'!G:G,MLR!J353)=1,"Correct",IF(COUNTIFS('Checking(ZSERIALS)'!J:J,MLR!G353,'Checking(ZSERIALS)'!G:G,MLR!J353)=0,"Incorrect","Err.")))</f>
        <v/>
      </c>
      <c r="C353" s="63">
        <f>_xlfn.XLOOKUP(J353,'Checking(ZSERIALS)'!G:G,'Checking(ZSERIALS)'!F:F)</f>
        <v>0</v>
      </c>
      <c r="G353" s="32"/>
      <c r="H353"/>
    </row>
    <row r="354" spans="1:8" hidden="1" x14ac:dyDescent="0.3">
      <c r="A354">
        <f>_xlfn.XLOOKUP(J354,'Checking(ZSERIALS)'!G:G,'Checking(ZSERIALS)'!C:C)</f>
        <v>0</v>
      </c>
      <c r="B354" s="35" t="str">
        <f>IF(J354="","",IF(COUNTIFS('Checking(ZSERIALS)'!J:J,MLR!G354,'Checking(ZSERIALS)'!G:G,MLR!J354)=1,"Correct",IF(COUNTIFS('Checking(ZSERIALS)'!J:J,MLR!G354,'Checking(ZSERIALS)'!G:G,MLR!J354)=0,"Incorrect","Err.")))</f>
        <v/>
      </c>
      <c r="C354" s="63">
        <f>_xlfn.XLOOKUP(J354,'Checking(ZSERIALS)'!G:G,'Checking(ZSERIALS)'!F:F)</f>
        <v>0</v>
      </c>
      <c r="G354" s="32"/>
      <c r="H354"/>
    </row>
    <row r="355" spans="1:8" hidden="1" x14ac:dyDescent="0.3">
      <c r="A355">
        <f>_xlfn.XLOOKUP(J355,'Checking(ZSERIALS)'!G:G,'Checking(ZSERIALS)'!C:C)</f>
        <v>0</v>
      </c>
      <c r="B355" s="35" t="str">
        <f>IF(J355="","",IF(COUNTIFS('Checking(ZSERIALS)'!J:J,MLR!G355,'Checking(ZSERIALS)'!G:G,MLR!J355)=1,"Correct",IF(COUNTIFS('Checking(ZSERIALS)'!J:J,MLR!G355,'Checking(ZSERIALS)'!G:G,MLR!J355)=0,"Incorrect","Err.")))</f>
        <v/>
      </c>
      <c r="C355" s="63">
        <f>_xlfn.XLOOKUP(J355,'Checking(ZSERIALS)'!G:G,'Checking(ZSERIALS)'!F:F)</f>
        <v>0</v>
      </c>
      <c r="G355" s="32"/>
      <c r="H355"/>
    </row>
    <row r="356" spans="1:8" hidden="1" x14ac:dyDescent="0.3">
      <c r="A356">
        <f>_xlfn.XLOOKUP(J356,'Checking(ZSERIALS)'!G:G,'Checking(ZSERIALS)'!C:C)</f>
        <v>0</v>
      </c>
      <c r="B356" s="35" t="str">
        <f>IF(J356="","",IF(COUNTIFS('Checking(ZSERIALS)'!J:J,MLR!G356,'Checking(ZSERIALS)'!G:G,MLR!J356)=1,"Correct",IF(COUNTIFS('Checking(ZSERIALS)'!J:J,MLR!G356,'Checking(ZSERIALS)'!G:G,MLR!J356)=0,"Incorrect","Err.")))</f>
        <v/>
      </c>
      <c r="C356" s="63">
        <f>_xlfn.XLOOKUP(J356,'Checking(ZSERIALS)'!G:G,'Checking(ZSERIALS)'!F:F)</f>
        <v>0</v>
      </c>
      <c r="G356" s="32"/>
      <c r="H356"/>
    </row>
    <row r="357" spans="1:8" hidden="1" x14ac:dyDescent="0.3">
      <c r="A357">
        <f>_xlfn.XLOOKUP(J357,'Checking(ZSERIALS)'!G:G,'Checking(ZSERIALS)'!C:C)</f>
        <v>0</v>
      </c>
      <c r="B357" s="35" t="str">
        <f>IF(J357="","",IF(COUNTIFS('Checking(ZSERIALS)'!J:J,MLR!G357,'Checking(ZSERIALS)'!G:G,MLR!J357)=1,"Correct",IF(COUNTIFS('Checking(ZSERIALS)'!J:J,MLR!G357,'Checking(ZSERIALS)'!G:G,MLR!J357)=0,"Incorrect","Err.")))</f>
        <v/>
      </c>
      <c r="C357" s="63">
        <f>_xlfn.XLOOKUP(J357,'Checking(ZSERIALS)'!G:G,'Checking(ZSERIALS)'!F:F)</f>
        <v>0</v>
      </c>
      <c r="G357" s="32"/>
      <c r="H357"/>
    </row>
    <row r="358" spans="1:8" hidden="1" x14ac:dyDescent="0.3">
      <c r="A358">
        <f>_xlfn.XLOOKUP(J358,'Checking(ZSERIALS)'!G:G,'Checking(ZSERIALS)'!C:C)</f>
        <v>0</v>
      </c>
      <c r="B358" s="35" t="str">
        <f>IF(J358="","",IF(COUNTIFS('Checking(ZSERIALS)'!J:J,MLR!G358,'Checking(ZSERIALS)'!G:G,MLR!J358)=1,"Correct",IF(COUNTIFS('Checking(ZSERIALS)'!J:J,MLR!G358,'Checking(ZSERIALS)'!G:G,MLR!J358)=0,"Incorrect","Err.")))</f>
        <v/>
      </c>
      <c r="C358" s="63">
        <f>_xlfn.XLOOKUP(J358,'Checking(ZSERIALS)'!G:G,'Checking(ZSERIALS)'!F:F)</f>
        <v>0</v>
      </c>
      <c r="G358" s="32"/>
      <c r="H358"/>
    </row>
    <row r="359" spans="1:8" hidden="1" x14ac:dyDescent="0.3">
      <c r="A359">
        <f>_xlfn.XLOOKUP(J359,'Checking(ZSERIALS)'!G:G,'Checking(ZSERIALS)'!C:C)</f>
        <v>0</v>
      </c>
      <c r="B359" s="35" t="str">
        <f>IF(J359="","",IF(COUNTIFS('Checking(ZSERIALS)'!J:J,MLR!G359,'Checking(ZSERIALS)'!G:G,MLR!J359)=1,"Correct",IF(COUNTIFS('Checking(ZSERIALS)'!J:J,MLR!G359,'Checking(ZSERIALS)'!G:G,MLR!J359)=0,"Incorrect","Err.")))</f>
        <v/>
      </c>
      <c r="C359" s="63">
        <f>_xlfn.XLOOKUP(J359,'Checking(ZSERIALS)'!G:G,'Checking(ZSERIALS)'!F:F)</f>
        <v>0</v>
      </c>
      <c r="G359" s="32"/>
      <c r="H359"/>
    </row>
    <row r="360" spans="1:8" hidden="1" x14ac:dyDescent="0.3">
      <c r="A360">
        <f>_xlfn.XLOOKUP(J360,'Checking(ZSERIALS)'!G:G,'Checking(ZSERIALS)'!C:C)</f>
        <v>0</v>
      </c>
      <c r="B360" s="35" t="str">
        <f>IF(J360="","",IF(COUNTIFS('Checking(ZSERIALS)'!J:J,MLR!G360,'Checking(ZSERIALS)'!G:G,MLR!J360)=1,"Correct",IF(COUNTIFS('Checking(ZSERIALS)'!J:J,MLR!G360,'Checking(ZSERIALS)'!G:G,MLR!J360)=0,"Incorrect","Err.")))</f>
        <v/>
      </c>
      <c r="C360" s="63">
        <f>_xlfn.XLOOKUP(J360,'Checking(ZSERIALS)'!G:G,'Checking(ZSERIALS)'!F:F)</f>
        <v>0</v>
      </c>
      <c r="G360" s="32"/>
      <c r="H360"/>
    </row>
    <row r="361" spans="1:8" hidden="1" x14ac:dyDescent="0.3">
      <c r="A361">
        <f>_xlfn.XLOOKUP(J361,'Checking(ZSERIALS)'!G:G,'Checking(ZSERIALS)'!C:C)</f>
        <v>0</v>
      </c>
      <c r="B361" s="35" t="str">
        <f>IF(J361="","",IF(COUNTIFS('Checking(ZSERIALS)'!J:J,MLR!G361,'Checking(ZSERIALS)'!G:G,MLR!J361)=1,"Correct",IF(COUNTIFS('Checking(ZSERIALS)'!J:J,MLR!G361,'Checking(ZSERIALS)'!G:G,MLR!J361)=0,"Incorrect","Err.")))</f>
        <v/>
      </c>
      <c r="C361" s="63">
        <f>_xlfn.XLOOKUP(J361,'Checking(ZSERIALS)'!G:G,'Checking(ZSERIALS)'!F:F)</f>
        <v>0</v>
      </c>
      <c r="G361" s="32"/>
      <c r="H361"/>
    </row>
    <row r="362" spans="1:8" hidden="1" x14ac:dyDescent="0.3">
      <c r="A362">
        <f>_xlfn.XLOOKUP(J362,'Checking(ZSERIALS)'!G:G,'Checking(ZSERIALS)'!C:C)</f>
        <v>0</v>
      </c>
      <c r="B362" s="35" t="str">
        <f>IF(J362="","",IF(COUNTIFS('Checking(ZSERIALS)'!J:J,MLR!G362,'Checking(ZSERIALS)'!G:G,MLR!J362)=1,"Correct",IF(COUNTIFS('Checking(ZSERIALS)'!J:J,MLR!G362,'Checking(ZSERIALS)'!G:G,MLR!J362)=0,"Incorrect","Err.")))</f>
        <v/>
      </c>
      <c r="C362" s="63">
        <f>_xlfn.XLOOKUP(J362,'Checking(ZSERIALS)'!G:G,'Checking(ZSERIALS)'!F:F)</f>
        <v>0</v>
      </c>
      <c r="G362" s="32"/>
      <c r="H362"/>
    </row>
    <row r="363" spans="1:8" hidden="1" x14ac:dyDescent="0.3">
      <c r="A363">
        <f>_xlfn.XLOOKUP(J363,'Checking(ZSERIALS)'!G:G,'Checking(ZSERIALS)'!C:C)</f>
        <v>0</v>
      </c>
      <c r="B363" s="35" t="str">
        <f>IF(J363="","",IF(COUNTIFS('Checking(ZSERIALS)'!J:J,MLR!G363,'Checking(ZSERIALS)'!G:G,MLR!J363)=1,"Correct",IF(COUNTIFS('Checking(ZSERIALS)'!J:J,MLR!G363,'Checking(ZSERIALS)'!G:G,MLR!J363)=0,"Incorrect","Err.")))</f>
        <v/>
      </c>
      <c r="C363" s="63">
        <f>_xlfn.XLOOKUP(J363,'Checking(ZSERIALS)'!G:G,'Checking(ZSERIALS)'!F:F)</f>
        <v>0</v>
      </c>
      <c r="G363" s="32"/>
      <c r="H363"/>
    </row>
    <row r="364" spans="1:8" hidden="1" x14ac:dyDescent="0.3">
      <c r="A364">
        <f>_xlfn.XLOOKUP(J364,'Checking(ZSERIALS)'!G:G,'Checking(ZSERIALS)'!C:C)</f>
        <v>0</v>
      </c>
      <c r="B364" s="35" t="str">
        <f>IF(J364="","",IF(COUNTIFS('Checking(ZSERIALS)'!J:J,MLR!G364,'Checking(ZSERIALS)'!G:G,MLR!J364)=1,"Correct",IF(COUNTIFS('Checking(ZSERIALS)'!J:J,MLR!G364,'Checking(ZSERIALS)'!G:G,MLR!J364)=0,"Incorrect","Err.")))</f>
        <v/>
      </c>
      <c r="C364" s="63">
        <f>_xlfn.XLOOKUP(J364,'Checking(ZSERIALS)'!G:G,'Checking(ZSERIALS)'!F:F)</f>
        <v>0</v>
      </c>
      <c r="G364" s="32"/>
      <c r="H364"/>
    </row>
    <row r="365" spans="1:8" hidden="1" x14ac:dyDescent="0.3">
      <c r="A365">
        <f>_xlfn.XLOOKUP(J365,'Checking(ZSERIALS)'!G:G,'Checking(ZSERIALS)'!C:C)</f>
        <v>0</v>
      </c>
      <c r="B365" s="35" t="str">
        <f>IF(J365="","",IF(COUNTIFS('Checking(ZSERIALS)'!J:J,MLR!G365,'Checking(ZSERIALS)'!G:G,MLR!J365)=1,"Correct",IF(COUNTIFS('Checking(ZSERIALS)'!J:J,MLR!G365,'Checking(ZSERIALS)'!G:G,MLR!J365)=0,"Incorrect","Err.")))</f>
        <v/>
      </c>
      <c r="C365" s="63">
        <f>_xlfn.XLOOKUP(J365,'Checking(ZSERIALS)'!G:G,'Checking(ZSERIALS)'!F:F)</f>
        <v>0</v>
      </c>
      <c r="G365" s="32"/>
      <c r="H365"/>
    </row>
    <row r="366" spans="1:8" hidden="1" x14ac:dyDescent="0.3">
      <c r="A366">
        <f>_xlfn.XLOOKUP(J366,'Checking(ZSERIALS)'!G:G,'Checking(ZSERIALS)'!C:C)</f>
        <v>0</v>
      </c>
      <c r="B366" s="35" t="str">
        <f>IF(J366="","",IF(COUNTIFS('Checking(ZSERIALS)'!J:J,MLR!G366,'Checking(ZSERIALS)'!G:G,MLR!J366)=1,"Correct",IF(COUNTIFS('Checking(ZSERIALS)'!J:J,MLR!G366,'Checking(ZSERIALS)'!G:G,MLR!J366)=0,"Incorrect","Err.")))</f>
        <v/>
      </c>
      <c r="C366" s="63">
        <f>_xlfn.XLOOKUP(J366,'Checking(ZSERIALS)'!G:G,'Checking(ZSERIALS)'!F:F)</f>
        <v>0</v>
      </c>
      <c r="G366" s="32"/>
      <c r="H366"/>
    </row>
    <row r="367" spans="1:8" hidden="1" x14ac:dyDescent="0.3">
      <c r="A367">
        <f>_xlfn.XLOOKUP(J367,'Checking(ZSERIALS)'!G:G,'Checking(ZSERIALS)'!C:C)</f>
        <v>0</v>
      </c>
      <c r="B367" s="35" t="str">
        <f>IF(J367="","",IF(COUNTIFS('Checking(ZSERIALS)'!J:J,MLR!G367,'Checking(ZSERIALS)'!G:G,MLR!J367)=1,"Correct",IF(COUNTIFS('Checking(ZSERIALS)'!J:J,MLR!G367,'Checking(ZSERIALS)'!G:G,MLR!J367)=0,"Incorrect","Err.")))</f>
        <v/>
      </c>
      <c r="C367" s="63">
        <f>_xlfn.XLOOKUP(J367,'Checking(ZSERIALS)'!G:G,'Checking(ZSERIALS)'!F:F)</f>
        <v>0</v>
      </c>
      <c r="G367" s="32"/>
      <c r="H367"/>
    </row>
    <row r="368" spans="1:8" hidden="1" x14ac:dyDescent="0.3">
      <c r="A368">
        <f>_xlfn.XLOOKUP(J368,'Checking(ZSERIALS)'!G:G,'Checking(ZSERIALS)'!C:C)</f>
        <v>0</v>
      </c>
      <c r="B368" s="35" t="str">
        <f>IF(J368="","",IF(COUNTIFS('Checking(ZSERIALS)'!J:J,MLR!G368,'Checking(ZSERIALS)'!G:G,MLR!J368)=1,"Correct",IF(COUNTIFS('Checking(ZSERIALS)'!J:J,MLR!G368,'Checking(ZSERIALS)'!G:G,MLR!J368)=0,"Incorrect","Err.")))</f>
        <v/>
      </c>
      <c r="C368" s="63">
        <f>_xlfn.XLOOKUP(J368,'Checking(ZSERIALS)'!G:G,'Checking(ZSERIALS)'!F:F)</f>
        <v>0</v>
      </c>
      <c r="G368" s="32"/>
      <c r="H368"/>
    </row>
    <row r="369" spans="1:8" hidden="1" x14ac:dyDescent="0.3">
      <c r="A369">
        <f>_xlfn.XLOOKUP(J369,'Checking(ZSERIALS)'!G:G,'Checking(ZSERIALS)'!C:C)</f>
        <v>0</v>
      </c>
      <c r="B369" s="35" t="str">
        <f>IF(J369="","",IF(COUNTIFS('Checking(ZSERIALS)'!J:J,MLR!G369,'Checking(ZSERIALS)'!G:G,MLR!J369)=1,"Correct",IF(COUNTIFS('Checking(ZSERIALS)'!J:J,MLR!G369,'Checking(ZSERIALS)'!G:G,MLR!J369)=0,"Incorrect","Err.")))</f>
        <v/>
      </c>
      <c r="C369" s="63">
        <f>_xlfn.XLOOKUP(J369,'Checking(ZSERIALS)'!G:G,'Checking(ZSERIALS)'!F:F)</f>
        <v>0</v>
      </c>
      <c r="G369" s="32"/>
      <c r="H369"/>
    </row>
    <row r="370" spans="1:8" hidden="1" x14ac:dyDescent="0.3">
      <c r="A370">
        <f>_xlfn.XLOOKUP(J370,'Checking(ZSERIALS)'!G:G,'Checking(ZSERIALS)'!C:C)</f>
        <v>0</v>
      </c>
      <c r="B370" s="35" t="str">
        <f>IF(J370="","",IF(COUNTIFS('Checking(ZSERIALS)'!J:J,MLR!G370,'Checking(ZSERIALS)'!G:G,MLR!J370)=1,"Correct",IF(COUNTIFS('Checking(ZSERIALS)'!J:J,MLR!G370,'Checking(ZSERIALS)'!G:G,MLR!J370)=0,"Incorrect","Err.")))</f>
        <v/>
      </c>
      <c r="C370" s="63">
        <f>_xlfn.XLOOKUP(J370,'Checking(ZSERIALS)'!G:G,'Checking(ZSERIALS)'!F:F)</f>
        <v>0</v>
      </c>
      <c r="G370" s="32"/>
      <c r="H370"/>
    </row>
    <row r="371" spans="1:8" hidden="1" x14ac:dyDescent="0.3">
      <c r="A371">
        <f>_xlfn.XLOOKUP(J371,'Checking(ZSERIALS)'!G:G,'Checking(ZSERIALS)'!C:C)</f>
        <v>0</v>
      </c>
      <c r="B371" s="35" t="str">
        <f>IF(J371="","",IF(COUNTIFS('Checking(ZSERIALS)'!J:J,MLR!G371,'Checking(ZSERIALS)'!G:G,MLR!J371)=1,"Correct",IF(COUNTIFS('Checking(ZSERIALS)'!J:J,MLR!G371,'Checking(ZSERIALS)'!G:G,MLR!J371)=0,"Incorrect","Err.")))</f>
        <v/>
      </c>
      <c r="C371" s="63">
        <f>_xlfn.XLOOKUP(J371,'Checking(ZSERIALS)'!G:G,'Checking(ZSERIALS)'!F:F)</f>
        <v>0</v>
      </c>
      <c r="G371" s="32"/>
      <c r="H371"/>
    </row>
    <row r="372" spans="1:8" hidden="1" x14ac:dyDescent="0.3">
      <c r="A372">
        <f>_xlfn.XLOOKUP(J372,'Checking(ZSERIALS)'!G:G,'Checking(ZSERIALS)'!C:C)</f>
        <v>0</v>
      </c>
      <c r="B372" s="35" t="str">
        <f>IF(J372="","",IF(COUNTIFS('Checking(ZSERIALS)'!J:J,MLR!G372,'Checking(ZSERIALS)'!G:G,MLR!J372)=1,"Correct",IF(COUNTIFS('Checking(ZSERIALS)'!J:J,MLR!G372,'Checking(ZSERIALS)'!G:G,MLR!J372)=0,"Incorrect","Err.")))</f>
        <v/>
      </c>
      <c r="C372" s="63">
        <f>_xlfn.XLOOKUP(J372,'Checking(ZSERIALS)'!G:G,'Checking(ZSERIALS)'!F:F)</f>
        <v>0</v>
      </c>
      <c r="G372" s="32"/>
      <c r="H372"/>
    </row>
    <row r="373" spans="1:8" hidden="1" x14ac:dyDescent="0.3">
      <c r="A373">
        <f>_xlfn.XLOOKUP(J373,'Checking(ZSERIALS)'!G:G,'Checking(ZSERIALS)'!C:C)</f>
        <v>0</v>
      </c>
      <c r="B373" s="35" t="str">
        <f>IF(J373="","",IF(COUNTIFS('Checking(ZSERIALS)'!J:J,MLR!G373,'Checking(ZSERIALS)'!G:G,MLR!J373)=1,"Correct",IF(COUNTIFS('Checking(ZSERIALS)'!J:J,MLR!G373,'Checking(ZSERIALS)'!G:G,MLR!J373)=0,"Incorrect","Err.")))</f>
        <v/>
      </c>
      <c r="C373" s="63">
        <f>_xlfn.XLOOKUP(J373,'Checking(ZSERIALS)'!G:G,'Checking(ZSERIALS)'!F:F)</f>
        <v>0</v>
      </c>
      <c r="G373" s="32"/>
      <c r="H373"/>
    </row>
    <row r="374" spans="1:8" hidden="1" x14ac:dyDescent="0.3">
      <c r="A374">
        <f>_xlfn.XLOOKUP(J374,'Checking(ZSERIALS)'!G:G,'Checking(ZSERIALS)'!C:C)</f>
        <v>0</v>
      </c>
      <c r="B374" s="35" t="str">
        <f>IF(J374="","",IF(COUNTIFS('Checking(ZSERIALS)'!J:J,MLR!G374,'Checking(ZSERIALS)'!G:G,MLR!J374)=1,"Correct",IF(COUNTIFS('Checking(ZSERIALS)'!J:J,MLR!G374,'Checking(ZSERIALS)'!G:G,MLR!J374)=0,"Incorrect","Err.")))</f>
        <v/>
      </c>
      <c r="C374" s="63">
        <f>_xlfn.XLOOKUP(J374,'Checking(ZSERIALS)'!G:G,'Checking(ZSERIALS)'!F:F)</f>
        <v>0</v>
      </c>
      <c r="G374" s="32"/>
      <c r="H374"/>
    </row>
    <row r="375" spans="1:8" hidden="1" x14ac:dyDescent="0.3">
      <c r="A375">
        <f>_xlfn.XLOOKUP(J375,'Checking(ZSERIALS)'!G:G,'Checking(ZSERIALS)'!C:C)</f>
        <v>0</v>
      </c>
      <c r="B375" s="35" t="str">
        <f>IF(J375="","",IF(COUNTIFS('Checking(ZSERIALS)'!J:J,MLR!G375,'Checking(ZSERIALS)'!G:G,MLR!J375)=1,"Correct",IF(COUNTIFS('Checking(ZSERIALS)'!J:J,MLR!G375,'Checking(ZSERIALS)'!G:G,MLR!J375)=0,"Incorrect","Err.")))</f>
        <v/>
      </c>
      <c r="C375" s="63">
        <f>_xlfn.XLOOKUP(J375,'Checking(ZSERIALS)'!G:G,'Checking(ZSERIALS)'!F:F)</f>
        <v>0</v>
      </c>
      <c r="G375" s="32"/>
      <c r="H375"/>
    </row>
    <row r="376" spans="1:8" hidden="1" x14ac:dyDescent="0.3">
      <c r="A376">
        <f>_xlfn.XLOOKUP(J376,'Checking(ZSERIALS)'!G:G,'Checking(ZSERIALS)'!C:C)</f>
        <v>0</v>
      </c>
      <c r="B376" s="35" t="str">
        <f>IF(J376="","",IF(COUNTIFS('Checking(ZSERIALS)'!J:J,MLR!G376,'Checking(ZSERIALS)'!G:G,MLR!J376)=1,"Correct",IF(COUNTIFS('Checking(ZSERIALS)'!J:J,MLR!G376,'Checking(ZSERIALS)'!G:G,MLR!J376)=0,"Incorrect","Err.")))</f>
        <v/>
      </c>
      <c r="C376" s="63">
        <f>_xlfn.XLOOKUP(J376,'Checking(ZSERIALS)'!G:G,'Checking(ZSERIALS)'!F:F)</f>
        <v>0</v>
      </c>
      <c r="G376" s="32"/>
      <c r="H376"/>
    </row>
    <row r="377" spans="1:8" hidden="1" x14ac:dyDescent="0.3">
      <c r="A377">
        <f>_xlfn.XLOOKUP(J377,'Checking(ZSERIALS)'!G:G,'Checking(ZSERIALS)'!C:C)</f>
        <v>0</v>
      </c>
      <c r="B377" s="35" t="str">
        <f>IF(J377="","",IF(COUNTIFS('Checking(ZSERIALS)'!J:J,MLR!G377,'Checking(ZSERIALS)'!G:G,MLR!J377)=1,"Correct",IF(COUNTIFS('Checking(ZSERIALS)'!J:J,MLR!G377,'Checking(ZSERIALS)'!G:G,MLR!J377)=0,"Incorrect","Err.")))</f>
        <v/>
      </c>
      <c r="C377" s="63">
        <f>_xlfn.XLOOKUP(J377,'Checking(ZSERIALS)'!G:G,'Checking(ZSERIALS)'!F:F)</f>
        <v>0</v>
      </c>
      <c r="G377" s="32"/>
      <c r="H377"/>
    </row>
    <row r="378" spans="1:8" hidden="1" x14ac:dyDescent="0.3">
      <c r="A378">
        <f>_xlfn.XLOOKUP(J378,'Checking(ZSERIALS)'!G:G,'Checking(ZSERIALS)'!C:C)</f>
        <v>0</v>
      </c>
      <c r="B378" s="35" t="str">
        <f>IF(J378="","",IF(COUNTIFS('Checking(ZSERIALS)'!J:J,MLR!G378,'Checking(ZSERIALS)'!G:G,MLR!J378)=1,"Correct",IF(COUNTIFS('Checking(ZSERIALS)'!J:J,MLR!G378,'Checking(ZSERIALS)'!G:G,MLR!J378)=0,"Incorrect","Err.")))</f>
        <v/>
      </c>
      <c r="C378" s="63">
        <f>_xlfn.XLOOKUP(J378,'Checking(ZSERIALS)'!G:G,'Checking(ZSERIALS)'!F:F)</f>
        <v>0</v>
      </c>
      <c r="G378" s="32"/>
      <c r="H378"/>
    </row>
    <row r="379" spans="1:8" hidden="1" x14ac:dyDescent="0.3">
      <c r="A379">
        <f>_xlfn.XLOOKUP(J379,'Checking(ZSERIALS)'!G:G,'Checking(ZSERIALS)'!C:C)</f>
        <v>0</v>
      </c>
      <c r="B379" s="35" t="str">
        <f>IF(J379="","",IF(COUNTIFS('Checking(ZSERIALS)'!J:J,MLR!G379,'Checking(ZSERIALS)'!G:G,MLR!J379)=1,"Correct",IF(COUNTIFS('Checking(ZSERIALS)'!J:J,MLR!G379,'Checking(ZSERIALS)'!G:G,MLR!J379)=0,"Incorrect","Err.")))</f>
        <v/>
      </c>
      <c r="C379" s="63">
        <f>_xlfn.XLOOKUP(J379,'Checking(ZSERIALS)'!G:G,'Checking(ZSERIALS)'!F:F)</f>
        <v>0</v>
      </c>
      <c r="G379" s="122"/>
      <c r="H379"/>
    </row>
    <row r="380" spans="1:8" hidden="1" x14ac:dyDescent="0.3">
      <c r="A380">
        <f>_xlfn.XLOOKUP(J380,'Checking(ZSERIALS)'!G:G,'Checking(ZSERIALS)'!C:C)</f>
        <v>0</v>
      </c>
      <c r="B380" s="35" t="str">
        <f>IF(J380="","",IF(COUNTIFS('Checking(ZSERIALS)'!J:J,MLR!G380,'Checking(ZSERIALS)'!G:G,MLR!J380)=1,"Correct",IF(COUNTIFS('Checking(ZSERIALS)'!J:J,MLR!G380,'Checking(ZSERIALS)'!G:G,MLR!J380)=0,"Incorrect","Err.")))</f>
        <v/>
      </c>
      <c r="C380" s="63">
        <f>_xlfn.XLOOKUP(J380,'Checking(ZSERIALS)'!G:G,'Checking(ZSERIALS)'!F:F)</f>
        <v>0</v>
      </c>
      <c r="G380" s="32"/>
      <c r="H380"/>
    </row>
    <row r="381" spans="1:8" hidden="1" x14ac:dyDescent="0.3">
      <c r="A381">
        <f>_xlfn.XLOOKUP(J381,'Checking(ZSERIALS)'!G:G,'Checking(ZSERIALS)'!C:C)</f>
        <v>0</v>
      </c>
      <c r="B381" s="35" t="str">
        <f>IF(J381="","",IF(COUNTIFS('Checking(ZSERIALS)'!J:J,MLR!G381,'Checking(ZSERIALS)'!G:G,MLR!J381)=1,"Correct",IF(COUNTIFS('Checking(ZSERIALS)'!J:J,MLR!G381,'Checking(ZSERIALS)'!G:G,MLR!J381)=0,"Incorrect","Err.")))</f>
        <v/>
      </c>
      <c r="C381" s="63">
        <f>_xlfn.XLOOKUP(J381,'Checking(ZSERIALS)'!G:G,'Checking(ZSERIALS)'!F:F)</f>
        <v>0</v>
      </c>
      <c r="G381" s="32"/>
      <c r="H381"/>
    </row>
    <row r="382" spans="1:8" hidden="1" x14ac:dyDescent="0.3">
      <c r="A382">
        <f>_xlfn.XLOOKUP(J382,'Checking(ZSERIALS)'!G:G,'Checking(ZSERIALS)'!C:C)</f>
        <v>0</v>
      </c>
      <c r="B382" s="35" t="str">
        <f>IF(J382="","",IF(COUNTIFS('Checking(ZSERIALS)'!J:J,MLR!G382,'Checking(ZSERIALS)'!G:G,MLR!J382)=1,"Correct",IF(COUNTIFS('Checking(ZSERIALS)'!J:J,MLR!G382,'Checking(ZSERIALS)'!G:G,MLR!J382)=0,"Incorrect","Err.")))</f>
        <v/>
      </c>
      <c r="C382" s="63">
        <f>_xlfn.XLOOKUP(J382,'Checking(ZSERIALS)'!G:G,'Checking(ZSERIALS)'!F:F)</f>
        <v>0</v>
      </c>
      <c r="G382" s="32"/>
      <c r="H382"/>
    </row>
    <row r="383" spans="1:8" hidden="1" x14ac:dyDescent="0.3">
      <c r="A383">
        <f>_xlfn.XLOOKUP(J383,'Checking(ZSERIALS)'!G:G,'Checking(ZSERIALS)'!C:C)</f>
        <v>0</v>
      </c>
      <c r="B383" s="35" t="str">
        <f>IF(J383="","",IF(COUNTIFS('Checking(ZSERIALS)'!J:J,MLR!G383,'Checking(ZSERIALS)'!G:G,MLR!J383)=1,"Correct",IF(COUNTIFS('Checking(ZSERIALS)'!J:J,MLR!G383,'Checking(ZSERIALS)'!G:G,MLR!J383)=0,"Incorrect","Err.")))</f>
        <v/>
      </c>
      <c r="C383" s="63">
        <f>_xlfn.XLOOKUP(J383,'Checking(ZSERIALS)'!G:G,'Checking(ZSERIALS)'!F:F)</f>
        <v>0</v>
      </c>
    </row>
    <row r="384" spans="1:8" hidden="1" x14ac:dyDescent="0.3">
      <c r="A384">
        <f>_xlfn.XLOOKUP(J384,'Checking(ZSERIALS)'!G:G,'Checking(ZSERIALS)'!C:C)</f>
        <v>0</v>
      </c>
      <c r="B384" s="35" t="str">
        <f>IF(J384="","",IF(COUNTIFS('Checking(ZSERIALS)'!J:J,MLR!G384,'Checking(ZSERIALS)'!G:G,MLR!J384)=1,"Correct",IF(COUNTIFS('Checking(ZSERIALS)'!J:J,MLR!G384,'Checking(ZSERIALS)'!G:G,MLR!J384)=0,"Incorrect","Err.")))</f>
        <v/>
      </c>
      <c r="C384" s="63">
        <f>_xlfn.XLOOKUP(J384,'Checking(ZSERIALS)'!G:G,'Checking(ZSERIALS)'!F:F)</f>
        <v>0</v>
      </c>
      <c r="G384" s="122"/>
      <c r="H384"/>
    </row>
    <row r="385" spans="1:8" hidden="1" x14ac:dyDescent="0.3">
      <c r="A385">
        <f>_xlfn.XLOOKUP(J385,'Checking(ZSERIALS)'!G:G,'Checking(ZSERIALS)'!C:C)</f>
        <v>0</v>
      </c>
      <c r="B385" s="35" t="str">
        <f>IF(J385="","",IF(COUNTIFS('Checking(ZSERIALS)'!J:J,MLR!G385,'Checking(ZSERIALS)'!G:G,MLR!J385)=1,"Correct",IF(COUNTIFS('Checking(ZSERIALS)'!J:J,MLR!G385,'Checking(ZSERIALS)'!G:G,MLR!J385)=0,"Incorrect","Err.")))</f>
        <v/>
      </c>
      <c r="C385" s="63">
        <f>_xlfn.XLOOKUP(J385,'Checking(ZSERIALS)'!G:G,'Checking(ZSERIALS)'!F:F)</f>
        <v>0</v>
      </c>
      <c r="G385" s="122"/>
      <c r="H385"/>
    </row>
    <row r="386" spans="1:8" hidden="1" x14ac:dyDescent="0.3">
      <c r="A386">
        <f>_xlfn.XLOOKUP(J386,'Checking(ZSERIALS)'!G:G,'Checking(ZSERIALS)'!C:C)</f>
        <v>0</v>
      </c>
      <c r="B386" s="35" t="str">
        <f>IF(J386="","",IF(COUNTIFS('Checking(ZSERIALS)'!J:J,MLR!G386,'Checking(ZSERIALS)'!G:G,MLR!J386)=1,"Correct",IF(COUNTIFS('Checking(ZSERIALS)'!J:J,MLR!G386,'Checking(ZSERIALS)'!G:G,MLR!J386)=0,"Incorrect","Err.")))</f>
        <v/>
      </c>
      <c r="C386" s="63">
        <f>_xlfn.XLOOKUP(J386,'Checking(ZSERIALS)'!G:G,'Checking(ZSERIALS)'!F:F)</f>
        <v>0</v>
      </c>
      <c r="G386" s="32"/>
      <c r="H386"/>
    </row>
    <row r="387" spans="1:8" hidden="1" x14ac:dyDescent="0.3">
      <c r="A387">
        <f>_xlfn.XLOOKUP(J387,'Checking(ZSERIALS)'!G:G,'Checking(ZSERIALS)'!C:C)</f>
        <v>0</v>
      </c>
      <c r="B387" s="35" t="str">
        <f>IF(J387="","",IF(COUNTIFS('Checking(ZSERIALS)'!J:J,MLR!G387,'Checking(ZSERIALS)'!G:G,MLR!J387)=1,"Correct",IF(COUNTIFS('Checking(ZSERIALS)'!J:J,MLR!G387,'Checking(ZSERIALS)'!G:G,MLR!J387)=0,"Incorrect","Err.")))</f>
        <v/>
      </c>
      <c r="C387" s="63">
        <f>_xlfn.XLOOKUP(J387,'Checking(ZSERIALS)'!G:G,'Checking(ZSERIALS)'!F:F)</f>
        <v>0</v>
      </c>
      <c r="G387" s="32"/>
      <c r="H387"/>
    </row>
    <row r="388" spans="1:8" hidden="1" x14ac:dyDescent="0.3">
      <c r="A388">
        <f>_xlfn.XLOOKUP(J388,'Checking(ZSERIALS)'!G:G,'Checking(ZSERIALS)'!C:C)</f>
        <v>0</v>
      </c>
      <c r="B388" s="35" t="str">
        <f>IF(J388="","",IF(COUNTIFS('Checking(ZSERIALS)'!J:J,MLR!G388,'Checking(ZSERIALS)'!G:G,MLR!J388)=1,"Correct",IF(COUNTIFS('Checking(ZSERIALS)'!J:J,MLR!G388,'Checking(ZSERIALS)'!G:G,MLR!J388)=0,"Incorrect","Err.")))</f>
        <v/>
      </c>
      <c r="C388" s="63">
        <f>_xlfn.XLOOKUP(J388,'Checking(ZSERIALS)'!G:G,'Checking(ZSERIALS)'!F:F)</f>
        <v>0</v>
      </c>
      <c r="G388" s="32"/>
      <c r="H388"/>
    </row>
    <row r="389" spans="1:8" hidden="1" x14ac:dyDescent="0.3">
      <c r="A389">
        <f>_xlfn.XLOOKUP(J389,'Checking(ZSERIALS)'!G:G,'Checking(ZSERIALS)'!C:C)</f>
        <v>0</v>
      </c>
      <c r="B389" s="35" t="str">
        <f>IF(J389="","",IF(COUNTIFS('Checking(ZSERIALS)'!J:J,MLR!G389,'Checking(ZSERIALS)'!G:G,MLR!J389)=1,"Correct",IF(COUNTIFS('Checking(ZSERIALS)'!J:J,MLR!G389,'Checking(ZSERIALS)'!G:G,MLR!J389)=0,"Incorrect","Err.")))</f>
        <v/>
      </c>
      <c r="C389" s="63">
        <f>_xlfn.XLOOKUP(J389,'Checking(ZSERIALS)'!G:G,'Checking(ZSERIALS)'!F:F)</f>
        <v>0</v>
      </c>
      <c r="G389" s="32"/>
      <c r="H389"/>
    </row>
    <row r="390" spans="1:8" hidden="1" x14ac:dyDescent="0.3">
      <c r="A390">
        <f>_xlfn.XLOOKUP(J390,'Checking(ZSERIALS)'!G:G,'Checking(ZSERIALS)'!C:C)</f>
        <v>0</v>
      </c>
      <c r="B390" s="35" t="str">
        <f>IF(J390="","",IF(COUNTIFS('Checking(ZSERIALS)'!J:J,MLR!G390,'Checking(ZSERIALS)'!G:G,MLR!J390)=1,"Correct",IF(COUNTIFS('Checking(ZSERIALS)'!J:J,MLR!G390,'Checking(ZSERIALS)'!G:G,MLR!J390)=0,"Incorrect","Err.")))</f>
        <v/>
      </c>
      <c r="C390" s="63">
        <f>_xlfn.XLOOKUP(J390,'Checking(ZSERIALS)'!G:G,'Checking(ZSERIALS)'!F:F)</f>
        <v>0</v>
      </c>
      <c r="G390" s="32"/>
      <c r="H390"/>
    </row>
    <row r="391" spans="1:8" hidden="1" x14ac:dyDescent="0.3">
      <c r="A391">
        <f>_xlfn.XLOOKUP(J391,'Checking(ZSERIALS)'!G:G,'Checking(ZSERIALS)'!C:C)</f>
        <v>0</v>
      </c>
      <c r="B391" s="35" t="str">
        <f>IF(J391="","",IF(COUNTIFS('Checking(ZSERIALS)'!J:J,MLR!G391,'Checking(ZSERIALS)'!G:G,MLR!J391)=1,"Correct",IF(COUNTIFS('Checking(ZSERIALS)'!J:J,MLR!G391,'Checking(ZSERIALS)'!G:G,MLR!J391)=0,"Incorrect","Err.")))</f>
        <v/>
      </c>
      <c r="C391" s="63">
        <f>_xlfn.XLOOKUP(J391,'Checking(ZSERIALS)'!G:G,'Checking(ZSERIALS)'!F:F)</f>
        <v>0</v>
      </c>
      <c r="G391" s="32"/>
      <c r="H391"/>
    </row>
    <row r="392" spans="1:8" hidden="1" x14ac:dyDescent="0.3">
      <c r="A392">
        <f>_xlfn.XLOOKUP(J392,'Checking(ZSERIALS)'!G:G,'Checking(ZSERIALS)'!C:C)</f>
        <v>0</v>
      </c>
      <c r="B392" s="35" t="str">
        <f>IF(J392="","",IF(COUNTIFS('Checking(ZSERIALS)'!J:J,MLR!G392,'Checking(ZSERIALS)'!G:G,MLR!J392)=1,"Correct",IF(COUNTIFS('Checking(ZSERIALS)'!J:J,MLR!G392,'Checking(ZSERIALS)'!G:G,MLR!J392)=0,"Incorrect","Err.")))</f>
        <v/>
      </c>
      <c r="C392" s="63">
        <f>_xlfn.XLOOKUP(J392,'Checking(ZSERIALS)'!G:G,'Checking(ZSERIALS)'!F:F)</f>
        <v>0</v>
      </c>
      <c r="G392" s="32"/>
      <c r="H392"/>
    </row>
    <row r="393" spans="1:8" hidden="1" x14ac:dyDescent="0.3">
      <c r="A393">
        <f>_xlfn.XLOOKUP(J393,'Checking(ZSERIALS)'!G:G,'Checking(ZSERIALS)'!C:C)</f>
        <v>0</v>
      </c>
      <c r="B393" s="35" t="str">
        <f>IF(J393="","",IF(COUNTIFS('Checking(ZSERIALS)'!J:J,MLR!G393,'Checking(ZSERIALS)'!G:G,MLR!J393)=1,"Correct",IF(COUNTIFS('Checking(ZSERIALS)'!J:J,MLR!G393,'Checking(ZSERIALS)'!G:G,MLR!J393)=0,"Incorrect","Err.")))</f>
        <v/>
      </c>
      <c r="C393" s="63">
        <f>_xlfn.XLOOKUP(J393,'Checking(ZSERIALS)'!G:G,'Checking(ZSERIALS)'!F:F)</f>
        <v>0</v>
      </c>
      <c r="G393" s="32"/>
      <c r="H393"/>
    </row>
    <row r="394" spans="1:8" hidden="1" x14ac:dyDescent="0.3">
      <c r="A394">
        <f>_xlfn.XLOOKUP(J394,'Checking(ZSERIALS)'!G:G,'Checking(ZSERIALS)'!C:C)</f>
        <v>0</v>
      </c>
      <c r="B394" s="35" t="str">
        <f>IF(J394="","",IF(COUNTIFS('Checking(ZSERIALS)'!J:J,MLR!G394,'Checking(ZSERIALS)'!G:G,MLR!J394)=1,"Correct",IF(COUNTIFS('Checking(ZSERIALS)'!J:J,MLR!G394,'Checking(ZSERIALS)'!G:G,MLR!J394)=0,"Incorrect","Err.")))</f>
        <v/>
      </c>
      <c r="C394" s="63">
        <f>_xlfn.XLOOKUP(J394,'Checking(ZSERIALS)'!G:G,'Checking(ZSERIALS)'!F:F)</f>
        <v>0</v>
      </c>
      <c r="G394" s="32"/>
      <c r="H394"/>
    </row>
    <row r="395" spans="1:8" hidden="1" x14ac:dyDescent="0.3">
      <c r="A395">
        <f>_xlfn.XLOOKUP(J395,'Checking(ZSERIALS)'!G:G,'Checking(ZSERIALS)'!C:C)</f>
        <v>0</v>
      </c>
      <c r="B395" s="35" t="str">
        <f>IF(J395="","",IF(COUNTIFS('Checking(ZSERIALS)'!J:J,MLR!G395,'Checking(ZSERIALS)'!G:G,MLR!J395)=1,"Correct",IF(COUNTIFS('Checking(ZSERIALS)'!J:J,MLR!G395,'Checking(ZSERIALS)'!G:G,MLR!J395)=0,"Incorrect","Err.")))</f>
        <v/>
      </c>
      <c r="C395" s="63">
        <f>_xlfn.XLOOKUP(J395,'Checking(ZSERIALS)'!G:G,'Checking(ZSERIALS)'!F:F)</f>
        <v>0</v>
      </c>
      <c r="G395" s="32"/>
      <c r="H395"/>
    </row>
    <row r="396" spans="1:8" hidden="1" x14ac:dyDescent="0.3">
      <c r="A396">
        <f>_xlfn.XLOOKUP(J396,'Checking(ZSERIALS)'!G:G,'Checking(ZSERIALS)'!C:C)</f>
        <v>0</v>
      </c>
      <c r="B396" s="35" t="str">
        <f>IF(J396="","",IF(COUNTIFS('Checking(ZSERIALS)'!J:J,MLR!G396,'Checking(ZSERIALS)'!G:G,MLR!J396)=1,"Correct",IF(COUNTIFS('Checking(ZSERIALS)'!J:J,MLR!G396,'Checking(ZSERIALS)'!G:G,MLR!J396)=0,"Incorrect","Err.")))</f>
        <v/>
      </c>
      <c r="C396" s="63">
        <f>_xlfn.XLOOKUP(J396,'Checking(ZSERIALS)'!G:G,'Checking(ZSERIALS)'!F:F)</f>
        <v>0</v>
      </c>
      <c r="G396" s="32"/>
      <c r="H396"/>
    </row>
    <row r="397" spans="1:8" hidden="1" x14ac:dyDescent="0.3">
      <c r="A397">
        <f>_xlfn.XLOOKUP(J397,'Checking(ZSERIALS)'!G:G,'Checking(ZSERIALS)'!C:C)</f>
        <v>0</v>
      </c>
      <c r="B397" s="35" t="str">
        <f>IF(J397="","",IF(COUNTIFS('Checking(ZSERIALS)'!J:J,MLR!G397,'Checking(ZSERIALS)'!G:G,MLR!J397)=1,"Correct",IF(COUNTIFS('Checking(ZSERIALS)'!J:J,MLR!G397,'Checking(ZSERIALS)'!G:G,MLR!J397)=0,"Incorrect","Err.")))</f>
        <v/>
      </c>
      <c r="C397" s="63">
        <f>_xlfn.XLOOKUP(J397,'Checking(ZSERIALS)'!G:G,'Checking(ZSERIALS)'!F:F)</f>
        <v>0</v>
      </c>
      <c r="G397" s="32"/>
      <c r="H397"/>
    </row>
    <row r="398" spans="1:8" hidden="1" x14ac:dyDescent="0.3">
      <c r="A398">
        <f>_xlfn.XLOOKUP(J398,'Checking(ZSERIALS)'!G:G,'Checking(ZSERIALS)'!C:C)</f>
        <v>0</v>
      </c>
      <c r="B398" s="35" t="str">
        <f>IF(J398="","",IF(COUNTIFS('Checking(ZSERIALS)'!J:J,MLR!G398,'Checking(ZSERIALS)'!G:G,MLR!J398)=1,"Correct",IF(COUNTIFS('Checking(ZSERIALS)'!J:J,MLR!G398,'Checking(ZSERIALS)'!G:G,MLR!J398)=0,"Incorrect","Err.")))</f>
        <v/>
      </c>
      <c r="C398" s="63">
        <f>_xlfn.XLOOKUP(J398,'Checking(ZSERIALS)'!G:G,'Checking(ZSERIALS)'!F:F)</f>
        <v>0</v>
      </c>
      <c r="G398" s="32"/>
      <c r="H398"/>
    </row>
    <row r="399" spans="1:8" hidden="1" x14ac:dyDescent="0.3">
      <c r="A399">
        <f>_xlfn.XLOOKUP(J399,'Checking(ZSERIALS)'!G:G,'Checking(ZSERIALS)'!C:C)</f>
        <v>0</v>
      </c>
      <c r="B399" s="35" t="str">
        <f>IF(J399="","",IF(COUNTIFS('Checking(ZSERIALS)'!J:J,MLR!G399,'Checking(ZSERIALS)'!G:G,MLR!J399)=1,"Correct",IF(COUNTIFS('Checking(ZSERIALS)'!J:J,MLR!G399,'Checking(ZSERIALS)'!G:G,MLR!J399)=0,"Incorrect","Err.")))</f>
        <v/>
      </c>
      <c r="C399" s="63">
        <f>_xlfn.XLOOKUP(J399,'Checking(ZSERIALS)'!G:G,'Checking(ZSERIALS)'!F:F)</f>
        <v>0</v>
      </c>
      <c r="G399" s="32"/>
      <c r="H399"/>
    </row>
    <row r="400" spans="1:8" hidden="1" x14ac:dyDescent="0.3">
      <c r="A400">
        <f>_xlfn.XLOOKUP(J400,'Checking(ZSERIALS)'!G:G,'Checking(ZSERIALS)'!C:C)</f>
        <v>0</v>
      </c>
      <c r="B400" s="35" t="str">
        <f>IF(J400="","",IF(COUNTIFS('Checking(ZSERIALS)'!J:J,MLR!G400,'Checking(ZSERIALS)'!G:G,MLR!J400)=1,"Correct",IF(COUNTIFS('Checking(ZSERIALS)'!J:J,MLR!G400,'Checking(ZSERIALS)'!G:G,MLR!J400)=0,"Incorrect","Err.")))</f>
        <v/>
      </c>
      <c r="C400" s="63">
        <f>_xlfn.XLOOKUP(J400,'Checking(ZSERIALS)'!G:G,'Checking(ZSERIALS)'!F:F)</f>
        <v>0</v>
      </c>
      <c r="G400" s="32"/>
      <c r="H400"/>
    </row>
    <row r="401" spans="1:8" hidden="1" x14ac:dyDescent="0.3">
      <c r="A401">
        <f>_xlfn.XLOOKUP(J401,'Checking(ZSERIALS)'!G:G,'Checking(ZSERIALS)'!C:C)</f>
        <v>0</v>
      </c>
      <c r="B401" s="35" t="str">
        <f>IF(J401="","",IF(COUNTIFS('Checking(ZSERIALS)'!J:J,MLR!G401,'Checking(ZSERIALS)'!G:G,MLR!J401)=1,"Correct",IF(COUNTIFS('Checking(ZSERIALS)'!J:J,MLR!G401,'Checking(ZSERIALS)'!G:G,MLR!J401)=0,"Incorrect","Err.")))</f>
        <v/>
      </c>
      <c r="C401" s="63">
        <f>_xlfn.XLOOKUP(J401,'Checking(ZSERIALS)'!G:G,'Checking(ZSERIALS)'!F:F)</f>
        <v>0</v>
      </c>
      <c r="G401" s="32"/>
      <c r="H401"/>
    </row>
    <row r="402" spans="1:8" hidden="1" x14ac:dyDescent="0.3">
      <c r="A402">
        <f>_xlfn.XLOOKUP(J402,'Checking(ZSERIALS)'!G:G,'Checking(ZSERIALS)'!C:C)</f>
        <v>0</v>
      </c>
      <c r="B402" s="35" t="str">
        <f>IF(J402="","",IF(COUNTIFS('Checking(ZSERIALS)'!J:J,MLR!G402,'Checking(ZSERIALS)'!G:G,MLR!J402)=1,"Correct",IF(COUNTIFS('Checking(ZSERIALS)'!J:J,MLR!G402,'Checking(ZSERIALS)'!G:G,MLR!J402)=0,"Incorrect","Err.")))</f>
        <v/>
      </c>
      <c r="C402" s="63">
        <f>_xlfn.XLOOKUP(J402,'Checking(ZSERIALS)'!G:G,'Checking(ZSERIALS)'!F:F)</f>
        <v>0</v>
      </c>
      <c r="G402" s="32"/>
      <c r="H402"/>
    </row>
    <row r="403" spans="1:8" hidden="1" x14ac:dyDescent="0.3">
      <c r="A403">
        <f>_xlfn.XLOOKUP(J403,'Checking(ZSERIALS)'!G:G,'Checking(ZSERIALS)'!C:C)</f>
        <v>0</v>
      </c>
      <c r="B403" s="35" t="str">
        <f>IF(J403="","",IF(COUNTIFS('Checking(ZSERIALS)'!J:J,MLR!G403,'Checking(ZSERIALS)'!G:G,MLR!J403)=1,"Correct",IF(COUNTIFS('Checking(ZSERIALS)'!J:J,MLR!G403,'Checking(ZSERIALS)'!G:G,MLR!J403)=0,"Incorrect","Err.")))</f>
        <v/>
      </c>
      <c r="C403" s="63">
        <f>_xlfn.XLOOKUP(J403,'Checking(ZSERIALS)'!G:G,'Checking(ZSERIALS)'!F:F)</f>
        <v>0</v>
      </c>
      <c r="G403" s="32"/>
      <c r="H403"/>
    </row>
    <row r="404" spans="1:8" hidden="1" x14ac:dyDescent="0.3">
      <c r="A404">
        <f>_xlfn.XLOOKUP(J404,'Checking(ZSERIALS)'!G:G,'Checking(ZSERIALS)'!C:C)</f>
        <v>0</v>
      </c>
      <c r="B404" s="35" t="str">
        <f>IF(J404="","",IF(COUNTIFS('Checking(ZSERIALS)'!J:J,MLR!G404,'Checking(ZSERIALS)'!G:G,MLR!J404)=1,"Correct",IF(COUNTIFS('Checking(ZSERIALS)'!J:J,MLR!G404,'Checking(ZSERIALS)'!G:G,MLR!J404)=0,"Incorrect","Err.")))</f>
        <v/>
      </c>
      <c r="C404" s="63">
        <f>_xlfn.XLOOKUP(J404,'Checking(ZSERIALS)'!G:G,'Checking(ZSERIALS)'!F:F)</f>
        <v>0</v>
      </c>
      <c r="G404" s="32"/>
      <c r="H404"/>
    </row>
    <row r="405" spans="1:8" hidden="1" x14ac:dyDescent="0.3">
      <c r="A405">
        <f>_xlfn.XLOOKUP(J405,'Checking(ZSERIALS)'!G:G,'Checking(ZSERIALS)'!C:C)</f>
        <v>0</v>
      </c>
      <c r="B405" s="35" t="str">
        <f>IF(J405="","",IF(COUNTIFS('Checking(ZSERIALS)'!J:J,MLR!G405,'Checking(ZSERIALS)'!G:G,MLR!J405)=1,"Correct",IF(COUNTIFS('Checking(ZSERIALS)'!J:J,MLR!G405,'Checking(ZSERIALS)'!G:G,MLR!J405)=0,"Incorrect","Err.")))</f>
        <v/>
      </c>
      <c r="C405" s="63">
        <f>_xlfn.XLOOKUP(J405,'Checking(ZSERIALS)'!G:G,'Checking(ZSERIALS)'!F:F)</f>
        <v>0</v>
      </c>
      <c r="G405" s="32"/>
      <c r="H405"/>
    </row>
    <row r="406" spans="1:8" hidden="1" x14ac:dyDescent="0.3">
      <c r="A406">
        <f>_xlfn.XLOOKUP(J406,'Checking(ZSERIALS)'!G:G,'Checking(ZSERIALS)'!C:C)</f>
        <v>0</v>
      </c>
      <c r="B406" s="35" t="str">
        <f>IF(J406="","",IF(COUNTIFS('Checking(ZSERIALS)'!J:J,MLR!G406,'Checking(ZSERIALS)'!G:G,MLR!J406)=1,"Correct",IF(COUNTIFS('Checking(ZSERIALS)'!J:J,MLR!G406,'Checking(ZSERIALS)'!G:G,MLR!J406)=0,"Incorrect","Err.")))</f>
        <v/>
      </c>
      <c r="C406" s="63">
        <f>_xlfn.XLOOKUP(J406,'Checking(ZSERIALS)'!G:G,'Checking(ZSERIALS)'!F:F)</f>
        <v>0</v>
      </c>
    </row>
    <row r="407" spans="1:8" hidden="1" x14ac:dyDescent="0.3">
      <c r="A407">
        <f>_xlfn.XLOOKUP(J407,'Checking(ZSERIALS)'!G:G,'Checking(ZSERIALS)'!C:C)</f>
        <v>0</v>
      </c>
      <c r="B407" s="35" t="str">
        <f>IF(J407="","",IF(COUNTIFS('Checking(ZSERIALS)'!J:J,MLR!G407,'Checking(ZSERIALS)'!G:G,MLR!J407)=1,"Correct",IF(COUNTIFS('Checking(ZSERIALS)'!J:J,MLR!G407,'Checking(ZSERIALS)'!G:G,MLR!J407)=0,"Incorrect","Err.")))</f>
        <v/>
      </c>
      <c r="C407" s="63">
        <f>_xlfn.XLOOKUP(J407,'Checking(ZSERIALS)'!G:G,'Checking(ZSERIALS)'!F:F)</f>
        <v>0</v>
      </c>
    </row>
    <row r="408" spans="1:8" hidden="1" x14ac:dyDescent="0.3">
      <c r="A408">
        <f>_xlfn.XLOOKUP(J408,'Checking(ZSERIALS)'!G:G,'Checking(ZSERIALS)'!C:C)</f>
        <v>0</v>
      </c>
      <c r="B408" s="35" t="str">
        <f>IF(J408="","",IF(COUNTIFS('Checking(ZSERIALS)'!J:J,MLR!G408,'Checking(ZSERIALS)'!G:G,MLR!J408)=1,"Correct",IF(COUNTIFS('Checking(ZSERIALS)'!J:J,MLR!G408,'Checking(ZSERIALS)'!G:G,MLR!J408)=0,"Incorrect","Err.")))</f>
        <v/>
      </c>
      <c r="C408" s="63">
        <f>_xlfn.XLOOKUP(J408,'Checking(ZSERIALS)'!G:G,'Checking(ZSERIALS)'!F:F)</f>
        <v>0</v>
      </c>
      <c r="G408" s="32"/>
      <c r="H408"/>
    </row>
    <row r="409" spans="1:8" hidden="1" x14ac:dyDescent="0.3">
      <c r="A409">
        <f>_xlfn.XLOOKUP(J409,'Checking(ZSERIALS)'!G:G,'Checking(ZSERIALS)'!C:C)</f>
        <v>0</v>
      </c>
      <c r="B409" s="35" t="str">
        <f>IF(J409="","",IF(COUNTIFS('Checking(ZSERIALS)'!J:J,MLR!G409,'Checking(ZSERIALS)'!G:G,MLR!J409)=1,"Correct",IF(COUNTIFS('Checking(ZSERIALS)'!J:J,MLR!G409,'Checking(ZSERIALS)'!G:G,MLR!J409)=0,"Incorrect","Err.")))</f>
        <v/>
      </c>
      <c r="C409" s="63">
        <f>_xlfn.XLOOKUP(J409,'Checking(ZSERIALS)'!G:G,'Checking(ZSERIALS)'!F:F)</f>
        <v>0</v>
      </c>
      <c r="G409" s="32"/>
      <c r="H409"/>
    </row>
    <row r="410" spans="1:8" hidden="1" x14ac:dyDescent="0.3">
      <c r="A410">
        <f>_xlfn.XLOOKUP(J410,'Checking(ZSERIALS)'!G:G,'Checking(ZSERIALS)'!C:C)</f>
        <v>0</v>
      </c>
      <c r="B410" s="35" t="str">
        <f>IF(J410="","",IF(COUNTIFS('Checking(ZSERIALS)'!J:J,MLR!G410,'Checking(ZSERIALS)'!G:G,MLR!J410)=1,"Correct",IF(COUNTIFS('Checking(ZSERIALS)'!J:J,MLR!G410,'Checking(ZSERIALS)'!G:G,MLR!J410)=0,"Incorrect","Err.")))</f>
        <v/>
      </c>
      <c r="C410" s="63">
        <f>_xlfn.XLOOKUP(J410,'Checking(ZSERIALS)'!G:G,'Checking(ZSERIALS)'!F:F)</f>
        <v>0</v>
      </c>
      <c r="G410" s="32"/>
      <c r="H410"/>
    </row>
    <row r="411" spans="1:8" hidden="1" x14ac:dyDescent="0.3">
      <c r="A411">
        <f>_xlfn.XLOOKUP(J411,'Checking(ZSERIALS)'!G:G,'Checking(ZSERIALS)'!C:C)</f>
        <v>0</v>
      </c>
      <c r="B411" s="35" t="str">
        <f>IF(J411="","",IF(COUNTIFS('Checking(ZSERIALS)'!J:J,MLR!G411,'Checking(ZSERIALS)'!G:G,MLR!J411)=1,"Correct",IF(COUNTIFS('Checking(ZSERIALS)'!J:J,MLR!G411,'Checking(ZSERIALS)'!G:G,MLR!J411)=0,"Incorrect","Err.")))</f>
        <v/>
      </c>
      <c r="C411" s="63">
        <f>_xlfn.XLOOKUP(J411,'Checking(ZSERIALS)'!G:G,'Checking(ZSERIALS)'!F:F)</f>
        <v>0</v>
      </c>
      <c r="G411" s="32"/>
      <c r="H411"/>
    </row>
    <row r="412" spans="1:8" hidden="1" x14ac:dyDescent="0.3">
      <c r="A412">
        <f>_xlfn.XLOOKUP(J412,'Checking(ZSERIALS)'!G:G,'Checking(ZSERIALS)'!C:C)</f>
        <v>0</v>
      </c>
      <c r="B412" s="35" t="str">
        <f>IF(J412="","",IF(COUNTIFS('Checking(ZSERIALS)'!J:J,MLR!G412,'Checking(ZSERIALS)'!G:G,MLR!J412)=1,"Correct",IF(COUNTIFS('Checking(ZSERIALS)'!J:J,MLR!G412,'Checking(ZSERIALS)'!G:G,MLR!J412)=0,"Incorrect","Err.")))</f>
        <v/>
      </c>
      <c r="C412" s="63">
        <f>_xlfn.XLOOKUP(J412,'Checking(ZSERIALS)'!G:G,'Checking(ZSERIALS)'!F:F)</f>
        <v>0</v>
      </c>
      <c r="G412" s="32"/>
      <c r="H412"/>
    </row>
    <row r="413" spans="1:8" hidden="1" x14ac:dyDescent="0.3">
      <c r="A413">
        <f>_xlfn.XLOOKUP(J413,'Checking(ZSERIALS)'!G:G,'Checking(ZSERIALS)'!C:C)</f>
        <v>0</v>
      </c>
      <c r="B413" s="35" t="str">
        <f>IF(J413="","",IF(COUNTIFS('Checking(ZSERIALS)'!J:J,MLR!G413,'Checking(ZSERIALS)'!G:G,MLR!J413)=1,"Correct",IF(COUNTIFS('Checking(ZSERIALS)'!J:J,MLR!G413,'Checking(ZSERIALS)'!G:G,MLR!J413)=0,"Incorrect","Err.")))</f>
        <v/>
      </c>
      <c r="C413" s="63">
        <f>_xlfn.XLOOKUP(J413,'Checking(ZSERIALS)'!G:G,'Checking(ZSERIALS)'!F:F)</f>
        <v>0</v>
      </c>
      <c r="G413" s="32"/>
      <c r="H413"/>
    </row>
    <row r="414" spans="1:8" hidden="1" x14ac:dyDescent="0.3">
      <c r="A414">
        <f>_xlfn.XLOOKUP(J414,'Checking(ZSERIALS)'!G:G,'Checking(ZSERIALS)'!C:C)</f>
        <v>0</v>
      </c>
      <c r="B414" s="35" t="str">
        <f>IF(J414="","",IF(COUNTIFS('Checking(ZSERIALS)'!J:J,MLR!G414,'Checking(ZSERIALS)'!G:G,MLR!J414)=1,"Correct",IF(COUNTIFS('Checking(ZSERIALS)'!J:J,MLR!G414,'Checking(ZSERIALS)'!G:G,MLR!J414)=0,"Incorrect","Err.")))</f>
        <v/>
      </c>
      <c r="C414" s="63">
        <f>_xlfn.XLOOKUP(J414,'Checking(ZSERIALS)'!G:G,'Checking(ZSERIALS)'!F:F)</f>
        <v>0</v>
      </c>
      <c r="G414" s="32"/>
      <c r="H414"/>
    </row>
    <row r="415" spans="1:8" hidden="1" x14ac:dyDescent="0.3">
      <c r="A415">
        <f>_xlfn.XLOOKUP(J415,'Checking(ZSERIALS)'!G:G,'Checking(ZSERIALS)'!C:C)</f>
        <v>0</v>
      </c>
      <c r="B415" s="35" t="str">
        <f>IF(J415="","",IF(COUNTIFS('Checking(ZSERIALS)'!J:J,MLR!G415,'Checking(ZSERIALS)'!G:G,MLR!J415)=1,"Correct",IF(COUNTIFS('Checking(ZSERIALS)'!J:J,MLR!G415,'Checking(ZSERIALS)'!G:G,MLR!J415)=0,"Incorrect","Err.")))</f>
        <v/>
      </c>
      <c r="C415" s="63">
        <f>_xlfn.XLOOKUP(J415,'Checking(ZSERIALS)'!G:G,'Checking(ZSERIALS)'!F:F)</f>
        <v>0</v>
      </c>
    </row>
    <row r="416" spans="1:8" hidden="1" x14ac:dyDescent="0.3">
      <c r="A416">
        <f>_xlfn.XLOOKUP(J416,'Checking(ZSERIALS)'!G:G,'Checking(ZSERIALS)'!C:C)</f>
        <v>0</v>
      </c>
      <c r="B416" s="35" t="str">
        <f>IF(J416="","",IF(COUNTIFS('Checking(ZSERIALS)'!J:J,MLR!G416,'Checking(ZSERIALS)'!G:G,MLR!J416)=1,"Correct",IF(COUNTIFS('Checking(ZSERIALS)'!J:J,MLR!G416,'Checking(ZSERIALS)'!G:G,MLR!J416)=0,"Incorrect","Err.")))</f>
        <v/>
      </c>
      <c r="C416" s="63">
        <f>_xlfn.XLOOKUP(J416,'Checking(ZSERIALS)'!G:G,'Checking(ZSERIALS)'!F:F)</f>
        <v>0</v>
      </c>
      <c r="G416" s="32"/>
      <c r="H416"/>
    </row>
    <row r="417" spans="1:3" hidden="1" x14ac:dyDescent="0.3">
      <c r="A417">
        <f>_xlfn.XLOOKUP(J417,'Checking(ZSERIALS)'!G:G,'Checking(ZSERIALS)'!C:C)</f>
        <v>0</v>
      </c>
      <c r="B417" s="35" t="str">
        <f>IF(J417="","",IF(COUNTIFS('Checking(ZSERIALS)'!J:J,MLR!G417,'Checking(ZSERIALS)'!G:G,MLR!J417)=1,"Correct",IF(COUNTIFS('Checking(ZSERIALS)'!J:J,MLR!G417,'Checking(ZSERIALS)'!G:G,MLR!J417)=0,"Incorrect","Err.")))</f>
        <v/>
      </c>
      <c r="C417" s="63">
        <f>_xlfn.XLOOKUP(J417,'Checking(ZSERIALS)'!G:G,'Checking(ZSERIALS)'!F:F)</f>
        <v>0</v>
      </c>
    </row>
    <row r="418" spans="1:3" hidden="1" x14ac:dyDescent="0.3">
      <c r="A418">
        <f>_xlfn.XLOOKUP(J418,'Checking(ZSERIALS)'!G:G,'Checking(ZSERIALS)'!C:C)</f>
        <v>0</v>
      </c>
      <c r="B418" s="35" t="str">
        <f>IF(J418="","",IF(COUNTIFS('Checking(ZSERIALS)'!J:J,MLR!G418,'Checking(ZSERIALS)'!G:G,MLR!J418)=1,"Correct",IF(COUNTIFS('Checking(ZSERIALS)'!J:J,MLR!G418,'Checking(ZSERIALS)'!G:G,MLR!J418)=0,"Incorrect","Err.")))</f>
        <v/>
      </c>
      <c r="C418" s="63">
        <f>_xlfn.XLOOKUP(J418,'Checking(ZSERIALS)'!G:G,'Checking(ZSERIALS)'!F:F)</f>
        <v>0</v>
      </c>
    </row>
    <row r="419" spans="1:3" hidden="1" x14ac:dyDescent="0.3">
      <c r="A419">
        <f>_xlfn.XLOOKUP(J419,'Checking(ZSERIALS)'!G:G,'Checking(ZSERIALS)'!C:C)</f>
        <v>0</v>
      </c>
      <c r="B419" s="35" t="str">
        <f>IF(J419="","",IF(COUNTIFS('Checking(ZSERIALS)'!J:J,MLR!G419,'Checking(ZSERIALS)'!G:G,MLR!J419)=1,"Correct",IF(COUNTIFS('Checking(ZSERIALS)'!J:J,MLR!G419,'Checking(ZSERIALS)'!G:G,MLR!J419)=0,"Incorrect","Err.")))</f>
        <v/>
      </c>
      <c r="C419" s="63">
        <f>_xlfn.XLOOKUP(J419,'Checking(ZSERIALS)'!G:G,'Checking(ZSERIALS)'!F:F)</f>
        <v>0</v>
      </c>
    </row>
    <row r="420" spans="1:3" hidden="1" x14ac:dyDescent="0.3">
      <c r="A420">
        <f>_xlfn.XLOOKUP(J420,'Checking(ZSERIALS)'!G:G,'Checking(ZSERIALS)'!C:C)</f>
        <v>0</v>
      </c>
      <c r="B420" s="35" t="str">
        <f>IF(J420="","",IF(COUNTIFS('Checking(ZSERIALS)'!J:J,MLR!G420,'Checking(ZSERIALS)'!G:G,MLR!J420)=1,"Correct",IF(COUNTIFS('Checking(ZSERIALS)'!J:J,MLR!G420,'Checking(ZSERIALS)'!G:G,MLR!J420)=0,"Incorrect","Err.")))</f>
        <v/>
      </c>
      <c r="C420" s="63">
        <f>_xlfn.XLOOKUP(J420,'Checking(ZSERIALS)'!G:G,'Checking(ZSERIALS)'!F:F)</f>
        <v>0</v>
      </c>
    </row>
    <row r="421" spans="1:3" hidden="1" x14ac:dyDescent="0.3">
      <c r="A421">
        <f>_xlfn.XLOOKUP(J421,'Checking(ZSERIALS)'!G:G,'Checking(ZSERIALS)'!C:C)</f>
        <v>0</v>
      </c>
      <c r="B421" s="35" t="str">
        <f>IF(J421="","",IF(COUNTIFS('Checking(ZSERIALS)'!J:J,MLR!G421,'Checking(ZSERIALS)'!G:G,MLR!J421)=1,"Correct",IF(COUNTIFS('Checking(ZSERIALS)'!J:J,MLR!G421,'Checking(ZSERIALS)'!G:G,MLR!J421)=0,"Incorrect","Err.")))</f>
        <v/>
      </c>
      <c r="C421" s="63">
        <f>_xlfn.XLOOKUP(J421,'Checking(ZSERIALS)'!G:G,'Checking(ZSERIALS)'!F:F)</f>
        <v>0</v>
      </c>
    </row>
    <row r="422" spans="1:3" hidden="1" x14ac:dyDescent="0.3">
      <c r="A422">
        <f>_xlfn.XLOOKUP(J422,'Checking(ZSERIALS)'!G:G,'Checking(ZSERIALS)'!C:C)</f>
        <v>0</v>
      </c>
      <c r="B422" s="35" t="str">
        <f>IF(J422="","",IF(COUNTIFS('Checking(ZSERIALS)'!J:J,MLR!G422,'Checking(ZSERIALS)'!G:G,MLR!J422)=1,"Correct",IF(COUNTIFS('Checking(ZSERIALS)'!J:J,MLR!G422,'Checking(ZSERIALS)'!G:G,MLR!J422)=0,"Incorrect","Err.")))</f>
        <v/>
      </c>
      <c r="C422" s="63">
        <f>_xlfn.XLOOKUP(J422,'Checking(ZSERIALS)'!G:G,'Checking(ZSERIALS)'!F:F)</f>
        <v>0</v>
      </c>
    </row>
    <row r="423" spans="1:3" hidden="1" x14ac:dyDescent="0.3">
      <c r="A423">
        <f>_xlfn.XLOOKUP(J423,'Checking(ZSERIALS)'!G:G,'Checking(ZSERIALS)'!C:C)</f>
        <v>0</v>
      </c>
      <c r="B423" s="35" t="str">
        <f>IF(J423="","",IF(COUNTIFS('Checking(ZSERIALS)'!J:J,MLR!G423,'Checking(ZSERIALS)'!G:G,MLR!J423)=1,"Correct",IF(COUNTIFS('Checking(ZSERIALS)'!J:J,MLR!G423,'Checking(ZSERIALS)'!G:G,MLR!J423)=0,"Incorrect","Err.")))</f>
        <v/>
      </c>
      <c r="C423" s="63">
        <f>_xlfn.XLOOKUP(J423,'Checking(ZSERIALS)'!G:G,'Checking(ZSERIALS)'!F:F)</f>
        <v>0</v>
      </c>
    </row>
    <row r="424" spans="1:3" hidden="1" x14ac:dyDescent="0.3">
      <c r="A424">
        <f>_xlfn.XLOOKUP(J424,'Checking(ZSERIALS)'!G:G,'Checking(ZSERIALS)'!C:C)</f>
        <v>0</v>
      </c>
      <c r="B424" s="35" t="str">
        <f>IF(J424="","",IF(COUNTIFS('Checking(ZSERIALS)'!J:J,MLR!G424,'Checking(ZSERIALS)'!G:G,MLR!J424)=1,"Correct",IF(COUNTIFS('Checking(ZSERIALS)'!J:J,MLR!G424,'Checking(ZSERIALS)'!G:G,MLR!J424)=0,"Incorrect","Err.")))</f>
        <v/>
      </c>
      <c r="C424" s="63">
        <f>_xlfn.XLOOKUP(J424,'Checking(ZSERIALS)'!G:G,'Checking(ZSERIALS)'!F:F)</f>
        <v>0</v>
      </c>
    </row>
    <row r="425" spans="1:3" hidden="1" x14ac:dyDescent="0.3">
      <c r="A425">
        <f>_xlfn.XLOOKUP(J425,'Checking(ZSERIALS)'!G:G,'Checking(ZSERIALS)'!C:C)</f>
        <v>0</v>
      </c>
      <c r="B425" s="35" t="str">
        <f>IF(J425="","",IF(COUNTIFS('Checking(ZSERIALS)'!J:J,MLR!G425,'Checking(ZSERIALS)'!G:G,MLR!J425)=1,"Correct",IF(COUNTIFS('Checking(ZSERIALS)'!J:J,MLR!G425,'Checking(ZSERIALS)'!G:G,MLR!J425)=0,"Incorrect","Err.")))</f>
        <v/>
      </c>
      <c r="C425" s="63">
        <f>_xlfn.XLOOKUP(J425,'Checking(ZSERIALS)'!G:G,'Checking(ZSERIALS)'!F:F)</f>
        <v>0</v>
      </c>
    </row>
    <row r="426" spans="1:3" hidden="1" x14ac:dyDescent="0.3">
      <c r="A426">
        <f>_xlfn.XLOOKUP(J426,'Checking(ZSERIALS)'!G:G,'Checking(ZSERIALS)'!C:C)</f>
        <v>0</v>
      </c>
      <c r="B426" s="35" t="str">
        <f>IF(J426="","",IF(COUNTIFS('Checking(ZSERIALS)'!J:J,MLR!G426,'Checking(ZSERIALS)'!G:G,MLR!J426)=1,"Correct",IF(COUNTIFS('Checking(ZSERIALS)'!J:J,MLR!G426,'Checking(ZSERIALS)'!G:G,MLR!J426)=0,"Incorrect","Err.")))</f>
        <v/>
      </c>
      <c r="C426" s="63">
        <f>_xlfn.XLOOKUP(J426,'Checking(ZSERIALS)'!G:G,'Checking(ZSERIALS)'!F:F)</f>
        <v>0</v>
      </c>
    </row>
    <row r="427" spans="1:3" hidden="1" x14ac:dyDescent="0.3">
      <c r="A427">
        <f>_xlfn.XLOOKUP(J427,'Checking(ZSERIALS)'!G:G,'Checking(ZSERIALS)'!C:C)</f>
        <v>0</v>
      </c>
      <c r="B427" s="35" t="str">
        <f>IF(J427="","",IF(COUNTIFS('Checking(ZSERIALS)'!J:J,MLR!G427,'Checking(ZSERIALS)'!G:G,MLR!J427)=1,"Correct",IF(COUNTIFS('Checking(ZSERIALS)'!J:J,MLR!G427,'Checking(ZSERIALS)'!G:G,MLR!J427)=0,"Incorrect","Err.")))</f>
        <v/>
      </c>
      <c r="C427" s="63">
        <f>_xlfn.XLOOKUP(J427,'Checking(ZSERIALS)'!G:G,'Checking(ZSERIALS)'!F:F)</f>
        <v>0</v>
      </c>
    </row>
    <row r="428" spans="1:3" hidden="1" x14ac:dyDescent="0.3">
      <c r="A428">
        <f>_xlfn.XLOOKUP(J428,'Checking(ZSERIALS)'!G:G,'Checking(ZSERIALS)'!C:C)</f>
        <v>0</v>
      </c>
      <c r="B428" s="35" t="str">
        <f>IF(J428="","",IF(COUNTIFS('Checking(ZSERIALS)'!J:J,MLR!G428,'Checking(ZSERIALS)'!G:G,MLR!J428)=1,"Correct",IF(COUNTIFS('Checking(ZSERIALS)'!J:J,MLR!G428,'Checking(ZSERIALS)'!G:G,MLR!J428)=0,"Incorrect","Err.")))</f>
        <v/>
      </c>
      <c r="C428" s="63">
        <f>_xlfn.XLOOKUP(J428,'Checking(ZSERIALS)'!G:G,'Checking(ZSERIALS)'!F:F)</f>
        <v>0</v>
      </c>
    </row>
    <row r="429" spans="1:3" hidden="1" x14ac:dyDescent="0.3">
      <c r="A429">
        <f>_xlfn.XLOOKUP(J429,'Checking(ZSERIALS)'!G:G,'Checking(ZSERIALS)'!C:C)</f>
        <v>0</v>
      </c>
      <c r="B429" s="35" t="str">
        <f>IF(J429="","",IF(COUNTIFS('Checking(ZSERIALS)'!J:J,MLR!G429,'Checking(ZSERIALS)'!G:G,MLR!J429)=1,"Correct",IF(COUNTIFS('Checking(ZSERIALS)'!J:J,MLR!G429,'Checking(ZSERIALS)'!G:G,MLR!J429)=0,"Incorrect","Err.")))</f>
        <v/>
      </c>
      <c r="C429" s="63">
        <f>_xlfn.XLOOKUP(J429,'Checking(ZSERIALS)'!G:G,'Checking(ZSERIALS)'!F:F)</f>
        <v>0</v>
      </c>
    </row>
    <row r="430" spans="1:3" hidden="1" x14ac:dyDescent="0.3">
      <c r="A430">
        <f>_xlfn.XLOOKUP(J430,'Checking(ZSERIALS)'!G:G,'Checking(ZSERIALS)'!C:C)</f>
        <v>0</v>
      </c>
      <c r="B430" s="35" t="str">
        <f>IF(J430="","",IF(COUNTIFS('Checking(ZSERIALS)'!J:J,MLR!G430,'Checking(ZSERIALS)'!G:G,MLR!J430)=1,"Correct",IF(COUNTIFS('Checking(ZSERIALS)'!J:J,MLR!G430,'Checking(ZSERIALS)'!G:G,MLR!J430)=0,"Incorrect","Err.")))</f>
        <v/>
      </c>
      <c r="C430" s="63">
        <f>_xlfn.XLOOKUP(J430,'Checking(ZSERIALS)'!G:G,'Checking(ZSERIALS)'!F:F)</f>
        <v>0</v>
      </c>
    </row>
    <row r="431" spans="1:3" hidden="1" x14ac:dyDescent="0.3">
      <c r="A431">
        <f>_xlfn.XLOOKUP(J431,'Checking(ZSERIALS)'!G:G,'Checking(ZSERIALS)'!C:C)</f>
        <v>0</v>
      </c>
      <c r="B431" s="35" t="str">
        <f>IF(J431="","",IF(COUNTIFS('Checking(ZSERIALS)'!J:J,MLR!G431,'Checking(ZSERIALS)'!G:G,MLR!J431)=1,"Correct",IF(COUNTIFS('Checking(ZSERIALS)'!J:J,MLR!G431,'Checking(ZSERIALS)'!G:G,MLR!J431)=0,"Incorrect","Err.")))</f>
        <v/>
      </c>
      <c r="C431" s="63">
        <f>_xlfn.XLOOKUP(J431,'Checking(ZSERIALS)'!G:G,'Checking(ZSERIALS)'!F:F)</f>
        <v>0</v>
      </c>
    </row>
    <row r="432" spans="1:3" hidden="1" x14ac:dyDescent="0.3">
      <c r="A432">
        <f>_xlfn.XLOOKUP(J432,'Checking(ZSERIALS)'!G:G,'Checking(ZSERIALS)'!C:C)</f>
        <v>0</v>
      </c>
      <c r="B432" s="35" t="str">
        <f>IF(J432="","",IF(COUNTIFS('Checking(ZSERIALS)'!J:J,MLR!G432,'Checking(ZSERIALS)'!G:G,MLR!J432)=1,"Correct",IF(COUNTIFS('Checking(ZSERIALS)'!J:J,MLR!G432,'Checking(ZSERIALS)'!G:G,MLR!J432)=0,"Incorrect","Err.")))</f>
        <v/>
      </c>
      <c r="C432" s="63">
        <f>_xlfn.XLOOKUP(J432,'Checking(ZSERIALS)'!G:G,'Checking(ZSERIALS)'!F:F)</f>
        <v>0</v>
      </c>
    </row>
    <row r="433" spans="1:3" hidden="1" x14ac:dyDescent="0.3">
      <c r="A433">
        <f>_xlfn.XLOOKUP(J433,'Checking(ZSERIALS)'!G:G,'Checking(ZSERIALS)'!C:C)</f>
        <v>0</v>
      </c>
      <c r="B433" s="35" t="str">
        <f>IF(J433="","",IF(COUNTIFS('Checking(ZSERIALS)'!J:J,MLR!G433,'Checking(ZSERIALS)'!G:G,MLR!J433)=1,"Correct",IF(COUNTIFS('Checking(ZSERIALS)'!J:J,MLR!G433,'Checking(ZSERIALS)'!G:G,MLR!J433)=0,"Incorrect","Err.")))</f>
        <v/>
      </c>
      <c r="C433" s="63">
        <f>_xlfn.XLOOKUP(J433,'Checking(ZSERIALS)'!G:G,'Checking(ZSERIALS)'!F:F)</f>
        <v>0</v>
      </c>
    </row>
    <row r="434" spans="1:3" hidden="1" x14ac:dyDescent="0.3">
      <c r="A434">
        <f>_xlfn.XLOOKUP(J434,'Checking(ZSERIALS)'!G:G,'Checking(ZSERIALS)'!C:C)</f>
        <v>0</v>
      </c>
      <c r="B434" s="35" t="str">
        <f>IF(J434="","",IF(COUNTIFS('Checking(ZSERIALS)'!J:J,MLR!G434,'Checking(ZSERIALS)'!G:G,MLR!J434)=1,"Correct",IF(COUNTIFS('Checking(ZSERIALS)'!J:J,MLR!G434,'Checking(ZSERIALS)'!G:G,MLR!J434)=0,"Incorrect","Err.")))</f>
        <v/>
      </c>
      <c r="C434" s="63">
        <f>_xlfn.XLOOKUP(J434,'Checking(ZSERIALS)'!G:G,'Checking(ZSERIALS)'!F:F)</f>
        <v>0</v>
      </c>
    </row>
    <row r="435" spans="1:3" hidden="1" x14ac:dyDescent="0.3">
      <c r="A435">
        <f>_xlfn.XLOOKUP(J435,'Checking(ZSERIALS)'!G:G,'Checking(ZSERIALS)'!C:C)</f>
        <v>0</v>
      </c>
      <c r="B435" s="35" t="str">
        <f>IF(J435="","",IF(COUNTIFS('Checking(ZSERIALS)'!J:J,MLR!G435,'Checking(ZSERIALS)'!G:G,MLR!J435)=1,"Correct",IF(COUNTIFS('Checking(ZSERIALS)'!J:J,MLR!G435,'Checking(ZSERIALS)'!G:G,MLR!J435)=0,"Incorrect","Err.")))</f>
        <v/>
      </c>
      <c r="C435" s="63">
        <f>_xlfn.XLOOKUP(J435,'Checking(ZSERIALS)'!G:G,'Checking(ZSERIALS)'!F:F)</f>
        <v>0</v>
      </c>
    </row>
    <row r="436" spans="1:3" hidden="1" x14ac:dyDescent="0.3">
      <c r="A436">
        <f>_xlfn.XLOOKUP(J436,'Checking(ZSERIALS)'!G:G,'Checking(ZSERIALS)'!C:C)</f>
        <v>0</v>
      </c>
      <c r="B436" s="35" t="str">
        <f>IF(J436="","",IF(COUNTIFS('Checking(ZSERIALS)'!J:J,MLR!G436,'Checking(ZSERIALS)'!G:G,MLR!J436)=1,"Correct",IF(COUNTIFS('Checking(ZSERIALS)'!J:J,MLR!G436,'Checking(ZSERIALS)'!G:G,MLR!J436)=0,"Incorrect","Err.")))</f>
        <v/>
      </c>
      <c r="C436" s="63">
        <f>_xlfn.XLOOKUP(J436,'Checking(ZSERIALS)'!G:G,'Checking(ZSERIALS)'!F:F)</f>
        <v>0</v>
      </c>
    </row>
    <row r="437" spans="1:3" hidden="1" x14ac:dyDescent="0.3">
      <c r="A437">
        <f>_xlfn.XLOOKUP(J437,'Checking(ZSERIALS)'!G:G,'Checking(ZSERIALS)'!C:C)</f>
        <v>0</v>
      </c>
      <c r="B437" s="35" t="str">
        <f>IF(J437="","",IF(COUNTIFS('Checking(ZSERIALS)'!J:J,MLR!G437,'Checking(ZSERIALS)'!G:G,MLR!J437)=1,"Correct",IF(COUNTIFS('Checking(ZSERIALS)'!J:J,MLR!G437,'Checking(ZSERIALS)'!G:G,MLR!J437)=0,"Incorrect","Err.")))</f>
        <v/>
      </c>
      <c r="C437" s="63">
        <f>_xlfn.XLOOKUP(J437,'Checking(ZSERIALS)'!G:G,'Checking(ZSERIALS)'!F:F)</f>
        <v>0</v>
      </c>
    </row>
    <row r="438" spans="1:3" hidden="1" x14ac:dyDescent="0.3">
      <c r="A438">
        <f>_xlfn.XLOOKUP(J438,'Checking(ZSERIALS)'!G:G,'Checking(ZSERIALS)'!C:C)</f>
        <v>0</v>
      </c>
      <c r="B438" s="35" t="str">
        <f>IF(J438="","",IF(COUNTIFS('Checking(ZSERIALS)'!J:J,MLR!G438,'Checking(ZSERIALS)'!G:G,MLR!J438)=1,"Correct",IF(COUNTIFS('Checking(ZSERIALS)'!J:J,MLR!G438,'Checking(ZSERIALS)'!G:G,MLR!J438)=0,"Incorrect","Err.")))</f>
        <v/>
      </c>
      <c r="C438" s="63">
        <f>_xlfn.XLOOKUP(J438,'Checking(ZSERIALS)'!G:G,'Checking(ZSERIALS)'!F:F)</f>
        <v>0</v>
      </c>
    </row>
    <row r="439" spans="1:3" hidden="1" x14ac:dyDescent="0.3">
      <c r="A439">
        <f>_xlfn.XLOOKUP(J439,'Checking(ZSERIALS)'!G:G,'Checking(ZSERIALS)'!C:C)</f>
        <v>0</v>
      </c>
      <c r="B439" s="35" t="str">
        <f>IF(J439="","",IF(COUNTIFS('Checking(ZSERIALS)'!J:J,MLR!G439,'Checking(ZSERIALS)'!G:G,MLR!J439)=1,"Correct",IF(COUNTIFS('Checking(ZSERIALS)'!J:J,MLR!G439,'Checking(ZSERIALS)'!G:G,MLR!J439)=0,"Incorrect","Err.")))</f>
        <v/>
      </c>
      <c r="C439" s="63">
        <f>_xlfn.XLOOKUP(J439,'Checking(ZSERIALS)'!G:G,'Checking(ZSERIALS)'!F:F)</f>
        <v>0</v>
      </c>
    </row>
    <row r="440" spans="1:3" hidden="1" x14ac:dyDescent="0.3">
      <c r="A440">
        <f>_xlfn.XLOOKUP(J440,'Checking(ZSERIALS)'!G:G,'Checking(ZSERIALS)'!C:C)</f>
        <v>0</v>
      </c>
      <c r="B440" s="35" t="str">
        <f>IF(J440="","",IF(COUNTIFS('Checking(ZSERIALS)'!J:J,MLR!G440,'Checking(ZSERIALS)'!G:G,MLR!J440)=1,"Correct",IF(COUNTIFS('Checking(ZSERIALS)'!J:J,MLR!G440,'Checking(ZSERIALS)'!G:G,MLR!J440)=0,"Incorrect","Err.")))</f>
        <v/>
      </c>
      <c r="C440" s="63">
        <f>_xlfn.XLOOKUP(J440,'Checking(ZSERIALS)'!G:G,'Checking(ZSERIALS)'!F:F)</f>
        <v>0</v>
      </c>
    </row>
    <row r="441" spans="1:3" hidden="1" x14ac:dyDescent="0.3">
      <c r="A441">
        <f>_xlfn.XLOOKUP(J441,'Checking(ZSERIALS)'!G:G,'Checking(ZSERIALS)'!C:C)</f>
        <v>0</v>
      </c>
      <c r="B441" s="35" t="str">
        <f>IF(J441="","",IF(COUNTIFS('Checking(ZSERIALS)'!J:J,MLR!G441,'Checking(ZSERIALS)'!G:G,MLR!J441)=1,"Correct",IF(COUNTIFS('Checking(ZSERIALS)'!J:J,MLR!G441,'Checking(ZSERIALS)'!G:G,MLR!J441)=0,"Incorrect","Err.")))</f>
        <v/>
      </c>
      <c r="C441" s="63">
        <f>_xlfn.XLOOKUP(J441,'Checking(ZSERIALS)'!G:G,'Checking(ZSERIALS)'!F:F)</f>
        <v>0</v>
      </c>
    </row>
    <row r="442" spans="1:3" hidden="1" x14ac:dyDescent="0.3">
      <c r="A442">
        <f>_xlfn.XLOOKUP(J442,'Checking(ZSERIALS)'!G:G,'Checking(ZSERIALS)'!C:C)</f>
        <v>0</v>
      </c>
      <c r="B442" s="35" t="str">
        <f>IF(J442="","",IF(COUNTIFS('Checking(ZSERIALS)'!J:J,MLR!G442,'Checking(ZSERIALS)'!G:G,MLR!J442)=1,"Correct",IF(COUNTIFS('Checking(ZSERIALS)'!J:J,MLR!G442,'Checking(ZSERIALS)'!G:G,MLR!J442)=0,"Incorrect","Err.")))</f>
        <v/>
      </c>
      <c r="C442" s="63">
        <f>_xlfn.XLOOKUP(J442,'Checking(ZSERIALS)'!G:G,'Checking(ZSERIALS)'!F:F)</f>
        <v>0</v>
      </c>
    </row>
    <row r="443" spans="1:3" hidden="1" x14ac:dyDescent="0.3">
      <c r="A443">
        <f>_xlfn.XLOOKUP(J443,'Checking(ZSERIALS)'!G:G,'Checking(ZSERIALS)'!C:C)</f>
        <v>0</v>
      </c>
      <c r="B443" s="35" t="str">
        <f>IF(J443="","",IF(COUNTIFS('Checking(ZSERIALS)'!J:J,MLR!G443,'Checking(ZSERIALS)'!G:G,MLR!J443)=1,"Correct",IF(COUNTIFS('Checking(ZSERIALS)'!J:J,MLR!G443,'Checking(ZSERIALS)'!G:G,MLR!J443)=0,"Incorrect","Err.")))</f>
        <v/>
      </c>
      <c r="C443" s="63">
        <f>_xlfn.XLOOKUP(J443,'Checking(ZSERIALS)'!G:G,'Checking(ZSERIALS)'!F:F)</f>
        <v>0</v>
      </c>
    </row>
    <row r="444" spans="1:3" hidden="1" x14ac:dyDescent="0.3">
      <c r="A444">
        <f>_xlfn.XLOOKUP(J444,'Checking(ZSERIALS)'!G:G,'Checking(ZSERIALS)'!C:C)</f>
        <v>0</v>
      </c>
      <c r="B444" s="35" t="str">
        <f>IF(J444="","",IF(COUNTIFS('Checking(ZSERIALS)'!J:J,MLR!G444,'Checking(ZSERIALS)'!G:G,MLR!J444)=1,"Correct",IF(COUNTIFS('Checking(ZSERIALS)'!J:J,MLR!G444,'Checking(ZSERIALS)'!G:G,MLR!J444)=0,"Incorrect","Err.")))</f>
        <v/>
      </c>
      <c r="C444" s="63">
        <f>_xlfn.XLOOKUP(J444,'Checking(ZSERIALS)'!G:G,'Checking(ZSERIALS)'!F:F)</f>
        <v>0</v>
      </c>
    </row>
    <row r="445" spans="1:3" hidden="1" x14ac:dyDescent="0.3">
      <c r="A445">
        <f>_xlfn.XLOOKUP(J445,'Checking(ZSERIALS)'!G:G,'Checking(ZSERIALS)'!C:C)</f>
        <v>0</v>
      </c>
      <c r="B445" s="35" t="str">
        <f>IF(J445="","",IF(COUNTIFS('Checking(ZSERIALS)'!J:J,MLR!G445,'Checking(ZSERIALS)'!G:G,MLR!J445)=1,"Correct",IF(COUNTIFS('Checking(ZSERIALS)'!J:J,MLR!G445,'Checking(ZSERIALS)'!G:G,MLR!J445)=0,"Incorrect","Err.")))</f>
        <v/>
      </c>
      <c r="C445" s="63">
        <f>_xlfn.XLOOKUP(J445,'Checking(ZSERIALS)'!G:G,'Checking(ZSERIALS)'!F:F)</f>
        <v>0</v>
      </c>
    </row>
    <row r="446" spans="1:3" hidden="1" x14ac:dyDescent="0.3">
      <c r="A446">
        <f>_xlfn.XLOOKUP(J446,'Checking(ZSERIALS)'!G:G,'Checking(ZSERIALS)'!C:C)</f>
        <v>0</v>
      </c>
      <c r="B446" s="35" t="str">
        <f>IF(J446="","",IF(COUNTIFS('Checking(ZSERIALS)'!J:J,MLR!G446,'Checking(ZSERIALS)'!G:G,MLR!J446)=1,"Correct",IF(COUNTIFS('Checking(ZSERIALS)'!J:J,MLR!G446,'Checking(ZSERIALS)'!G:G,MLR!J446)=0,"Incorrect","Err.")))</f>
        <v/>
      </c>
      <c r="C446" s="63">
        <f>_xlfn.XLOOKUP(J446,'Checking(ZSERIALS)'!G:G,'Checking(ZSERIALS)'!F:F)</f>
        <v>0</v>
      </c>
    </row>
    <row r="447" spans="1:3" hidden="1" x14ac:dyDescent="0.3">
      <c r="A447">
        <f>_xlfn.XLOOKUP(J447,'Checking(ZSERIALS)'!G:G,'Checking(ZSERIALS)'!C:C)</f>
        <v>0</v>
      </c>
      <c r="B447" s="35" t="str">
        <f>IF(J447="","",IF(COUNTIFS('Checking(ZSERIALS)'!J:J,MLR!G447,'Checking(ZSERIALS)'!G:G,MLR!J447)=1,"Correct",IF(COUNTIFS('Checking(ZSERIALS)'!J:J,MLR!G447,'Checking(ZSERIALS)'!G:G,MLR!J447)=0,"Incorrect","Err.")))</f>
        <v/>
      </c>
      <c r="C447" s="63">
        <f>_xlfn.XLOOKUP(J447,'Checking(ZSERIALS)'!G:G,'Checking(ZSERIALS)'!F:F)</f>
        <v>0</v>
      </c>
    </row>
    <row r="448" spans="1:3" hidden="1" x14ac:dyDescent="0.3">
      <c r="A448">
        <f>_xlfn.XLOOKUP(J448,'Checking(ZSERIALS)'!G:G,'Checking(ZSERIALS)'!C:C)</f>
        <v>0</v>
      </c>
      <c r="B448" s="35" t="str">
        <f>IF(J448="","",IF(COUNTIFS('Checking(ZSERIALS)'!J:J,MLR!G448,'Checking(ZSERIALS)'!G:G,MLR!J448)=1,"Correct",IF(COUNTIFS('Checking(ZSERIALS)'!J:J,MLR!G448,'Checking(ZSERIALS)'!G:G,MLR!J448)=0,"Incorrect","Err.")))</f>
        <v/>
      </c>
      <c r="C448" s="63">
        <f>_xlfn.XLOOKUP(J448,'Checking(ZSERIALS)'!G:G,'Checking(ZSERIALS)'!F:F)</f>
        <v>0</v>
      </c>
    </row>
    <row r="449" spans="1:3" hidden="1" x14ac:dyDescent="0.3">
      <c r="A449">
        <f>_xlfn.XLOOKUP(J449,'Checking(ZSERIALS)'!G:G,'Checking(ZSERIALS)'!C:C)</f>
        <v>0</v>
      </c>
      <c r="B449" s="35" t="str">
        <f>IF(J449="","",IF(COUNTIFS('Checking(ZSERIALS)'!J:J,MLR!G449,'Checking(ZSERIALS)'!G:G,MLR!J449)=1,"Correct",IF(COUNTIFS('Checking(ZSERIALS)'!J:J,MLR!G449,'Checking(ZSERIALS)'!G:G,MLR!J449)=0,"Incorrect","Err.")))</f>
        <v/>
      </c>
      <c r="C449" s="63">
        <f>_xlfn.XLOOKUP(J449,'Checking(ZSERIALS)'!G:G,'Checking(ZSERIALS)'!F:F)</f>
        <v>0</v>
      </c>
    </row>
    <row r="450" spans="1:3" hidden="1" x14ac:dyDescent="0.3">
      <c r="A450">
        <f>_xlfn.XLOOKUP(J450,'Checking(ZSERIALS)'!G:G,'Checking(ZSERIALS)'!C:C)</f>
        <v>0</v>
      </c>
      <c r="B450" s="35" t="str">
        <f>IF(J450="","",IF(COUNTIFS('Checking(ZSERIALS)'!J:J,MLR!G450,'Checking(ZSERIALS)'!G:G,MLR!J450)=1,"Correct",IF(COUNTIFS('Checking(ZSERIALS)'!J:J,MLR!G450,'Checking(ZSERIALS)'!G:G,MLR!J450)=0,"Incorrect","Err.")))</f>
        <v/>
      </c>
      <c r="C450" s="63">
        <f>_xlfn.XLOOKUP(J450,'Checking(ZSERIALS)'!G:G,'Checking(ZSERIALS)'!F:F)</f>
        <v>0</v>
      </c>
    </row>
    <row r="451" spans="1:3" hidden="1" x14ac:dyDescent="0.3">
      <c r="A451">
        <f>_xlfn.XLOOKUP(J451,'Checking(ZSERIALS)'!G:G,'Checking(ZSERIALS)'!C:C)</f>
        <v>0</v>
      </c>
      <c r="B451" s="35" t="str">
        <f>IF(J451="","",IF(COUNTIFS('Checking(ZSERIALS)'!J:J,MLR!G451,'Checking(ZSERIALS)'!G:G,MLR!J451)=1,"Correct",IF(COUNTIFS('Checking(ZSERIALS)'!J:J,MLR!G451,'Checking(ZSERIALS)'!G:G,MLR!J451)=0,"Incorrect","Err.")))</f>
        <v/>
      </c>
      <c r="C451" s="63">
        <f>_xlfn.XLOOKUP(J451,'Checking(ZSERIALS)'!G:G,'Checking(ZSERIALS)'!F:F)</f>
        <v>0</v>
      </c>
    </row>
    <row r="452" spans="1:3" hidden="1" x14ac:dyDescent="0.3">
      <c r="A452">
        <f>_xlfn.XLOOKUP(J452,'Checking(ZSERIALS)'!G:G,'Checking(ZSERIALS)'!C:C)</f>
        <v>0</v>
      </c>
      <c r="B452" s="35" t="str">
        <f>IF(J452="","",IF(COUNTIFS('Checking(ZSERIALS)'!J:J,MLR!G452,'Checking(ZSERIALS)'!G:G,MLR!J452)=1,"Correct",IF(COUNTIFS('Checking(ZSERIALS)'!J:J,MLR!G452,'Checking(ZSERIALS)'!G:G,MLR!J452)=0,"Incorrect","Err.")))</f>
        <v/>
      </c>
      <c r="C452" s="63">
        <f>_xlfn.XLOOKUP(J452,'Checking(ZSERIALS)'!G:G,'Checking(ZSERIALS)'!F:F)</f>
        <v>0</v>
      </c>
    </row>
    <row r="453" spans="1:3" hidden="1" x14ac:dyDescent="0.3">
      <c r="A453">
        <f>_xlfn.XLOOKUP(J453,'Checking(ZSERIALS)'!G:G,'Checking(ZSERIALS)'!C:C)</f>
        <v>0</v>
      </c>
      <c r="B453" s="35" t="str">
        <f>IF(J453="","",IF(COUNTIFS('Checking(ZSERIALS)'!J:J,MLR!G453,'Checking(ZSERIALS)'!G:G,MLR!J453)=1,"Correct",IF(COUNTIFS('Checking(ZSERIALS)'!J:J,MLR!G453,'Checking(ZSERIALS)'!G:G,MLR!J453)=0,"Incorrect","Err.")))</f>
        <v/>
      </c>
      <c r="C453" s="63">
        <f>_xlfn.XLOOKUP(J453,'Checking(ZSERIALS)'!G:G,'Checking(ZSERIALS)'!F:F)</f>
        <v>0</v>
      </c>
    </row>
    <row r="454" spans="1:3" hidden="1" x14ac:dyDescent="0.3">
      <c r="A454">
        <f>_xlfn.XLOOKUP(J454,'Checking(ZSERIALS)'!G:G,'Checking(ZSERIALS)'!C:C)</f>
        <v>0</v>
      </c>
      <c r="B454" s="35" t="str">
        <f>IF(J454="","",IF(COUNTIFS('Checking(ZSERIALS)'!J:J,MLR!G454,'Checking(ZSERIALS)'!G:G,MLR!J454)=1,"Correct",IF(COUNTIFS('Checking(ZSERIALS)'!J:J,MLR!G454,'Checking(ZSERIALS)'!G:G,MLR!J454)=0,"Incorrect","Err.")))</f>
        <v/>
      </c>
      <c r="C454" s="63">
        <f>_xlfn.XLOOKUP(J454,'Checking(ZSERIALS)'!G:G,'Checking(ZSERIALS)'!F:F)</f>
        <v>0</v>
      </c>
    </row>
    <row r="455" spans="1:3" hidden="1" x14ac:dyDescent="0.3">
      <c r="A455">
        <f>_xlfn.XLOOKUP(J455,'Checking(ZSERIALS)'!G:G,'Checking(ZSERIALS)'!C:C)</f>
        <v>0</v>
      </c>
      <c r="B455" s="35" t="str">
        <f>IF(J455="","",IF(COUNTIFS('Checking(ZSERIALS)'!J:J,MLR!G455,'Checking(ZSERIALS)'!G:G,MLR!J455)=1,"Correct",IF(COUNTIFS('Checking(ZSERIALS)'!J:J,MLR!G455,'Checking(ZSERIALS)'!G:G,MLR!J455)=0,"Incorrect","Err.")))</f>
        <v/>
      </c>
      <c r="C455" s="63">
        <f>_xlfn.XLOOKUP(J455,'Checking(ZSERIALS)'!G:G,'Checking(ZSERIALS)'!F:F)</f>
        <v>0</v>
      </c>
    </row>
  </sheetData>
  <autoFilter ref="A3:AK455" xr:uid="{7B713D97-850D-4BF5-B33F-1AF47A925C29}">
    <filterColumn colId="1">
      <filters>
        <filter val="Incorrect"/>
      </filters>
    </filterColumn>
  </autoFilter>
  <mergeCells count="2">
    <mergeCell ref="A1:A2"/>
    <mergeCell ref="B1:B2"/>
  </mergeCells>
  <conditionalFormatting sqref="J1:J1048576">
    <cfRule type="duplicateValues" dxfId="2" priority="1"/>
    <cfRule type="duplicateValues" dxfId="1" priority="2"/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966A7-9752-42B5-B8FF-9A7DD8AAA0B3}">
  <sheetPr codeName="Sheet10">
    <tabColor rgb="FFC00000"/>
  </sheetPr>
  <dimension ref="A2:S16"/>
  <sheetViews>
    <sheetView tabSelected="1" workbookViewId="0">
      <selection activeCell="K14" sqref="K14"/>
    </sheetView>
  </sheetViews>
  <sheetFormatPr defaultRowHeight="14.4" x14ac:dyDescent="0.3"/>
  <cols>
    <col min="1" max="1" width="9.77734375" bestFit="1" customWidth="1"/>
    <col min="2" max="4" width="12.6640625" customWidth="1"/>
    <col min="7" max="7" width="16.44140625" customWidth="1"/>
    <col min="17" max="17" width="32.5546875" bestFit="1" customWidth="1"/>
    <col min="19" max="19" width="23" bestFit="1" customWidth="1"/>
  </cols>
  <sheetData>
    <row r="2" spans="1:19" x14ac:dyDescent="0.3">
      <c r="A2" s="205" t="str">
        <f>IF(B3=C3,"PASSED","INCORRECT")</f>
        <v>INCORRECT</v>
      </c>
      <c r="B2" s="205"/>
      <c r="C2" s="205"/>
      <c r="D2" s="205"/>
      <c r="F2" s="205" t="str">
        <f ca="1">IF(H3=9,"PASSED","INCORRECT")</f>
        <v>PASSED</v>
      </c>
      <c r="G2" s="205"/>
      <c r="H2" s="205"/>
      <c r="J2" s="215" t="str">
        <f>IF(COUNTIF(K3:O3,"TRUE")=5,"PASSED","INCORRECT")</f>
        <v>PASSED</v>
      </c>
      <c r="K2" s="215"/>
      <c r="L2" s="215"/>
      <c r="M2" s="215"/>
      <c r="N2" s="215"/>
      <c r="O2" s="215"/>
      <c r="Q2" s="187" t="str">
        <f>IF(Q3=0,"PASSED","INCORRECT")</f>
        <v>INCORRECT</v>
      </c>
      <c r="S2" s="187" t="str">
        <f>IF(S3=0,"PASSED","INCORRECT")</f>
        <v>PASSED</v>
      </c>
    </row>
    <row r="3" spans="1:19" ht="15" thickBot="1" x14ac:dyDescent="0.35">
      <c r="A3" t="s">
        <v>584</v>
      </c>
      <c r="B3">
        <f>COUNTA('Checking(ZSERIALS)'!K:K)-1</f>
        <v>103</v>
      </c>
      <c r="C3">
        <f>SUM(C5:C16)</f>
        <v>102</v>
      </c>
      <c r="H3">
        <f ca="1">COUNTIF(H5:H13,TRUE)</f>
        <v>9</v>
      </c>
      <c r="J3" t="s">
        <v>592</v>
      </c>
      <c r="K3" t="b">
        <f>K5=$J$5</f>
        <v>1</v>
      </c>
      <c r="L3" t="b">
        <f t="shared" ref="L3:O3" si="0">L5=$J$5</f>
        <v>1</v>
      </c>
      <c r="M3" t="b">
        <f t="shared" si="0"/>
        <v>1</v>
      </c>
      <c r="N3" t="b">
        <f t="shared" si="0"/>
        <v>1</v>
      </c>
      <c r="O3" t="b">
        <f t="shared" si="0"/>
        <v>1</v>
      </c>
      <c r="Q3">
        <f>SUM(Q5:Q9)</f>
        <v>1</v>
      </c>
      <c r="S3">
        <f>SUM(S5:S9)</f>
        <v>0</v>
      </c>
    </row>
    <row r="4" spans="1:19" x14ac:dyDescent="0.3">
      <c r="A4" s="213" t="s">
        <v>562</v>
      </c>
      <c r="B4" s="214"/>
      <c r="C4" s="188" t="s">
        <v>583</v>
      </c>
      <c r="D4" s="189"/>
      <c r="F4" s="193" t="s">
        <v>563</v>
      </c>
      <c r="G4" s="188" t="s">
        <v>564</v>
      </c>
      <c r="H4" s="189" t="s">
        <v>76</v>
      </c>
      <c r="J4" s="199" t="s">
        <v>588</v>
      </c>
      <c r="K4" s="200" t="s">
        <v>589</v>
      </c>
      <c r="L4" s="200" t="s">
        <v>590</v>
      </c>
      <c r="M4" s="200" t="s">
        <v>591</v>
      </c>
      <c r="N4" s="200" t="s">
        <v>94</v>
      </c>
      <c r="O4" s="201" t="s">
        <v>76</v>
      </c>
      <c r="Q4" s="196" t="s">
        <v>585</v>
      </c>
      <c r="S4" s="196" t="s">
        <v>586</v>
      </c>
    </row>
    <row r="5" spans="1:19" ht="15" thickBot="1" x14ac:dyDescent="0.35">
      <c r="A5" s="211" t="s">
        <v>54</v>
      </c>
      <c r="B5" s="212"/>
      <c r="C5">
        <f>COUNTIF('Checking(ZSERIALS)'!K:K,Checking!A5)</f>
        <v>102</v>
      </c>
      <c r="D5" s="190"/>
      <c r="F5" s="194" t="s">
        <v>565</v>
      </c>
      <c r="G5" t="s">
        <v>573</v>
      </c>
      <c r="H5" s="190" t="b">
        <f ca="1">MID(_xlfn.FORMULATEXT('Checking(ZSERIALS)'!$M$4),2,200)=$G$5</f>
        <v>1</v>
      </c>
      <c r="J5" s="202">
        <f>COUNTA('Checking(ZSERIALS)'!K:K)-1</f>
        <v>103</v>
      </c>
      <c r="K5" s="203">
        <f>COUNTA('Checking(ZSERIALS)'!Q:Q)-2</f>
        <v>103</v>
      </c>
      <c r="L5" s="203">
        <f>COUNTA('Checking(ZSERIALS)'!AA:AA)-2</f>
        <v>103</v>
      </c>
      <c r="M5" s="203">
        <f>COUNTA('Checking(ZSERIALS)'!AL:AL)-2</f>
        <v>103</v>
      </c>
      <c r="N5" s="203">
        <f>COUNTA('Checking(ZSERIALS)'!AV:AV)-2</f>
        <v>103</v>
      </c>
      <c r="O5" s="204">
        <f>COUNTA('Checking(ZSERIALS)'!BB:BB)-1</f>
        <v>103</v>
      </c>
      <c r="Q5" s="197">
        <f>COUNTIF(MLR!B:B,"Incorrect")</f>
        <v>1</v>
      </c>
      <c r="S5" s="197">
        <f>COUNTIFS(MLR!A:A,"#N/A")</f>
        <v>0</v>
      </c>
    </row>
    <row r="6" spans="1:19" x14ac:dyDescent="0.3">
      <c r="A6" s="211"/>
      <c r="B6" s="212"/>
      <c r="D6" s="190"/>
      <c r="F6" s="194" t="s">
        <v>566</v>
      </c>
      <c r="G6" t="s">
        <v>574</v>
      </c>
      <c r="H6" s="190" t="b">
        <f ca="1">MID(_xlfn.FORMULATEXT('Checking(ZSERIALS)'!$AA$31),2,200)=$G$6</f>
        <v>1</v>
      </c>
      <c r="Q6" s="197">
        <f>COUNTIF(MLR!B:B,"Err.")</f>
        <v>0</v>
      </c>
      <c r="S6" s="197"/>
    </row>
    <row r="7" spans="1:19" x14ac:dyDescent="0.3">
      <c r="A7" s="211"/>
      <c r="B7" s="212"/>
      <c r="D7" s="190"/>
      <c r="F7" s="194" t="s">
        <v>575</v>
      </c>
      <c r="G7" t="s">
        <v>576</v>
      </c>
      <c r="H7" s="190" t="b">
        <f ca="1">MID(_xlfn.FORMULATEXT('Checking(ZSERIALS)'!$AO$21),2,200)=$G$7</f>
        <v>1</v>
      </c>
      <c r="Q7" s="197"/>
      <c r="S7" s="197"/>
    </row>
    <row r="8" spans="1:19" x14ac:dyDescent="0.3">
      <c r="A8" s="211"/>
      <c r="B8" s="212"/>
      <c r="D8" s="190"/>
      <c r="F8" s="194" t="s">
        <v>567</v>
      </c>
      <c r="G8" t="s">
        <v>577</v>
      </c>
      <c r="H8" s="190" t="b">
        <f ca="1">MID(_xlfn.FORMULATEXT('Checking(ZSERIALS)'!$AV$10),2,200)=$G$8</f>
        <v>1</v>
      </c>
      <c r="Q8" s="197"/>
      <c r="S8" s="197"/>
    </row>
    <row r="9" spans="1:19" ht="15" thickBot="1" x14ac:dyDescent="0.35">
      <c r="A9" s="211"/>
      <c r="B9" s="212"/>
      <c r="D9" s="190"/>
      <c r="F9" s="194" t="s">
        <v>568</v>
      </c>
      <c r="G9" t="s">
        <v>578</v>
      </c>
      <c r="H9" s="190" t="b">
        <f ca="1">MID(_xlfn.FORMULATEXT('Checking(ZSERIALS)'!$BB$16),2,200)=$G$9</f>
        <v>1</v>
      </c>
      <c r="Q9" s="198"/>
      <c r="S9" s="198"/>
    </row>
    <row r="10" spans="1:19" x14ac:dyDescent="0.3">
      <c r="A10" s="211"/>
      <c r="B10" s="212"/>
      <c r="D10" s="190"/>
      <c r="F10" s="194" t="s">
        <v>569</v>
      </c>
      <c r="G10" t="s">
        <v>579</v>
      </c>
      <c r="H10" s="190" t="b">
        <f ca="1">MID(_xlfn.FORMULATEXT('Checking(ZSERIALS)'!$AL$23),2,200)=$G$10</f>
        <v>1</v>
      </c>
    </row>
    <row r="11" spans="1:19" x14ac:dyDescent="0.3">
      <c r="A11" s="211"/>
      <c r="B11" s="212"/>
      <c r="D11" s="190"/>
      <c r="F11" s="194" t="s">
        <v>570</v>
      </c>
      <c r="G11" t="s">
        <v>580</v>
      </c>
      <c r="H11" s="190" t="b">
        <f ca="1">MID(_xlfn.FORMULATEXT('Checking(ZSERIALS)'!$BB$12),2,200)=$G$11</f>
        <v>1</v>
      </c>
    </row>
    <row r="12" spans="1:19" x14ac:dyDescent="0.3">
      <c r="A12" s="211"/>
      <c r="B12" s="212"/>
      <c r="D12" s="190"/>
      <c r="F12" s="194" t="s">
        <v>571</v>
      </c>
      <c r="G12" t="s">
        <v>581</v>
      </c>
      <c r="H12" s="190" t="b">
        <f ca="1">MID(_xlfn.FORMULATEXT('Checking(ZSERIALS)'!$Z$10),2,200)=$G$12</f>
        <v>1</v>
      </c>
    </row>
    <row r="13" spans="1:19" ht="15" thickBot="1" x14ac:dyDescent="0.35">
      <c r="A13" s="211"/>
      <c r="B13" s="212"/>
      <c r="D13" s="190"/>
      <c r="F13" s="195" t="s">
        <v>572</v>
      </c>
      <c r="G13" s="191" t="s">
        <v>582</v>
      </c>
      <c r="H13" s="192" t="b">
        <f ca="1">MID(_xlfn.FORMULATEXT('Checking(ZSERIALS)'!$R$8),2,200)=$G$13</f>
        <v>1</v>
      </c>
    </row>
    <row r="14" spans="1:19" x14ac:dyDescent="0.3">
      <c r="A14" s="211"/>
      <c r="B14" s="212"/>
      <c r="D14" s="190"/>
    </row>
    <row r="15" spans="1:19" x14ac:dyDescent="0.3">
      <c r="A15" s="211"/>
      <c r="B15" s="212"/>
      <c r="D15" s="190"/>
    </row>
    <row r="16" spans="1:19" ht="15" thickBot="1" x14ac:dyDescent="0.35">
      <c r="A16" s="216"/>
      <c r="B16" s="217"/>
      <c r="C16" s="191"/>
      <c r="D16" s="192"/>
    </row>
  </sheetData>
  <mergeCells count="16">
    <mergeCell ref="A12:B12"/>
    <mergeCell ref="A13:B13"/>
    <mergeCell ref="A14:B14"/>
    <mergeCell ref="A15:B15"/>
    <mergeCell ref="A16:B16"/>
    <mergeCell ref="J2:O2"/>
    <mergeCell ref="A6:B6"/>
    <mergeCell ref="A7:B7"/>
    <mergeCell ref="A8:B8"/>
    <mergeCell ref="A9:B9"/>
    <mergeCell ref="A10:B10"/>
    <mergeCell ref="A11:B11"/>
    <mergeCell ref="F2:H2"/>
    <mergeCell ref="A2:D2"/>
    <mergeCell ref="A4:B4"/>
    <mergeCell ref="A5:B5"/>
  </mergeCells>
  <conditionalFormatting sqref="A2:XFD2">
    <cfRule type="containsText" dxfId="0" priority="1" operator="containsText" text="INCORRECT">
      <formula>NOT(ISERROR(SEARCH("INCORRECT",A2)))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63C36-2CFB-4C2E-849C-945CD14B9346}">
  <sheetPr codeName="Sheet8"/>
  <dimension ref="A1:C10"/>
  <sheetViews>
    <sheetView workbookViewId="0">
      <selection activeCell="B10" sqref="B10"/>
    </sheetView>
  </sheetViews>
  <sheetFormatPr defaultRowHeight="14.4" x14ac:dyDescent="0.3"/>
  <cols>
    <col min="2" max="2" width="40" bestFit="1" customWidth="1"/>
    <col min="3" max="3" width="15.44140625" bestFit="1" customWidth="1"/>
  </cols>
  <sheetData>
    <row r="1" spans="1:3" x14ac:dyDescent="0.3">
      <c r="A1" s="138" t="s">
        <v>50</v>
      </c>
      <c r="B1" s="138" t="s">
        <v>59</v>
      </c>
      <c r="C1" s="138" t="s">
        <v>96</v>
      </c>
    </row>
    <row r="2" spans="1:3" x14ac:dyDescent="0.3">
      <c r="A2">
        <v>40000009</v>
      </c>
      <c r="B2" t="s">
        <v>16</v>
      </c>
      <c r="C2">
        <v>10</v>
      </c>
    </row>
    <row r="3" spans="1:3" x14ac:dyDescent="0.3">
      <c r="A3">
        <v>40000011</v>
      </c>
      <c r="B3" t="s">
        <v>27</v>
      </c>
      <c r="C3">
        <v>10</v>
      </c>
    </row>
    <row r="4" spans="1:3" x14ac:dyDescent="0.3">
      <c r="A4">
        <v>40000048</v>
      </c>
      <c r="B4" t="s">
        <v>12</v>
      </c>
      <c r="C4">
        <v>12</v>
      </c>
    </row>
    <row r="5" spans="1:3" x14ac:dyDescent="0.3">
      <c r="A5">
        <v>40000049</v>
      </c>
      <c r="B5" t="s">
        <v>14</v>
      </c>
      <c r="C5">
        <v>1</v>
      </c>
    </row>
    <row r="6" spans="1:3" x14ac:dyDescent="0.3">
      <c r="A6">
        <v>40000050</v>
      </c>
      <c r="B6" t="s">
        <v>15</v>
      </c>
      <c r="C6">
        <v>1</v>
      </c>
    </row>
    <row r="7" spans="1:3" x14ac:dyDescent="0.3">
      <c r="A7">
        <v>40000051</v>
      </c>
      <c r="B7" t="s">
        <v>10</v>
      </c>
      <c r="C7">
        <v>300</v>
      </c>
    </row>
    <row r="8" spans="1:3" x14ac:dyDescent="0.3">
      <c r="A8">
        <v>40000052</v>
      </c>
      <c r="B8" t="s">
        <v>17</v>
      </c>
      <c r="C8">
        <v>1</v>
      </c>
    </row>
    <row r="9" spans="1:3" x14ac:dyDescent="0.3">
      <c r="A9">
        <v>40000057</v>
      </c>
      <c r="B9" t="s">
        <v>11</v>
      </c>
      <c r="C9">
        <v>2</v>
      </c>
    </row>
    <row r="10" spans="1:3" x14ac:dyDescent="0.3">
      <c r="A10">
        <v>40000059</v>
      </c>
      <c r="B10" t="s">
        <v>13</v>
      </c>
      <c r="C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F8BC3-A22D-42E3-8DA5-B5FF2E5FC1C6}">
  <sheetPr codeName="Sheet4"/>
  <dimension ref="A1:D882"/>
  <sheetViews>
    <sheetView zoomScaleNormal="100" workbookViewId="0">
      <selection activeCell="D6" sqref="D6"/>
    </sheetView>
  </sheetViews>
  <sheetFormatPr defaultRowHeight="14.4" x14ac:dyDescent="0.3"/>
  <cols>
    <col min="1" max="1" width="10.5546875" bestFit="1" customWidth="1"/>
    <col min="2" max="3" width="10.5546875" style="37" bestFit="1" customWidth="1"/>
    <col min="4" max="4" width="12.88671875" customWidth="1"/>
  </cols>
  <sheetData>
    <row r="1" spans="1:4" x14ac:dyDescent="0.3">
      <c r="A1" s="39" t="s">
        <v>83</v>
      </c>
      <c r="B1" s="40" t="s">
        <v>84</v>
      </c>
      <c r="C1" s="40" t="s">
        <v>85</v>
      </c>
      <c r="D1" s="41" t="s">
        <v>86</v>
      </c>
    </row>
    <row r="2" spans="1:4" x14ac:dyDescent="0.3">
      <c r="A2" s="37">
        <v>44927</v>
      </c>
      <c r="B2" s="37">
        <f>IF(AND(DAY(A2)&gt;=11,DAY(A2)&lt;=25),DATE(YEAR(A2),MONTH(A2),11),DATE(YEAR(A2),IF(AND(DAY(A2)&gt;=1,DAY(A2)&lt;=10),MONTH(A2)-1,MONTH(A2)),26))</f>
        <v>44921</v>
      </c>
      <c r="C2" s="37">
        <f>IF(DAY(B2)=11,DATE(YEAR(A2),MONTH(A2),25),DATE(YEAR(A2),MONTH(A2)+1,10))</f>
        <v>44967</v>
      </c>
      <c r="D2" t="str">
        <f>IF(DAY(B2)=11,TEXT(DATE(YEAR(B2),MONTH(B2),DAY(B2)),"yyyy m") &amp;" 1st",TEXT(DATE(YEAR(B2),MONTH(B2),DAY(B2)),"yyyy mmm") &amp;" 2nd")</f>
        <v>2022 Dec 2nd</v>
      </c>
    </row>
    <row r="3" spans="1:4" x14ac:dyDescent="0.3">
      <c r="A3" s="37">
        <f>A2+1</f>
        <v>44928</v>
      </c>
      <c r="B3" s="37">
        <f t="shared" ref="B3:B66" si="0">IF(AND(DAY(A3)&gt;=11,DAY(A3)&lt;=25),DATE(YEAR(A3),MONTH(A3),11),DATE(YEAR(A3),IF(AND(DAY(A3)&gt;=1,DAY(A3)&lt;=10),MONTH(A3)-1,MONTH(A3)),26))</f>
        <v>44921</v>
      </c>
      <c r="C3" s="37">
        <f t="shared" ref="C3:C66" si="1">IF(DAY(B3)=11,DATE(YEAR(A3),MONTH(A3),25),DATE(YEAR(A3),MONTH(A3)+1,10))</f>
        <v>44967</v>
      </c>
      <c r="D3" t="str">
        <f t="shared" ref="D3:D66" si="2">IF(DAY(B3)=11,TEXT(DATE(YEAR(B3),MONTH(B3),DAY(B3)),"yyyy mmm") &amp;" 1st",TEXT(DATE(YEAR(B3),MONTH(B3),DAY(B3)),"yyyy mmm") &amp;" 2nd")</f>
        <v>2022 Dec 2nd</v>
      </c>
    </row>
    <row r="4" spans="1:4" x14ac:dyDescent="0.3">
      <c r="A4" s="37">
        <f t="shared" ref="A4:A67" si="3">A3+1</f>
        <v>44929</v>
      </c>
      <c r="B4" s="37">
        <f t="shared" si="0"/>
        <v>44921</v>
      </c>
      <c r="C4" s="37">
        <f t="shared" si="1"/>
        <v>44967</v>
      </c>
      <c r="D4" t="str">
        <f t="shared" si="2"/>
        <v>2022 Dec 2nd</v>
      </c>
    </row>
    <row r="5" spans="1:4" x14ac:dyDescent="0.3">
      <c r="A5" s="37">
        <f t="shared" si="3"/>
        <v>44930</v>
      </c>
      <c r="B5" s="37">
        <f t="shared" si="0"/>
        <v>44921</v>
      </c>
      <c r="C5" s="37">
        <f t="shared" si="1"/>
        <v>44967</v>
      </c>
      <c r="D5" t="str">
        <f t="shared" si="2"/>
        <v>2022 Dec 2nd</v>
      </c>
    </row>
    <row r="6" spans="1:4" x14ac:dyDescent="0.3">
      <c r="A6" s="37">
        <f t="shared" si="3"/>
        <v>44931</v>
      </c>
      <c r="B6" s="37">
        <f t="shared" si="0"/>
        <v>44921</v>
      </c>
      <c r="C6" s="37">
        <f t="shared" si="1"/>
        <v>44967</v>
      </c>
      <c r="D6" t="str">
        <f t="shared" si="2"/>
        <v>2022 Dec 2nd</v>
      </c>
    </row>
    <row r="7" spans="1:4" x14ac:dyDescent="0.3">
      <c r="A7" s="37">
        <f t="shared" si="3"/>
        <v>44932</v>
      </c>
      <c r="B7" s="37">
        <f t="shared" si="0"/>
        <v>44921</v>
      </c>
      <c r="C7" s="37">
        <f t="shared" si="1"/>
        <v>44967</v>
      </c>
      <c r="D7" t="str">
        <f t="shared" si="2"/>
        <v>2022 Dec 2nd</v>
      </c>
    </row>
    <row r="8" spans="1:4" x14ac:dyDescent="0.3">
      <c r="A8" s="37">
        <f t="shared" si="3"/>
        <v>44933</v>
      </c>
      <c r="B8" s="37">
        <f t="shared" si="0"/>
        <v>44921</v>
      </c>
      <c r="C8" s="37">
        <f t="shared" si="1"/>
        <v>44967</v>
      </c>
      <c r="D8" t="str">
        <f t="shared" si="2"/>
        <v>2022 Dec 2nd</v>
      </c>
    </row>
    <row r="9" spans="1:4" x14ac:dyDescent="0.3">
      <c r="A9" s="37">
        <f t="shared" si="3"/>
        <v>44934</v>
      </c>
      <c r="B9" s="37">
        <f t="shared" si="0"/>
        <v>44921</v>
      </c>
      <c r="C9" s="37">
        <f t="shared" si="1"/>
        <v>44967</v>
      </c>
      <c r="D9" t="str">
        <f t="shared" si="2"/>
        <v>2022 Dec 2nd</v>
      </c>
    </row>
    <row r="10" spans="1:4" x14ac:dyDescent="0.3">
      <c r="A10" s="37">
        <f t="shared" si="3"/>
        <v>44935</v>
      </c>
      <c r="B10" s="37">
        <f t="shared" si="0"/>
        <v>44921</v>
      </c>
      <c r="C10" s="37">
        <f t="shared" si="1"/>
        <v>44967</v>
      </c>
      <c r="D10" t="str">
        <f t="shared" si="2"/>
        <v>2022 Dec 2nd</v>
      </c>
    </row>
    <row r="11" spans="1:4" x14ac:dyDescent="0.3">
      <c r="A11" s="37">
        <f t="shared" si="3"/>
        <v>44936</v>
      </c>
      <c r="B11" s="37">
        <f t="shared" si="0"/>
        <v>44921</v>
      </c>
      <c r="C11" s="37">
        <f t="shared" si="1"/>
        <v>44967</v>
      </c>
      <c r="D11" t="str">
        <f t="shared" si="2"/>
        <v>2022 Dec 2nd</v>
      </c>
    </row>
    <row r="12" spans="1:4" x14ac:dyDescent="0.3">
      <c r="A12" s="37">
        <f t="shared" si="3"/>
        <v>44937</v>
      </c>
      <c r="B12" s="37">
        <f t="shared" si="0"/>
        <v>44937</v>
      </c>
      <c r="C12" s="37">
        <f t="shared" si="1"/>
        <v>44951</v>
      </c>
      <c r="D12" t="str">
        <f t="shared" si="2"/>
        <v>2023 Jan 1st</v>
      </c>
    </row>
    <row r="13" spans="1:4" x14ac:dyDescent="0.3">
      <c r="A13" s="37">
        <f t="shared" si="3"/>
        <v>44938</v>
      </c>
      <c r="B13" s="37">
        <f t="shared" si="0"/>
        <v>44937</v>
      </c>
      <c r="C13" s="37">
        <f t="shared" si="1"/>
        <v>44951</v>
      </c>
      <c r="D13" t="str">
        <f t="shared" si="2"/>
        <v>2023 Jan 1st</v>
      </c>
    </row>
    <row r="14" spans="1:4" x14ac:dyDescent="0.3">
      <c r="A14" s="37">
        <f t="shared" si="3"/>
        <v>44939</v>
      </c>
      <c r="B14" s="37">
        <f t="shared" si="0"/>
        <v>44937</v>
      </c>
      <c r="C14" s="37">
        <f t="shared" si="1"/>
        <v>44951</v>
      </c>
      <c r="D14" t="str">
        <f t="shared" si="2"/>
        <v>2023 Jan 1st</v>
      </c>
    </row>
    <row r="15" spans="1:4" x14ac:dyDescent="0.3">
      <c r="A15" s="37">
        <f t="shared" si="3"/>
        <v>44940</v>
      </c>
      <c r="B15" s="37">
        <f t="shared" si="0"/>
        <v>44937</v>
      </c>
      <c r="C15" s="37">
        <f t="shared" si="1"/>
        <v>44951</v>
      </c>
      <c r="D15" t="str">
        <f t="shared" si="2"/>
        <v>2023 Jan 1st</v>
      </c>
    </row>
    <row r="16" spans="1:4" x14ac:dyDescent="0.3">
      <c r="A16" s="37">
        <f t="shared" si="3"/>
        <v>44941</v>
      </c>
      <c r="B16" s="37">
        <f t="shared" si="0"/>
        <v>44937</v>
      </c>
      <c r="C16" s="37">
        <f t="shared" si="1"/>
        <v>44951</v>
      </c>
      <c r="D16" t="str">
        <f t="shared" si="2"/>
        <v>2023 Jan 1st</v>
      </c>
    </row>
    <row r="17" spans="1:4" x14ac:dyDescent="0.3">
      <c r="A17" s="37">
        <f t="shared" si="3"/>
        <v>44942</v>
      </c>
      <c r="B17" s="37">
        <f t="shared" si="0"/>
        <v>44937</v>
      </c>
      <c r="C17" s="37">
        <f t="shared" si="1"/>
        <v>44951</v>
      </c>
      <c r="D17" t="str">
        <f t="shared" si="2"/>
        <v>2023 Jan 1st</v>
      </c>
    </row>
    <row r="18" spans="1:4" x14ac:dyDescent="0.3">
      <c r="A18" s="37">
        <f t="shared" si="3"/>
        <v>44943</v>
      </c>
      <c r="B18" s="37">
        <f t="shared" si="0"/>
        <v>44937</v>
      </c>
      <c r="C18" s="37">
        <f t="shared" si="1"/>
        <v>44951</v>
      </c>
      <c r="D18" t="str">
        <f t="shared" si="2"/>
        <v>2023 Jan 1st</v>
      </c>
    </row>
    <row r="19" spans="1:4" x14ac:dyDescent="0.3">
      <c r="A19" s="37">
        <f t="shared" si="3"/>
        <v>44944</v>
      </c>
      <c r="B19" s="37">
        <f t="shared" si="0"/>
        <v>44937</v>
      </c>
      <c r="C19" s="37">
        <f t="shared" si="1"/>
        <v>44951</v>
      </c>
      <c r="D19" t="str">
        <f t="shared" si="2"/>
        <v>2023 Jan 1st</v>
      </c>
    </row>
    <row r="20" spans="1:4" x14ac:dyDescent="0.3">
      <c r="A20" s="37">
        <f t="shared" si="3"/>
        <v>44945</v>
      </c>
      <c r="B20" s="37">
        <f t="shared" si="0"/>
        <v>44937</v>
      </c>
      <c r="C20" s="37">
        <f t="shared" si="1"/>
        <v>44951</v>
      </c>
      <c r="D20" t="str">
        <f t="shared" si="2"/>
        <v>2023 Jan 1st</v>
      </c>
    </row>
    <row r="21" spans="1:4" x14ac:dyDescent="0.3">
      <c r="A21" s="37">
        <f t="shared" si="3"/>
        <v>44946</v>
      </c>
      <c r="B21" s="37">
        <f t="shared" si="0"/>
        <v>44937</v>
      </c>
      <c r="C21" s="37">
        <f t="shared" si="1"/>
        <v>44951</v>
      </c>
      <c r="D21" t="str">
        <f t="shared" si="2"/>
        <v>2023 Jan 1st</v>
      </c>
    </row>
    <row r="22" spans="1:4" x14ac:dyDescent="0.3">
      <c r="A22" s="37">
        <f t="shared" si="3"/>
        <v>44947</v>
      </c>
      <c r="B22" s="37">
        <f t="shared" si="0"/>
        <v>44937</v>
      </c>
      <c r="C22" s="37">
        <f t="shared" si="1"/>
        <v>44951</v>
      </c>
      <c r="D22" t="str">
        <f t="shared" si="2"/>
        <v>2023 Jan 1st</v>
      </c>
    </row>
    <row r="23" spans="1:4" x14ac:dyDescent="0.3">
      <c r="A23" s="37">
        <f t="shared" si="3"/>
        <v>44948</v>
      </c>
      <c r="B23" s="37">
        <f t="shared" si="0"/>
        <v>44937</v>
      </c>
      <c r="C23" s="37">
        <f t="shared" si="1"/>
        <v>44951</v>
      </c>
      <c r="D23" t="str">
        <f t="shared" si="2"/>
        <v>2023 Jan 1st</v>
      </c>
    </row>
    <row r="24" spans="1:4" x14ac:dyDescent="0.3">
      <c r="A24" s="37">
        <f t="shared" si="3"/>
        <v>44949</v>
      </c>
      <c r="B24" s="37">
        <f t="shared" si="0"/>
        <v>44937</v>
      </c>
      <c r="C24" s="37">
        <f t="shared" si="1"/>
        <v>44951</v>
      </c>
      <c r="D24" t="str">
        <f t="shared" si="2"/>
        <v>2023 Jan 1st</v>
      </c>
    </row>
    <row r="25" spans="1:4" x14ac:dyDescent="0.3">
      <c r="A25" s="37">
        <f t="shared" si="3"/>
        <v>44950</v>
      </c>
      <c r="B25" s="37">
        <f t="shared" si="0"/>
        <v>44937</v>
      </c>
      <c r="C25" s="37">
        <f t="shared" si="1"/>
        <v>44951</v>
      </c>
      <c r="D25" t="str">
        <f t="shared" si="2"/>
        <v>2023 Jan 1st</v>
      </c>
    </row>
    <row r="26" spans="1:4" x14ac:dyDescent="0.3">
      <c r="A26" s="37">
        <f t="shared" si="3"/>
        <v>44951</v>
      </c>
      <c r="B26" s="37">
        <f t="shared" si="0"/>
        <v>44937</v>
      </c>
      <c r="C26" s="37">
        <f t="shared" si="1"/>
        <v>44951</v>
      </c>
      <c r="D26" t="str">
        <f t="shared" si="2"/>
        <v>2023 Jan 1st</v>
      </c>
    </row>
    <row r="27" spans="1:4" x14ac:dyDescent="0.3">
      <c r="A27" s="37">
        <f t="shared" si="3"/>
        <v>44952</v>
      </c>
      <c r="B27" s="37">
        <f t="shared" si="0"/>
        <v>44952</v>
      </c>
      <c r="C27" s="37">
        <f t="shared" si="1"/>
        <v>44967</v>
      </c>
      <c r="D27" t="str">
        <f t="shared" si="2"/>
        <v>2023 Jan 2nd</v>
      </c>
    </row>
    <row r="28" spans="1:4" x14ac:dyDescent="0.3">
      <c r="A28" s="37">
        <f t="shared" si="3"/>
        <v>44953</v>
      </c>
      <c r="B28" s="37">
        <f t="shared" si="0"/>
        <v>44952</v>
      </c>
      <c r="C28" s="37">
        <f t="shared" si="1"/>
        <v>44967</v>
      </c>
      <c r="D28" t="str">
        <f t="shared" si="2"/>
        <v>2023 Jan 2nd</v>
      </c>
    </row>
    <row r="29" spans="1:4" x14ac:dyDescent="0.3">
      <c r="A29" s="37">
        <f t="shared" si="3"/>
        <v>44954</v>
      </c>
      <c r="B29" s="37">
        <f t="shared" si="0"/>
        <v>44952</v>
      </c>
      <c r="C29" s="37">
        <f t="shared" si="1"/>
        <v>44967</v>
      </c>
      <c r="D29" t="str">
        <f t="shared" si="2"/>
        <v>2023 Jan 2nd</v>
      </c>
    </row>
    <row r="30" spans="1:4" x14ac:dyDescent="0.3">
      <c r="A30" s="37">
        <f t="shared" si="3"/>
        <v>44955</v>
      </c>
      <c r="B30" s="37">
        <f t="shared" si="0"/>
        <v>44952</v>
      </c>
      <c r="C30" s="37">
        <f t="shared" si="1"/>
        <v>44967</v>
      </c>
      <c r="D30" t="str">
        <f t="shared" si="2"/>
        <v>2023 Jan 2nd</v>
      </c>
    </row>
    <row r="31" spans="1:4" x14ac:dyDescent="0.3">
      <c r="A31" s="37">
        <f t="shared" si="3"/>
        <v>44956</v>
      </c>
      <c r="B31" s="37">
        <f t="shared" si="0"/>
        <v>44952</v>
      </c>
      <c r="C31" s="37">
        <f t="shared" si="1"/>
        <v>44967</v>
      </c>
      <c r="D31" t="str">
        <f t="shared" si="2"/>
        <v>2023 Jan 2nd</v>
      </c>
    </row>
    <row r="32" spans="1:4" x14ac:dyDescent="0.3">
      <c r="A32" s="37">
        <f t="shared" si="3"/>
        <v>44957</v>
      </c>
      <c r="B32" s="37">
        <f t="shared" si="0"/>
        <v>44952</v>
      </c>
      <c r="C32" s="37">
        <f t="shared" si="1"/>
        <v>44967</v>
      </c>
      <c r="D32" t="str">
        <f t="shared" si="2"/>
        <v>2023 Jan 2nd</v>
      </c>
    </row>
    <row r="33" spans="1:4" x14ac:dyDescent="0.3">
      <c r="A33" s="37">
        <f t="shared" si="3"/>
        <v>44958</v>
      </c>
      <c r="B33" s="37">
        <f t="shared" si="0"/>
        <v>44952</v>
      </c>
      <c r="C33" s="37">
        <f t="shared" si="1"/>
        <v>44995</v>
      </c>
      <c r="D33" t="str">
        <f t="shared" si="2"/>
        <v>2023 Jan 2nd</v>
      </c>
    </row>
    <row r="34" spans="1:4" x14ac:dyDescent="0.3">
      <c r="A34" s="37">
        <f t="shared" si="3"/>
        <v>44959</v>
      </c>
      <c r="B34" s="37">
        <f t="shared" si="0"/>
        <v>44952</v>
      </c>
      <c r="C34" s="37">
        <f t="shared" si="1"/>
        <v>44995</v>
      </c>
      <c r="D34" t="str">
        <f t="shared" si="2"/>
        <v>2023 Jan 2nd</v>
      </c>
    </row>
    <row r="35" spans="1:4" x14ac:dyDescent="0.3">
      <c r="A35" s="37">
        <f t="shared" si="3"/>
        <v>44960</v>
      </c>
      <c r="B35" s="37">
        <f t="shared" si="0"/>
        <v>44952</v>
      </c>
      <c r="C35" s="37">
        <f t="shared" si="1"/>
        <v>44995</v>
      </c>
      <c r="D35" t="str">
        <f t="shared" si="2"/>
        <v>2023 Jan 2nd</v>
      </c>
    </row>
    <row r="36" spans="1:4" x14ac:dyDescent="0.3">
      <c r="A36" s="37">
        <f t="shared" si="3"/>
        <v>44961</v>
      </c>
      <c r="B36" s="37">
        <f t="shared" si="0"/>
        <v>44952</v>
      </c>
      <c r="C36" s="37">
        <f t="shared" si="1"/>
        <v>44995</v>
      </c>
      <c r="D36" t="str">
        <f t="shared" si="2"/>
        <v>2023 Jan 2nd</v>
      </c>
    </row>
    <row r="37" spans="1:4" x14ac:dyDescent="0.3">
      <c r="A37" s="37">
        <f t="shared" si="3"/>
        <v>44962</v>
      </c>
      <c r="B37" s="37">
        <f t="shared" si="0"/>
        <v>44952</v>
      </c>
      <c r="C37" s="37">
        <f t="shared" si="1"/>
        <v>44995</v>
      </c>
      <c r="D37" t="str">
        <f t="shared" si="2"/>
        <v>2023 Jan 2nd</v>
      </c>
    </row>
    <row r="38" spans="1:4" x14ac:dyDescent="0.3">
      <c r="A38" s="37">
        <f t="shared" si="3"/>
        <v>44963</v>
      </c>
      <c r="B38" s="37">
        <f t="shared" si="0"/>
        <v>44952</v>
      </c>
      <c r="C38" s="37">
        <f t="shared" si="1"/>
        <v>44995</v>
      </c>
      <c r="D38" t="str">
        <f t="shared" si="2"/>
        <v>2023 Jan 2nd</v>
      </c>
    </row>
    <row r="39" spans="1:4" x14ac:dyDescent="0.3">
      <c r="A39" s="37">
        <f t="shared" si="3"/>
        <v>44964</v>
      </c>
      <c r="B39" s="37">
        <f t="shared" si="0"/>
        <v>44952</v>
      </c>
      <c r="C39" s="37">
        <f t="shared" si="1"/>
        <v>44995</v>
      </c>
      <c r="D39" t="str">
        <f t="shared" si="2"/>
        <v>2023 Jan 2nd</v>
      </c>
    </row>
    <row r="40" spans="1:4" x14ac:dyDescent="0.3">
      <c r="A40" s="37">
        <f t="shared" si="3"/>
        <v>44965</v>
      </c>
      <c r="B40" s="37">
        <f t="shared" si="0"/>
        <v>44952</v>
      </c>
      <c r="C40" s="37">
        <f t="shared" si="1"/>
        <v>44995</v>
      </c>
      <c r="D40" t="str">
        <f t="shared" si="2"/>
        <v>2023 Jan 2nd</v>
      </c>
    </row>
    <row r="41" spans="1:4" x14ac:dyDescent="0.3">
      <c r="A41" s="37">
        <f t="shared" si="3"/>
        <v>44966</v>
      </c>
      <c r="B41" s="37">
        <f t="shared" si="0"/>
        <v>44952</v>
      </c>
      <c r="C41" s="37">
        <f t="shared" si="1"/>
        <v>44995</v>
      </c>
      <c r="D41" t="str">
        <f t="shared" si="2"/>
        <v>2023 Jan 2nd</v>
      </c>
    </row>
    <row r="42" spans="1:4" x14ac:dyDescent="0.3">
      <c r="A42" s="37">
        <f t="shared" si="3"/>
        <v>44967</v>
      </c>
      <c r="B42" s="37">
        <f t="shared" si="0"/>
        <v>44952</v>
      </c>
      <c r="C42" s="37">
        <f t="shared" si="1"/>
        <v>44995</v>
      </c>
      <c r="D42" t="str">
        <f t="shared" si="2"/>
        <v>2023 Jan 2nd</v>
      </c>
    </row>
    <row r="43" spans="1:4" x14ac:dyDescent="0.3">
      <c r="A43" s="37">
        <f t="shared" si="3"/>
        <v>44968</v>
      </c>
      <c r="B43" s="37">
        <f t="shared" si="0"/>
        <v>44968</v>
      </c>
      <c r="C43" s="37">
        <f t="shared" si="1"/>
        <v>44982</v>
      </c>
      <c r="D43" t="str">
        <f t="shared" si="2"/>
        <v>2023 Feb 1st</v>
      </c>
    </row>
    <row r="44" spans="1:4" x14ac:dyDescent="0.3">
      <c r="A44" s="37">
        <f t="shared" si="3"/>
        <v>44969</v>
      </c>
      <c r="B44" s="37">
        <f t="shared" si="0"/>
        <v>44968</v>
      </c>
      <c r="C44" s="37">
        <f t="shared" si="1"/>
        <v>44982</v>
      </c>
      <c r="D44" t="str">
        <f t="shared" si="2"/>
        <v>2023 Feb 1st</v>
      </c>
    </row>
    <row r="45" spans="1:4" x14ac:dyDescent="0.3">
      <c r="A45" s="37">
        <f t="shared" si="3"/>
        <v>44970</v>
      </c>
      <c r="B45" s="37">
        <f t="shared" si="0"/>
        <v>44968</v>
      </c>
      <c r="C45" s="37">
        <f t="shared" si="1"/>
        <v>44982</v>
      </c>
      <c r="D45" t="str">
        <f t="shared" si="2"/>
        <v>2023 Feb 1st</v>
      </c>
    </row>
    <row r="46" spans="1:4" x14ac:dyDescent="0.3">
      <c r="A46" s="37">
        <f t="shared" si="3"/>
        <v>44971</v>
      </c>
      <c r="B46" s="37">
        <f t="shared" si="0"/>
        <v>44968</v>
      </c>
      <c r="C46" s="37">
        <f t="shared" si="1"/>
        <v>44982</v>
      </c>
      <c r="D46" t="str">
        <f t="shared" si="2"/>
        <v>2023 Feb 1st</v>
      </c>
    </row>
    <row r="47" spans="1:4" x14ac:dyDescent="0.3">
      <c r="A47" s="37">
        <f t="shared" si="3"/>
        <v>44972</v>
      </c>
      <c r="B47" s="37">
        <f t="shared" si="0"/>
        <v>44968</v>
      </c>
      <c r="C47" s="37">
        <f t="shared" si="1"/>
        <v>44982</v>
      </c>
      <c r="D47" t="str">
        <f t="shared" si="2"/>
        <v>2023 Feb 1st</v>
      </c>
    </row>
    <row r="48" spans="1:4" x14ac:dyDescent="0.3">
      <c r="A48" s="37">
        <f t="shared" si="3"/>
        <v>44973</v>
      </c>
      <c r="B48" s="37">
        <f t="shared" si="0"/>
        <v>44968</v>
      </c>
      <c r="C48" s="37">
        <f t="shared" si="1"/>
        <v>44982</v>
      </c>
      <c r="D48" t="str">
        <f t="shared" si="2"/>
        <v>2023 Feb 1st</v>
      </c>
    </row>
    <row r="49" spans="1:4" x14ac:dyDescent="0.3">
      <c r="A49" s="37">
        <f t="shared" si="3"/>
        <v>44974</v>
      </c>
      <c r="B49" s="37">
        <f t="shared" si="0"/>
        <v>44968</v>
      </c>
      <c r="C49" s="37">
        <f t="shared" si="1"/>
        <v>44982</v>
      </c>
      <c r="D49" t="str">
        <f t="shared" si="2"/>
        <v>2023 Feb 1st</v>
      </c>
    </row>
    <row r="50" spans="1:4" x14ac:dyDescent="0.3">
      <c r="A50" s="37">
        <f t="shared" si="3"/>
        <v>44975</v>
      </c>
      <c r="B50" s="37">
        <f t="shared" si="0"/>
        <v>44968</v>
      </c>
      <c r="C50" s="37">
        <f t="shared" si="1"/>
        <v>44982</v>
      </c>
      <c r="D50" t="str">
        <f t="shared" si="2"/>
        <v>2023 Feb 1st</v>
      </c>
    </row>
    <row r="51" spans="1:4" x14ac:dyDescent="0.3">
      <c r="A51" s="37">
        <f t="shared" si="3"/>
        <v>44976</v>
      </c>
      <c r="B51" s="37">
        <f t="shared" si="0"/>
        <v>44968</v>
      </c>
      <c r="C51" s="37">
        <f t="shared" si="1"/>
        <v>44982</v>
      </c>
      <c r="D51" t="str">
        <f t="shared" si="2"/>
        <v>2023 Feb 1st</v>
      </c>
    </row>
    <row r="52" spans="1:4" x14ac:dyDescent="0.3">
      <c r="A52" s="37">
        <f t="shared" si="3"/>
        <v>44977</v>
      </c>
      <c r="B52" s="37">
        <f t="shared" si="0"/>
        <v>44968</v>
      </c>
      <c r="C52" s="37">
        <f t="shared" si="1"/>
        <v>44982</v>
      </c>
      <c r="D52" t="str">
        <f t="shared" si="2"/>
        <v>2023 Feb 1st</v>
      </c>
    </row>
    <row r="53" spans="1:4" x14ac:dyDescent="0.3">
      <c r="A53" s="37">
        <f t="shared" si="3"/>
        <v>44978</v>
      </c>
      <c r="B53" s="37">
        <f t="shared" si="0"/>
        <v>44968</v>
      </c>
      <c r="C53" s="37">
        <f t="shared" si="1"/>
        <v>44982</v>
      </c>
      <c r="D53" t="str">
        <f t="shared" si="2"/>
        <v>2023 Feb 1st</v>
      </c>
    </row>
    <row r="54" spans="1:4" x14ac:dyDescent="0.3">
      <c r="A54" s="37">
        <f t="shared" si="3"/>
        <v>44979</v>
      </c>
      <c r="B54" s="37">
        <f t="shared" si="0"/>
        <v>44968</v>
      </c>
      <c r="C54" s="37">
        <f t="shared" si="1"/>
        <v>44982</v>
      </c>
      <c r="D54" t="str">
        <f t="shared" si="2"/>
        <v>2023 Feb 1st</v>
      </c>
    </row>
    <row r="55" spans="1:4" x14ac:dyDescent="0.3">
      <c r="A55" s="37">
        <f t="shared" si="3"/>
        <v>44980</v>
      </c>
      <c r="B55" s="37">
        <f t="shared" si="0"/>
        <v>44968</v>
      </c>
      <c r="C55" s="37">
        <f t="shared" si="1"/>
        <v>44982</v>
      </c>
      <c r="D55" t="str">
        <f t="shared" si="2"/>
        <v>2023 Feb 1st</v>
      </c>
    </row>
    <row r="56" spans="1:4" x14ac:dyDescent="0.3">
      <c r="A56" s="37">
        <f t="shared" si="3"/>
        <v>44981</v>
      </c>
      <c r="B56" s="37">
        <f t="shared" si="0"/>
        <v>44968</v>
      </c>
      <c r="C56" s="37">
        <f t="shared" si="1"/>
        <v>44982</v>
      </c>
      <c r="D56" t="str">
        <f t="shared" si="2"/>
        <v>2023 Feb 1st</v>
      </c>
    </row>
    <row r="57" spans="1:4" x14ac:dyDescent="0.3">
      <c r="A57" s="37">
        <f t="shared" si="3"/>
        <v>44982</v>
      </c>
      <c r="B57" s="37">
        <f t="shared" si="0"/>
        <v>44968</v>
      </c>
      <c r="C57" s="37">
        <f t="shared" si="1"/>
        <v>44982</v>
      </c>
      <c r="D57" t="str">
        <f t="shared" si="2"/>
        <v>2023 Feb 1st</v>
      </c>
    </row>
    <row r="58" spans="1:4" x14ac:dyDescent="0.3">
      <c r="A58" s="37">
        <f t="shared" si="3"/>
        <v>44983</v>
      </c>
      <c r="B58" s="37">
        <f t="shared" si="0"/>
        <v>44983</v>
      </c>
      <c r="C58" s="37">
        <f t="shared" si="1"/>
        <v>44995</v>
      </c>
      <c r="D58" t="str">
        <f t="shared" si="2"/>
        <v>2023 Feb 2nd</v>
      </c>
    </row>
    <row r="59" spans="1:4" x14ac:dyDescent="0.3">
      <c r="A59" s="37">
        <f t="shared" si="3"/>
        <v>44984</v>
      </c>
      <c r="B59" s="37">
        <f t="shared" si="0"/>
        <v>44983</v>
      </c>
      <c r="C59" s="37">
        <f t="shared" si="1"/>
        <v>44995</v>
      </c>
      <c r="D59" t="str">
        <f t="shared" si="2"/>
        <v>2023 Feb 2nd</v>
      </c>
    </row>
    <row r="60" spans="1:4" x14ac:dyDescent="0.3">
      <c r="A60" s="37">
        <f t="shared" si="3"/>
        <v>44985</v>
      </c>
      <c r="B60" s="37">
        <f t="shared" si="0"/>
        <v>44983</v>
      </c>
      <c r="C60" s="37">
        <f t="shared" si="1"/>
        <v>44995</v>
      </c>
      <c r="D60" t="str">
        <f t="shared" si="2"/>
        <v>2023 Feb 2nd</v>
      </c>
    </row>
    <row r="61" spans="1:4" x14ac:dyDescent="0.3">
      <c r="A61" s="37">
        <f t="shared" si="3"/>
        <v>44986</v>
      </c>
      <c r="B61" s="37">
        <f t="shared" si="0"/>
        <v>44983</v>
      </c>
      <c r="C61" s="37">
        <f t="shared" si="1"/>
        <v>45026</v>
      </c>
      <c r="D61" t="str">
        <f t="shared" si="2"/>
        <v>2023 Feb 2nd</v>
      </c>
    </row>
    <row r="62" spans="1:4" x14ac:dyDescent="0.3">
      <c r="A62" s="37">
        <f t="shared" si="3"/>
        <v>44987</v>
      </c>
      <c r="B62" s="37">
        <f t="shared" si="0"/>
        <v>44983</v>
      </c>
      <c r="C62" s="37">
        <f t="shared" si="1"/>
        <v>45026</v>
      </c>
      <c r="D62" t="str">
        <f t="shared" si="2"/>
        <v>2023 Feb 2nd</v>
      </c>
    </row>
    <row r="63" spans="1:4" x14ac:dyDescent="0.3">
      <c r="A63" s="37">
        <f t="shared" si="3"/>
        <v>44988</v>
      </c>
      <c r="B63" s="37">
        <f t="shared" si="0"/>
        <v>44983</v>
      </c>
      <c r="C63" s="37">
        <f t="shared" si="1"/>
        <v>45026</v>
      </c>
      <c r="D63" t="str">
        <f t="shared" si="2"/>
        <v>2023 Feb 2nd</v>
      </c>
    </row>
    <row r="64" spans="1:4" x14ac:dyDescent="0.3">
      <c r="A64" s="37">
        <f t="shared" si="3"/>
        <v>44989</v>
      </c>
      <c r="B64" s="37">
        <f t="shared" si="0"/>
        <v>44983</v>
      </c>
      <c r="C64" s="37">
        <f t="shared" si="1"/>
        <v>45026</v>
      </c>
      <c r="D64" t="str">
        <f t="shared" si="2"/>
        <v>2023 Feb 2nd</v>
      </c>
    </row>
    <row r="65" spans="1:4" x14ac:dyDescent="0.3">
      <c r="A65" s="37">
        <f t="shared" si="3"/>
        <v>44990</v>
      </c>
      <c r="B65" s="37">
        <f t="shared" si="0"/>
        <v>44983</v>
      </c>
      <c r="C65" s="37">
        <f t="shared" si="1"/>
        <v>45026</v>
      </c>
      <c r="D65" t="str">
        <f t="shared" si="2"/>
        <v>2023 Feb 2nd</v>
      </c>
    </row>
    <row r="66" spans="1:4" x14ac:dyDescent="0.3">
      <c r="A66" s="37">
        <f t="shared" si="3"/>
        <v>44991</v>
      </c>
      <c r="B66" s="37">
        <f t="shared" si="0"/>
        <v>44983</v>
      </c>
      <c r="C66" s="37">
        <f t="shared" si="1"/>
        <v>45026</v>
      </c>
      <c r="D66" t="str">
        <f t="shared" si="2"/>
        <v>2023 Feb 2nd</v>
      </c>
    </row>
    <row r="67" spans="1:4" x14ac:dyDescent="0.3">
      <c r="A67" s="37">
        <f t="shared" si="3"/>
        <v>44992</v>
      </c>
      <c r="B67" s="37">
        <f t="shared" ref="B67:B130" si="4">IF(AND(DAY(A67)&gt;=11,DAY(A67)&lt;=25),DATE(YEAR(A67),MONTH(A67),11),DATE(YEAR(A67),IF(AND(DAY(A67)&gt;=1,DAY(A67)&lt;=10),MONTH(A67)-1,MONTH(A67)),26))</f>
        <v>44983</v>
      </c>
      <c r="C67" s="37">
        <f t="shared" ref="C67:C130" si="5">IF(DAY(B67)=11,DATE(YEAR(A67),MONTH(A67),25),DATE(YEAR(A67),MONTH(A67)+1,10))</f>
        <v>45026</v>
      </c>
      <c r="D67" t="str">
        <f t="shared" ref="D67:D130" si="6">IF(DAY(B67)=11,TEXT(DATE(YEAR(B67),MONTH(B67),DAY(B67)),"yyyy mmm") &amp;" 1st",TEXT(DATE(YEAR(B67),MONTH(B67),DAY(B67)),"yyyy mmm") &amp;" 2nd")</f>
        <v>2023 Feb 2nd</v>
      </c>
    </row>
    <row r="68" spans="1:4" x14ac:dyDescent="0.3">
      <c r="A68" s="37">
        <f t="shared" ref="A68:A131" si="7">A67+1</f>
        <v>44993</v>
      </c>
      <c r="B68" s="37">
        <f t="shared" si="4"/>
        <v>44983</v>
      </c>
      <c r="C68" s="37">
        <f t="shared" si="5"/>
        <v>45026</v>
      </c>
      <c r="D68" t="str">
        <f t="shared" si="6"/>
        <v>2023 Feb 2nd</v>
      </c>
    </row>
    <row r="69" spans="1:4" x14ac:dyDescent="0.3">
      <c r="A69" s="37">
        <f t="shared" si="7"/>
        <v>44994</v>
      </c>
      <c r="B69" s="37">
        <f t="shared" si="4"/>
        <v>44983</v>
      </c>
      <c r="C69" s="37">
        <f t="shared" si="5"/>
        <v>45026</v>
      </c>
      <c r="D69" t="str">
        <f t="shared" si="6"/>
        <v>2023 Feb 2nd</v>
      </c>
    </row>
    <row r="70" spans="1:4" x14ac:dyDescent="0.3">
      <c r="A70" s="37">
        <f t="shared" si="7"/>
        <v>44995</v>
      </c>
      <c r="B70" s="37">
        <f t="shared" si="4"/>
        <v>44983</v>
      </c>
      <c r="C70" s="37">
        <f t="shared" si="5"/>
        <v>45026</v>
      </c>
      <c r="D70" t="str">
        <f t="shared" si="6"/>
        <v>2023 Feb 2nd</v>
      </c>
    </row>
    <row r="71" spans="1:4" x14ac:dyDescent="0.3">
      <c r="A71" s="37">
        <f t="shared" si="7"/>
        <v>44996</v>
      </c>
      <c r="B71" s="37">
        <f t="shared" si="4"/>
        <v>44996</v>
      </c>
      <c r="C71" s="37">
        <f t="shared" si="5"/>
        <v>45010</v>
      </c>
      <c r="D71" t="str">
        <f t="shared" si="6"/>
        <v>2023 Mar 1st</v>
      </c>
    </row>
    <row r="72" spans="1:4" x14ac:dyDescent="0.3">
      <c r="A72" s="37">
        <f t="shared" si="7"/>
        <v>44997</v>
      </c>
      <c r="B72" s="37">
        <f t="shared" si="4"/>
        <v>44996</v>
      </c>
      <c r="C72" s="37">
        <f t="shared" si="5"/>
        <v>45010</v>
      </c>
      <c r="D72" t="str">
        <f t="shared" si="6"/>
        <v>2023 Mar 1st</v>
      </c>
    </row>
    <row r="73" spans="1:4" x14ac:dyDescent="0.3">
      <c r="A73" s="37">
        <f t="shared" si="7"/>
        <v>44998</v>
      </c>
      <c r="B73" s="37">
        <f t="shared" si="4"/>
        <v>44996</v>
      </c>
      <c r="C73" s="37">
        <f t="shared" si="5"/>
        <v>45010</v>
      </c>
      <c r="D73" t="str">
        <f t="shared" si="6"/>
        <v>2023 Mar 1st</v>
      </c>
    </row>
    <row r="74" spans="1:4" x14ac:dyDescent="0.3">
      <c r="A74" s="37">
        <f t="shared" si="7"/>
        <v>44999</v>
      </c>
      <c r="B74" s="37">
        <f t="shared" si="4"/>
        <v>44996</v>
      </c>
      <c r="C74" s="37">
        <f t="shared" si="5"/>
        <v>45010</v>
      </c>
      <c r="D74" t="str">
        <f t="shared" si="6"/>
        <v>2023 Mar 1st</v>
      </c>
    </row>
    <row r="75" spans="1:4" x14ac:dyDescent="0.3">
      <c r="A75" s="37">
        <f t="shared" si="7"/>
        <v>45000</v>
      </c>
      <c r="B75" s="37">
        <f t="shared" si="4"/>
        <v>44996</v>
      </c>
      <c r="C75" s="37">
        <f t="shared" si="5"/>
        <v>45010</v>
      </c>
      <c r="D75" t="str">
        <f t="shared" si="6"/>
        <v>2023 Mar 1st</v>
      </c>
    </row>
    <row r="76" spans="1:4" x14ac:dyDescent="0.3">
      <c r="A76" s="37">
        <f t="shared" si="7"/>
        <v>45001</v>
      </c>
      <c r="B76" s="37">
        <f t="shared" si="4"/>
        <v>44996</v>
      </c>
      <c r="C76" s="37">
        <f t="shared" si="5"/>
        <v>45010</v>
      </c>
      <c r="D76" t="str">
        <f t="shared" si="6"/>
        <v>2023 Mar 1st</v>
      </c>
    </row>
    <row r="77" spans="1:4" x14ac:dyDescent="0.3">
      <c r="A77" s="37">
        <f t="shared" si="7"/>
        <v>45002</v>
      </c>
      <c r="B77" s="37">
        <f t="shared" si="4"/>
        <v>44996</v>
      </c>
      <c r="C77" s="37">
        <f t="shared" si="5"/>
        <v>45010</v>
      </c>
      <c r="D77" t="str">
        <f t="shared" si="6"/>
        <v>2023 Mar 1st</v>
      </c>
    </row>
    <row r="78" spans="1:4" x14ac:dyDescent="0.3">
      <c r="A78" s="37">
        <f t="shared" si="7"/>
        <v>45003</v>
      </c>
      <c r="B78" s="37">
        <f t="shared" si="4"/>
        <v>44996</v>
      </c>
      <c r="C78" s="37">
        <f t="shared" si="5"/>
        <v>45010</v>
      </c>
      <c r="D78" t="str">
        <f t="shared" si="6"/>
        <v>2023 Mar 1st</v>
      </c>
    </row>
    <row r="79" spans="1:4" x14ac:dyDescent="0.3">
      <c r="A79" s="37">
        <f t="shared" si="7"/>
        <v>45004</v>
      </c>
      <c r="B79" s="37">
        <f t="shared" si="4"/>
        <v>44996</v>
      </c>
      <c r="C79" s="37">
        <f t="shared" si="5"/>
        <v>45010</v>
      </c>
      <c r="D79" t="str">
        <f t="shared" si="6"/>
        <v>2023 Mar 1st</v>
      </c>
    </row>
    <row r="80" spans="1:4" x14ac:dyDescent="0.3">
      <c r="A80" s="37">
        <f t="shared" si="7"/>
        <v>45005</v>
      </c>
      <c r="B80" s="37">
        <f t="shared" si="4"/>
        <v>44996</v>
      </c>
      <c r="C80" s="37">
        <f t="shared" si="5"/>
        <v>45010</v>
      </c>
      <c r="D80" t="str">
        <f t="shared" si="6"/>
        <v>2023 Mar 1st</v>
      </c>
    </row>
    <row r="81" spans="1:4" x14ac:dyDescent="0.3">
      <c r="A81" s="37">
        <f t="shared" si="7"/>
        <v>45006</v>
      </c>
      <c r="B81" s="37">
        <f t="shared" si="4"/>
        <v>44996</v>
      </c>
      <c r="C81" s="37">
        <f t="shared" si="5"/>
        <v>45010</v>
      </c>
      <c r="D81" t="str">
        <f t="shared" si="6"/>
        <v>2023 Mar 1st</v>
      </c>
    </row>
    <row r="82" spans="1:4" x14ac:dyDescent="0.3">
      <c r="A82" s="37">
        <f t="shared" si="7"/>
        <v>45007</v>
      </c>
      <c r="B82" s="37">
        <f t="shared" si="4"/>
        <v>44996</v>
      </c>
      <c r="C82" s="37">
        <f t="shared" si="5"/>
        <v>45010</v>
      </c>
      <c r="D82" t="str">
        <f t="shared" si="6"/>
        <v>2023 Mar 1st</v>
      </c>
    </row>
    <row r="83" spans="1:4" x14ac:dyDescent="0.3">
      <c r="A83" s="37">
        <f t="shared" si="7"/>
        <v>45008</v>
      </c>
      <c r="B83" s="37">
        <f t="shared" si="4"/>
        <v>44996</v>
      </c>
      <c r="C83" s="37">
        <f t="shared" si="5"/>
        <v>45010</v>
      </c>
      <c r="D83" t="str">
        <f t="shared" si="6"/>
        <v>2023 Mar 1st</v>
      </c>
    </row>
    <row r="84" spans="1:4" x14ac:dyDescent="0.3">
      <c r="A84" s="37">
        <f t="shared" si="7"/>
        <v>45009</v>
      </c>
      <c r="B84" s="37">
        <f t="shared" si="4"/>
        <v>44996</v>
      </c>
      <c r="C84" s="37">
        <f t="shared" si="5"/>
        <v>45010</v>
      </c>
      <c r="D84" t="str">
        <f t="shared" si="6"/>
        <v>2023 Mar 1st</v>
      </c>
    </row>
    <row r="85" spans="1:4" x14ac:dyDescent="0.3">
      <c r="A85" s="37">
        <f t="shared" si="7"/>
        <v>45010</v>
      </c>
      <c r="B85" s="37">
        <f t="shared" si="4"/>
        <v>44996</v>
      </c>
      <c r="C85" s="37">
        <f t="shared" si="5"/>
        <v>45010</v>
      </c>
      <c r="D85" t="str">
        <f t="shared" si="6"/>
        <v>2023 Mar 1st</v>
      </c>
    </row>
    <row r="86" spans="1:4" x14ac:dyDescent="0.3">
      <c r="A86" s="37">
        <f t="shared" si="7"/>
        <v>45011</v>
      </c>
      <c r="B86" s="37">
        <f t="shared" si="4"/>
        <v>45011</v>
      </c>
      <c r="C86" s="37">
        <f t="shared" si="5"/>
        <v>45026</v>
      </c>
      <c r="D86" t="str">
        <f t="shared" si="6"/>
        <v>2023 Mar 2nd</v>
      </c>
    </row>
    <row r="87" spans="1:4" x14ac:dyDescent="0.3">
      <c r="A87" s="37">
        <f t="shared" si="7"/>
        <v>45012</v>
      </c>
      <c r="B87" s="37">
        <f t="shared" si="4"/>
        <v>45011</v>
      </c>
      <c r="C87" s="37">
        <f t="shared" si="5"/>
        <v>45026</v>
      </c>
      <c r="D87" t="str">
        <f t="shared" si="6"/>
        <v>2023 Mar 2nd</v>
      </c>
    </row>
    <row r="88" spans="1:4" x14ac:dyDescent="0.3">
      <c r="A88" s="37">
        <f t="shared" si="7"/>
        <v>45013</v>
      </c>
      <c r="B88" s="37">
        <f t="shared" si="4"/>
        <v>45011</v>
      </c>
      <c r="C88" s="37">
        <f t="shared" si="5"/>
        <v>45026</v>
      </c>
      <c r="D88" t="str">
        <f t="shared" si="6"/>
        <v>2023 Mar 2nd</v>
      </c>
    </row>
    <row r="89" spans="1:4" x14ac:dyDescent="0.3">
      <c r="A89" s="37">
        <f t="shared" si="7"/>
        <v>45014</v>
      </c>
      <c r="B89" s="37">
        <f t="shared" si="4"/>
        <v>45011</v>
      </c>
      <c r="C89" s="37">
        <f t="shared" si="5"/>
        <v>45026</v>
      </c>
      <c r="D89" t="str">
        <f t="shared" si="6"/>
        <v>2023 Mar 2nd</v>
      </c>
    </row>
    <row r="90" spans="1:4" x14ac:dyDescent="0.3">
      <c r="A90" s="37">
        <f t="shared" si="7"/>
        <v>45015</v>
      </c>
      <c r="B90" s="37">
        <f t="shared" si="4"/>
        <v>45011</v>
      </c>
      <c r="C90" s="37">
        <f t="shared" si="5"/>
        <v>45026</v>
      </c>
      <c r="D90" t="str">
        <f t="shared" si="6"/>
        <v>2023 Mar 2nd</v>
      </c>
    </row>
    <row r="91" spans="1:4" x14ac:dyDescent="0.3">
      <c r="A91" s="37">
        <f t="shared" si="7"/>
        <v>45016</v>
      </c>
      <c r="B91" s="37">
        <f t="shared" si="4"/>
        <v>45011</v>
      </c>
      <c r="C91" s="37">
        <f t="shared" si="5"/>
        <v>45026</v>
      </c>
      <c r="D91" t="str">
        <f t="shared" si="6"/>
        <v>2023 Mar 2nd</v>
      </c>
    </row>
    <row r="92" spans="1:4" x14ac:dyDescent="0.3">
      <c r="A92" s="37">
        <f t="shared" si="7"/>
        <v>45017</v>
      </c>
      <c r="B92" s="37">
        <f t="shared" si="4"/>
        <v>45011</v>
      </c>
      <c r="C92" s="37">
        <f t="shared" si="5"/>
        <v>45056</v>
      </c>
      <c r="D92" t="str">
        <f t="shared" si="6"/>
        <v>2023 Mar 2nd</v>
      </c>
    </row>
    <row r="93" spans="1:4" x14ac:dyDescent="0.3">
      <c r="A93" s="37">
        <f t="shared" si="7"/>
        <v>45018</v>
      </c>
      <c r="B93" s="37">
        <f t="shared" si="4"/>
        <v>45011</v>
      </c>
      <c r="C93" s="37">
        <f t="shared" si="5"/>
        <v>45056</v>
      </c>
      <c r="D93" t="str">
        <f t="shared" si="6"/>
        <v>2023 Mar 2nd</v>
      </c>
    </row>
    <row r="94" spans="1:4" x14ac:dyDescent="0.3">
      <c r="A94" s="37">
        <f t="shared" si="7"/>
        <v>45019</v>
      </c>
      <c r="B94" s="37">
        <f t="shared" si="4"/>
        <v>45011</v>
      </c>
      <c r="C94" s="37">
        <f t="shared" si="5"/>
        <v>45056</v>
      </c>
      <c r="D94" t="str">
        <f t="shared" si="6"/>
        <v>2023 Mar 2nd</v>
      </c>
    </row>
    <row r="95" spans="1:4" x14ac:dyDescent="0.3">
      <c r="A95" s="37">
        <f t="shared" si="7"/>
        <v>45020</v>
      </c>
      <c r="B95" s="37">
        <f t="shared" si="4"/>
        <v>45011</v>
      </c>
      <c r="C95" s="37">
        <f t="shared" si="5"/>
        <v>45056</v>
      </c>
      <c r="D95" t="str">
        <f t="shared" si="6"/>
        <v>2023 Mar 2nd</v>
      </c>
    </row>
    <row r="96" spans="1:4" x14ac:dyDescent="0.3">
      <c r="A96" s="37">
        <f t="shared" si="7"/>
        <v>45021</v>
      </c>
      <c r="B96" s="37">
        <f t="shared" si="4"/>
        <v>45011</v>
      </c>
      <c r="C96" s="37">
        <f t="shared" si="5"/>
        <v>45056</v>
      </c>
      <c r="D96" t="str">
        <f t="shared" si="6"/>
        <v>2023 Mar 2nd</v>
      </c>
    </row>
    <row r="97" spans="1:4" x14ac:dyDescent="0.3">
      <c r="A97" s="37">
        <f t="shared" si="7"/>
        <v>45022</v>
      </c>
      <c r="B97" s="37">
        <f t="shared" si="4"/>
        <v>45011</v>
      </c>
      <c r="C97" s="37">
        <f t="shared" si="5"/>
        <v>45056</v>
      </c>
      <c r="D97" t="str">
        <f t="shared" si="6"/>
        <v>2023 Mar 2nd</v>
      </c>
    </row>
    <row r="98" spans="1:4" x14ac:dyDescent="0.3">
      <c r="A98" s="37">
        <f t="shared" si="7"/>
        <v>45023</v>
      </c>
      <c r="B98" s="37">
        <f t="shared" si="4"/>
        <v>45011</v>
      </c>
      <c r="C98" s="37">
        <f t="shared" si="5"/>
        <v>45056</v>
      </c>
      <c r="D98" t="str">
        <f t="shared" si="6"/>
        <v>2023 Mar 2nd</v>
      </c>
    </row>
    <row r="99" spans="1:4" x14ac:dyDescent="0.3">
      <c r="A99" s="37">
        <f t="shared" si="7"/>
        <v>45024</v>
      </c>
      <c r="B99" s="37">
        <f t="shared" si="4"/>
        <v>45011</v>
      </c>
      <c r="C99" s="37">
        <f t="shared" si="5"/>
        <v>45056</v>
      </c>
      <c r="D99" t="str">
        <f t="shared" si="6"/>
        <v>2023 Mar 2nd</v>
      </c>
    </row>
    <row r="100" spans="1:4" x14ac:dyDescent="0.3">
      <c r="A100" s="37">
        <f t="shared" si="7"/>
        <v>45025</v>
      </c>
      <c r="B100" s="37">
        <f t="shared" si="4"/>
        <v>45011</v>
      </c>
      <c r="C100" s="37">
        <f t="shared" si="5"/>
        <v>45056</v>
      </c>
      <c r="D100" t="str">
        <f t="shared" si="6"/>
        <v>2023 Mar 2nd</v>
      </c>
    </row>
    <row r="101" spans="1:4" x14ac:dyDescent="0.3">
      <c r="A101" s="37">
        <f t="shared" si="7"/>
        <v>45026</v>
      </c>
      <c r="B101" s="37">
        <f t="shared" si="4"/>
        <v>45011</v>
      </c>
      <c r="C101" s="37">
        <f t="shared" si="5"/>
        <v>45056</v>
      </c>
      <c r="D101" t="str">
        <f t="shared" si="6"/>
        <v>2023 Mar 2nd</v>
      </c>
    </row>
    <row r="102" spans="1:4" x14ac:dyDescent="0.3">
      <c r="A102" s="37">
        <f t="shared" si="7"/>
        <v>45027</v>
      </c>
      <c r="B102" s="37">
        <f t="shared" si="4"/>
        <v>45027</v>
      </c>
      <c r="C102" s="37">
        <f t="shared" si="5"/>
        <v>45041</v>
      </c>
      <c r="D102" t="str">
        <f t="shared" si="6"/>
        <v>2023 Apr 1st</v>
      </c>
    </row>
    <row r="103" spans="1:4" x14ac:dyDescent="0.3">
      <c r="A103" s="37">
        <f t="shared" si="7"/>
        <v>45028</v>
      </c>
      <c r="B103" s="37">
        <f t="shared" si="4"/>
        <v>45027</v>
      </c>
      <c r="C103" s="37">
        <f t="shared" si="5"/>
        <v>45041</v>
      </c>
      <c r="D103" t="str">
        <f t="shared" si="6"/>
        <v>2023 Apr 1st</v>
      </c>
    </row>
    <row r="104" spans="1:4" x14ac:dyDescent="0.3">
      <c r="A104" s="37">
        <f t="shared" si="7"/>
        <v>45029</v>
      </c>
      <c r="B104" s="37">
        <f t="shared" si="4"/>
        <v>45027</v>
      </c>
      <c r="C104" s="37">
        <f t="shared" si="5"/>
        <v>45041</v>
      </c>
      <c r="D104" t="str">
        <f t="shared" si="6"/>
        <v>2023 Apr 1st</v>
      </c>
    </row>
    <row r="105" spans="1:4" x14ac:dyDescent="0.3">
      <c r="A105" s="37">
        <f t="shared" si="7"/>
        <v>45030</v>
      </c>
      <c r="B105" s="37">
        <f t="shared" si="4"/>
        <v>45027</v>
      </c>
      <c r="C105" s="37">
        <f t="shared" si="5"/>
        <v>45041</v>
      </c>
      <c r="D105" t="str">
        <f t="shared" si="6"/>
        <v>2023 Apr 1st</v>
      </c>
    </row>
    <row r="106" spans="1:4" x14ac:dyDescent="0.3">
      <c r="A106" s="37">
        <f t="shared" si="7"/>
        <v>45031</v>
      </c>
      <c r="B106" s="37">
        <f t="shared" si="4"/>
        <v>45027</v>
      </c>
      <c r="C106" s="37">
        <f t="shared" si="5"/>
        <v>45041</v>
      </c>
      <c r="D106" t="str">
        <f t="shared" si="6"/>
        <v>2023 Apr 1st</v>
      </c>
    </row>
    <row r="107" spans="1:4" x14ac:dyDescent="0.3">
      <c r="A107" s="37">
        <f t="shared" si="7"/>
        <v>45032</v>
      </c>
      <c r="B107" s="37">
        <f t="shared" si="4"/>
        <v>45027</v>
      </c>
      <c r="C107" s="37">
        <f t="shared" si="5"/>
        <v>45041</v>
      </c>
      <c r="D107" t="str">
        <f t="shared" si="6"/>
        <v>2023 Apr 1st</v>
      </c>
    </row>
    <row r="108" spans="1:4" x14ac:dyDescent="0.3">
      <c r="A108" s="37">
        <f t="shared" si="7"/>
        <v>45033</v>
      </c>
      <c r="B108" s="37">
        <f t="shared" si="4"/>
        <v>45027</v>
      </c>
      <c r="C108" s="37">
        <f t="shared" si="5"/>
        <v>45041</v>
      </c>
      <c r="D108" t="str">
        <f t="shared" si="6"/>
        <v>2023 Apr 1st</v>
      </c>
    </row>
    <row r="109" spans="1:4" x14ac:dyDescent="0.3">
      <c r="A109" s="37">
        <f t="shared" si="7"/>
        <v>45034</v>
      </c>
      <c r="B109" s="37">
        <f t="shared" si="4"/>
        <v>45027</v>
      </c>
      <c r="C109" s="37">
        <f t="shared" si="5"/>
        <v>45041</v>
      </c>
      <c r="D109" t="str">
        <f t="shared" si="6"/>
        <v>2023 Apr 1st</v>
      </c>
    </row>
    <row r="110" spans="1:4" x14ac:dyDescent="0.3">
      <c r="A110" s="37">
        <f t="shared" si="7"/>
        <v>45035</v>
      </c>
      <c r="B110" s="37">
        <f t="shared" si="4"/>
        <v>45027</v>
      </c>
      <c r="C110" s="37">
        <f t="shared" si="5"/>
        <v>45041</v>
      </c>
      <c r="D110" t="str">
        <f t="shared" si="6"/>
        <v>2023 Apr 1st</v>
      </c>
    </row>
    <row r="111" spans="1:4" x14ac:dyDescent="0.3">
      <c r="A111" s="37">
        <f t="shared" si="7"/>
        <v>45036</v>
      </c>
      <c r="B111" s="37">
        <f t="shared" si="4"/>
        <v>45027</v>
      </c>
      <c r="C111" s="37">
        <f t="shared" si="5"/>
        <v>45041</v>
      </c>
      <c r="D111" t="str">
        <f t="shared" si="6"/>
        <v>2023 Apr 1st</v>
      </c>
    </row>
    <row r="112" spans="1:4" x14ac:dyDescent="0.3">
      <c r="A112" s="37">
        <f t="shared" si="7"/>
        <v>45037</v>
      </c>
      <c r="B112" s="37">
        <f t="shared" si="4"/>
        <v>45027</v>
      </c>
      <c r="C112" s="37">
        <f t="shared" si="5"/>
        <v>45041</v>
      </c>
      <c r="D112" t="str">
        <f t="shared" si="6"/>
        <v>2023 Apr 1st</v>
      </c>
    </row>
    <row r="113" spans="1:4" x14ac:dyDescent="0.3">
      <c r="A113" s="37">
        <f t="shared" si="7"/>
        <v>45038</v>
      </c>
      <c r="B113" s="37">
        <f t="shared" si="4"/>
        <v>45027</v>
      </c>
      <c r="C113" s="37">
        <f t="shared" si="5"/>
        <v>45041</v>
      </c>
      <c r="D113" t="str">
        <f t="shared" si="6"/>
        <v>2023 Apr 1st</v>
      </c>
    </row>
    <row r="114" spans="1:4" x14ac:dyDescent="0.3">
      <c r="A114" s="37">
        <f t="shared" si="7"/>
        <v>45039</v>
      </c>
      <c r="B114" s="37">
        <f t="shared" si="4"/>
        <v>45027</v>
      </c>
      <c r="C114" s="37">
        <f t="shared" si="5"/>
        <v>45041</v>
      </c>
      <c r="D114" t="str">
        <f t="shared" si="6"/>
        <v>2023 Apr 1st</v>
      </c>
    </row>
    <row r="115" spans="1:4" x14ac:dyDescent="0.3">
      <c r="A115" s="37">
        <f t="shared" si="7"/>
        <v>45040</v>
      </c>
      <c r="B115" s="37">
        <f t="shared" si="4"/>
        <v>45027</v>
      </c>
      <c r="C115" s="37">
        <f t="shared" si="5"/>
        <v>45041</v>
      </c>
      <c r="D115" t="str">
        <f t="shared" si="6"/>
        <v>2023 Apr 1st</v>
      </c>
    </row>
    <row r="116" spans="1:4" x14ac:dyDescent="0.3">
      <c r="A116" s="37">
        <f t="shared" si="7"/>
        <v>45041</v>
      </c>
      <c r="B116" s="37">
        <f t="shared" si="4"/>
        <v>45027</v>
      </c>
      <c r="C116" s="37">
        <f t="shared" si="5"/>
        <v>45041</v>
      </c>
      <c r="D116" t="str">
        <f t="shared" si="6"/>
        <v>2023 Apr 1st</v>
      </c>
    </row>
    <row r="117" spans="1:4" x14ac:dyDescent="0.3">
      <c r="A117" s="37">
        <f t="shared" si="7"/>
        <v>45042</v>
      </c>
      <c r="B117" s="37">
        <f t="shared" si="4"/>
        <v>45042</v>
      </c>
      <c r="C117" s="37">
        <f t="shared" si="5"/>
        <v>45056</v>
      </c>
      <c r="D117" t="str">
        <f t="shared" si="6"/>
        <v>2023 Apr 2nd</v>
      </c>
    </row>
    <row r="118" spans="1:4" x14ac:dyDescent="0.3">
      <c r="A118" s="37">
        <f t="shared" si="7"/>
        <v>45043</v>
      </c>
      <c r="B118" s="37">
        <f t="shared" si="4"/>
        <v>45042</v>
      </c>
      <c r="C118" s="37">
        <f t="shared" si="5"/>
        <v>45056</v>
      </c>
      <c r="D118" t="str">
        <f t="shared" si="6"/>
        <v>2023 Apr 2nd</v>
      </c>
    </row>
    <row r="119" spans="1:4" x14ac:dyDescent="0.3">
      <c r="A119" s="37">
        <f t="shared" si="7"/>
        <v>45044</v>
      </c>
      <c r="B119" s="37">
        <f t="shared" si="4"/>
        <v>45042</v>
      </c>
      <c r="C119" s="37">
        <f t="shared" si="5"/>
        <v>45056</v>
      </c>
      <c r="D119" t="str">
        <f t="shared" si="6"/>
        <v>2023 Apr 2nd</v>
      </c>
    </row>
    <row r="120" spans="1:4" x14ac:dyDescent="0.3">
      <c r="A120" s="37">
        <f t="shared" si="7"/>
        <v>45045</v>
      </c>
      <c r="B120" s="37">
        <f t="shared" si="4"/>
        <v>45042</v>
      </c>
      <c r="C120" s="37">
        <f t="shared" si="5"/>
        <v>45056</v>
      </c>
      <c r="D120" t="str">
        <f t="shared" si="6"/>
        <v>2023 Apr 2nd</v>
      </c>
    </row>
    <row r="121" spans="1:4" x14ac:dyDescent="0.3">
      <c r="A121" s="37">
        <f t="shared" si="7"/>
        <v>45046</v>
      </c>
      <c r="B121" s="37">
        <f t="shared" si="4"/>
        <v>45042</v>
      </c>
      <c r="C121" s="37">
        <f t="shared" si="5"/>
        <v>45056</v>
      </c>
      <c r="D121" t="str">
        <f t="shared" si="6"/>
        <v>2023 Apr 2nd</v>
      </c>
    </row>
    <row r="122" spans="1:4" x14ac:dyDescent="0.3">
      <c r="A122" s="37">
        <f t="shared" si="7"/>
        <v>45047</v>
      </c>
      <c r="B122" s="37">
        <f t="shared" si="4"/>
        <v>45042</v>
      </c>
      <c r="C122" s="37">
        <f t="shared" si="5"/>
        <v>45087</v>
      </c>
      <c r="D122" t="str">
        <f t="shared" si="6"/>
        <v>2023 Apr 2nd</v>
      </c>
    </row>
    <row r="123" spans="1:4" x14ac:dyDescent="0.3">
      <c r="A123" s="37">
        <f t="shared" si="7"/>
        <v>45048</v>
      </c>
      <c r="B123" s="37">
        <f t="shared" si="4"/>
        <v>45042</v>
      </c>
      <c r="C123" s="37">
        <f t="shared" si="5"/>
        <v>45087</v>
      </c>
      <c r="D123" t="str">
        <f t="shared" si="6"/>
        <v>2023 Apr 2nd</v>
      </c>
    </row>
    <row r="124" spans="1:4" x14ac:dyDescent="0.3">
      <c r="A124" s="37">
        <f t="shared" si="7"/>
        <v>45049</v>
      </c>
      <c r="B124" s="37">
        <f t="shared" si="4"/>
        <v>45042</v>
      </c>
      <c r="C124" s="37">
        <f t="shared" si="5"/>
        <v>45087</v>
      </c>
      <c r="D124" t="str">
        <f t="shared" si="6"/>
        <v>2023 Apr 2nd</v>
      </c>
    </row>
    <row r="125" spans="1:4" x14ac:dyDescent="0.3">
      <c r="A125" s="37">
        <f t="shared" si="7"/>
        <v>45050</v>
      </c>
      <c r="B125" s="37">
        <f t="shared" si="4"/>
        <v>45042</v>
      </c>
      <c r="C125" s="37">
        <f t="shared" si="5"/>
        <v>45087</v>
      </c>
      <c r="D125" t="str">
        <f t="shared" si="6"/>
        <v>2023 Apr 2nd</v>
      </c>
    </row>
    <row r="126" spans="1:4" x14ac:dyDescent="0.3">
      <c r="A126" s="37">
        <f t="shared" si="7"/>
        <v>45051</v>
      </c>
      <c r="B126" s="37">
        <f t="shared" si="4"/>
        <v>45042</v>
      </c>
      <c r="C126" s="37">
        <f t="shared" si="5"/>
        <v>45087</v>
      </c>
      <c r="D126" t="str">
        <f t="shared" si="6"/>
        <v>2023 Apr 2nd</v>
      </c>
    </row>
    <row r="127" spans="1:4" x14ac:dyDescent="0.3">
      <c r="A127" s="37">
        <f t="shared" si="7"/>
        <v>45052</v>
      </c>
      <c r="B127" s="37">
        <f t="shared" si="4"/>
        <v>45042</v>
      </c>
      <c r="C127" s="37">
        <f t="shared" si="5"/>
        <v>45087</v>
      </c>
      <c r="D127" t="str">
        <f t="shared" si="6"/>
        <v>2023 Apr 2nd</v>
      </c>
    </row>
    <row r="128" spans="1:4" x14ac:dyDescent="0.3">
      <c r="A128" s="37">
        <f t="shared" si="7"/>
        <v>45053</v>
      </c>
      <c r="B128" s="37">
        <f t="shared" si="4"/>
        <v>45042</v>
      </c>
      <c r="C128" s="37">
        <f t="shared" si="5"/>
        <v>45087</v>
      </c>
      <c r="D128" t="str">
        <f t="shared" si="6"/>
        <v>2023 Apr 2nd</v>
      </c>
    </row>
    <row r="129" spans="1:4" x14ac:dyDescent="0.3">
      <c r="A129" s="37">
        <f t="shared" si="7"/>
        <v>45054</v>
      </c>
      <c r="B129" s="37">
        <f t="shared" si="4"/>
        <v>45042</v>
      </c>
      <c r="C129" s="37">
        <f t="shared" si="5"/>
        <v>45087</v>
      </c>
      <c r="D129" t="str">
        <f t="shared" si="6"/>
        <v>2023 Apr 2nd</v>
      </c>
    </row>
    <row r="130" spans="1:4" x14ac:dyDescent="0.3">
      <c r="A130" s="37">
        <f t="shared" si="7"/>
        <v>45055</v>
      </c>
      <c r="B130" s="37">
        <f t="shared" si="4"/>
        <v>45042</v>
      </c>
      <c r="C130" s="37">
        <f t="shared" si="5"/>
        <v>45087</v>
      </c>
      <c r="D130" t="str">
        <f t="shared" si="6"/>
        <v>2023 Apr 2nd</v>
      </c>
    </row>
    <row r="131" spans="1:4" x14ac:dyDescent="0.3">
      <c r="A131" s="37">
        <f t="shared" si="7"/>
        <v>45056</v>
      </c>
      <c r="B131" s="37">
        <f t="shared" ref="B131:B194" si="8">IF(AND(DAY(A131)&gt;=11,DAY(A131)&lt;=25),DATE(YEAR(A131),MONTH(A131),11),DATE(YEAR(A131),IF(AND(DAY(A131)&gt;=1,DAY(A131)&lt;=10),MONTH(A131)-1,MONTH(A131)),26))</f>
        <v>45042</v>
      </c>
      <c r="C131" s="37">
        <f t="shared" ref="C131:C194" si="9">IF(DAY(B131)=11,DATE(YEAR(A131),MONTH(A131),25),DATE(YEAR(A131),MONTH(A131)+1,10))</f>
        <v>45087</v>
      </c>
      <c r="D131" t="str">
        <f t="shared" ref="D131:D194" si="10">IF(DAY(B131)=11,TEXT(DATE(YEAR(B131),MONTH(B131),DAY(B131)),"yyyy mmm") &amp;" 1st",TEXT(DATE(YEAR(B131),MONTH(B131),DAY(B131)),"yyyy mmm") &amp;" 2nd")</f>
        <v>2023 Apr 2nd</v>
      </c>
    </row>
    <row r="132" spans="1:4" x14ac:dyDescent="0.3">
      <c r="A132" s="37">
        <f t="shared" ref="A132:A195" si="11">A131+1</f>
        <v>45057</v>
      </c>
      <c r="B132" s="37">
        <f t="shared" si="8"/>
        <v>45057</v>
      </c>
      <c r="C132" s="37">
        <f t="shared" si="9"/>
        <v>45071</v>
      </c>
      <c r="D132" t="str">
        <f t="shared" si="10"/>
        <v>2023 May 1st</v>
      </c>
    </row>
    <row r="133" spans="1:4" x14ac:dyDescent="0.3">
      <c r="A133" s="37">
        <f t="shared" si="11"/>
        <v>45058</v>
      </c>
      <c r="B133" s="37">
        <f t="shared" si="8"/>
        <v>45057</v>
      </c>
      <c r="C133" s="37">
        <f t="shared" si="9"/>
        <v>45071</v>
      </c>
      <c r="D133" t="str">
        <f t="shared" si="10"/>
        <v>2023 May 1st</v>
      </c>
    </row>
    <row r="134" spans="1:4" x14ac:dyDescent="0.3">
      <c r="A134" s="37">
        <f t="shared" si="11"/>
        <v>45059</v>
      </c>
      <c r="B134" s="37">
        <f t="shared" si="8"/>
        <v>45057</v>
      </c>
      <c r="C134" s="37">
        <f t="shared" si="9"/>
        <v>45071</v>
      </c>
      <c r="D134" t="str">
        <f t="shared" si="10"/>
        <v>2023 May 1st</v>
      </c>
    </row>
    <row r="135" spans="1:4" x14ac:dyDescent="0.3">
      <c r="A135" s="37">
        <f t="shared" si="11"/>
        <v>45060</v>
      </c>
      <c r="B135" s="37">
        <f t="shared" si="8"/>
        <v>45057</v>
      </c>
      <c r="C135" s="37">
        <f t="shared" si="9"/>
        <v>45071</v>
      </c>
      <c r="D135" t="str">
        <f t="shared" si="10"/>
        <v>2023 May 1st</v>
      </c>
    </row>
    <row r="136" spans="1:4" x14ac:dyDescent="0.3">
      <c r="A136" s="37">
        <f t="shared" si="11"/>
        <v>45061</v>
      </c>
      <c r="B136" s="37">
        <f t="shared" si="8"/>
        <v>45057</v>
      </c>
      <c r="C136" s="37">
        <f t="shared" si="9"/>
        <v>45071</v>
      </c>
      <c r="D136" t="str">
        <f t="shared" si="10"/>
        <v>2023 May 1st</v>
      </c>
    </row>
    <row r="137" spans="1:4" x14ac:dyDescent="0.3">
      <c r="A137" s="37">
        <f t="shared" si="11"/>
        <v>45062</v>
      </c>
      <c r="B137" s="37">
        <f t="shared" si="8"/>
        <v>45057</v>
      </c>
      <c r="C137" s="37">
        <f t="shared" si="9"/>
        <v>45071</v>
      </c>
      <c r="D137" t="str">
        <f t="shared" si="10"/>
        <v>2023 May 1st</v>
      </c>
    </row>
    <row r="138" spans="1:4" x14ac:dyDescent="0.3">
      <c r="A138" s="37">
        <f t="shared" si="11"/>
        <v>45063</v>
      </c>
      <c r="B138" s="37">
        <f t="shared" si="8"/>
        <v>45057</v>
      </c>
      <c r="C138" s="37">
        <f t="shared" si="9"/>
        <v>45071</v>
      </c>
      <c r="D138" t="str">
        <f t="shared" si="10"/>
        <v>2023 May 1st</v>
      </c>
    </row>
    <row r="139" spans="1:4" x14ac:dyDescent="0.3">
      <c r="A139" s="37">
        <f t="shared" si="11"/>
        <v>45064</v>
      </c>
      <c r="B139" s="37">
        <f t="shared" si="8"/>
        <v>45057</v>
      </c>
      <c r="C139" s="37">
        <f t="shared" si="9"/>
        <v>45071</v>
      </c>
      <c r="D139" t="str">
        <f t="shared" si="10"/>
        <v>2023 May 1st</v>
      </c>
    </row>
    <row r="140" spans="1:4" x14ac:dyDescent="0.3">
      <c r="A140" s="37">
        <f t="shared" si="11"/>
        <v>45065</v>
      </c>
      <c r="B140" s="37">
        <f t="shared" si="8"/>
        <v>45057</v>
      </c>
      <c r="C140" s="37">
        <f t="shared" si="9"/>
        <v>45071</v>
      </c>
      <c r="D140" t="str">
        <f t="shared" si="10"/>
        <v>2023 May 1st</v>
      </c>
    </row>
    <row r="141" spans="1:4" x14ac:dyDescent="0.3">
      <c r="A141" s="37">
        <f t="shared" si="11"/>
        <v>45066</v>
      </c>
      <c r="B141" s="37">
        <f t="shared" si="8"/>
        <v>45057</v>
      </c>
      <c r="C141" s="37">
        <f t="shared" si="9"/>
        <v>45071</v>
      </c>
      <c r="D141" t="str">
        <f t="shared" si="10"/>
        <v>2023 May 1st</v>
      </c>
    </row>
    <row r="142" spans="1:4" x14ac:dyDescent="0.3">
      <c r="A142" s="37">
        <f t="shared" si="11"/>
        <v>45067</v>
      </c>
      <c r="B142" s="37">
        <f t="shared" si="8"/>
        <v>45057</v>
      </c>
      <c r="C142" s="37">
        <f t="shared" si="9"/>
        <v>45071</v>
      </c>
      <c r="D142" t="str">
        <f t="shared" si="10"/>
        <v>2023 May 1st</v>
      </c>
    </row>
    <row r="143" spans="1:4" x14ac:dyDescent="0.3">
      <c r="A143" s="37">
        <f t="shared" si="11"/>
        <v>45068</v>
      </c>
      <c r="B143" s="37">
        <f t="shared" si="8"/>
        <v>45057</v>
      </c>
      <c r="C143" s="37">
        <f t="shared" si="9"/>
        <v>45071</v>
      </c>
      <c r="D143" t="str">
        <f t="shared" si="10"/>
        <v>2023 May 1st</v>
      </c>
    </row>
    <row r="144" spans="1:4" x14ac:dyDescent="0.3">
      <c r="A144" s="37">
        <f t="shared" si="11"/>
        <v>45069</v>
      </c>
      <c r="B144" s="37">
        <f t="shared" si="8"/>
        <v>45057</v>
      </c>
      <c r="C144" s="37">
        <f t="shared" si="9"/>
        <v>45071</v>
      </c>
      <c r="D144" t="str">
        <f t="shared" si="10"/>
        <v>2023 May 1st</v>
      </c>
    </row>
    <row r="145" spans="1:4" x14ac:dyDescent="0.3">
      <c r="A145" s="37">
        <f t="shared" si="11"/>
        <v>45070</v>
      </c>
      <c r="B145" s="37">
        <f t="shared" si="8"/>
        <v>45057</v>
      </c>
      <c r="C145" s="37">
        <f t="shared" si="9"/>
        <v>45071</v>
      </c>
      <c r="D145" t="str">
        <f t="shared" si="10"/>
        <v>2023 May 1st</v>
      </c>
    </row>
    <row r="146" spans="1:4" x14ac:dyDescent="0.3">
      <c r="A146" s="37">
        <f t="shared" si="11"/>
        <v>45071</v>
      </c>
      <c r="B146" s="37">
        <f t="shared" si="8"/>
        <v>45057</v>
      </c>
      <c r="C146" s="37">
        <f t="shared" si="9"/>
        <v>45071</v>
      </c>
      <c r="D146" t="str">
        <f t="shared" si="10"/>
        <v>2023 May 1st</v>
      </c>
    </row>
    <row r="147" spans="1:4" x14ac:dyDescent="0.3">
      <c r="A147" s="37">
        <f t="shared" si="11"/>
        <v>45072</v>
      </c>
      <c r="B147" s="37">
        <f t="shared" si="8"/>
        <v>45072</v>
      </c>
      <c r="C147" s="37">
        <f t="shared" si="9"/>
        <v>45087</v>
      </c>
      <c r="D147" t="str">
        <f t="shared" si="10"/>
        <v>2023 May 2nd</v>
      </c>
    </row>
    <row r="148" spans="1:4" x14ac:dyDescent="0.3">
      <c r="A148" s="37">
        <f t="shared" si="11"/>
        <v>45073</v>
      </c>
      <c r="B148" s="37">
        <f t="shared" si="8"/>
        <v>45072</v>
      </c>
      <c r="C148" s="37">
        <f t="shared" si="9"/>
        <v>45087</v>
      </c>
      <c r="D148" t="str">
        <f t="shared" si="10"/>
        <v>2023 May 2nd</v>
      </c>
    </row>
    <row r="149" spans="1:4" x14ac:dyDescent="0.3">
      <c r="A149" s="37">
        <f t="shared" si="11"/>
        <v>45074</v>
      </c>
      <c r="B149" s="37">
        <f t="shared" si="8"/>
        <v>45072</v>
      </c>
      <c r="C149" s="37">
        <f t="shared" si="9"/>
        <v>45087</v>
      </c>
      <c r="D149" t="str">
        <f t="shared" si="10"/>
        <v>2023 May 2nd</v>
      </c>
    </row>
    <row r="150" spans="1:4" x14ac:dyDescent="0.3">
      <c r="A150" s="37">
        <f t="shared" si="11"/>
        <v>45075</v>
      </c>
      <c r="B150" s="37">
        <f t="shared" si="8"/>
        <v>45072</v>
      </c>
      <c r="C150" s="37">
        <f t="shared" si="9"/>
        <v>45087</v>
      </c>
      <c r="D150" t="str">
        <f t="shared" si="10"/>
        <v>2023 May 2nd</v>
      </c>
    </row>
    <row r="151" spans="1:4" x14ac:dyDescent="0.3">
      <c r="A151" s="37">
        <f t="shared" si="11"/>
        <v>45076</v>
      </c>
      <c r="B151" s="37">
        <f t="shared" si="8"/>
        <v>45072</v>
      </c>
      <c r="C151" s="37">
        <f t="shared" si="9"/>
        <v>45087</v>
      </c>
      <c r="D151" t="str">
        <f t="shared" si="10"/>
        <v>2023 May 2nd</v>
      </c>
    </row>
    <row r="152" spans="1:4" x14ac:dyDescent="0.3">
      <c r="A152" s="37">
        <f t="shared" si="11"/>
        <v>45077</v>
      </c>
      <c r="B152" s="37">
        <f t="shared" si="8"/>
        <v>45072</v>
      </c>
      <c r="C152" s="37">
        <f t="shared" si="9"/>
        <v>45087</v>
      </c>
      <c r="D152" t="str">
        <f t="shared" si="10"/>
        <v>2023 May 2nd</v>
      </c>
    </row>
    <row r="153" spans="1:4" x14ac:dyDescent="0.3">
      <c r="A153" s="37">
        <f t="shared" si="11"/>
        <v>45078</v>
      </c>
      <c r="B153" s="37">
        <f t="shared" si="8"/>
        <v>45072</v>
      </c>
      <c r="C153" s="37">
        <f t="shared" si="9"/>
        <v>45117</v>
      </c>
      <c r="D153" t="str">
        <f t="shared" si="10"/>
        <v>2023 May 2nd</v>
      </c>
    </row>
    <row r="154" spans="1:4" x14ac:dyDescent="0.3">
      <c r="A154" s="37">
        <f t="shared" si="11"/>
        <v>45079</v>
      </c>
      <c r="B154" s="37">
        <f t="shared" si="8"/>
        <v>45072</v>
      </c>
      <c r="C154" s="37">
        <f t="shared" si="9"/>
        <v>45117</v>
      </c>
      <c r="D154" t="str">
        <f t="shared" si="10"/>
        <v>2023 May 2nd</v>
      </c>
    </row>
    <row r="155" spans="1:4" x14ac:dyDescent="0.3">
      <c r="A155" s="37">
        <f t="shared" si="11"/>
        <v>45080</v>
      </c>
      <c r="B155" s="37">
        <f t="shared" si="8"/>
        <v>45072</v>
      </c>
      <c r="C155" s="37">
        <f t="shared" si="9"/>
        <v>45117</v>
      </c>
      <c r="D155" t="str">
        <f t="shared" si="10"/>
        <v>2023 May 2nd</v>
      </c>
    </row>
    <row r="156" spans="1:4" x14ac:dyDescent="0.3">
      <c r="A156" s="37">
        <f t="shared" si="11"/>
        <v>45081</v>
      </c>
      <c r="B156" s="37">
        <f t="shared" si="8"/>
        <v>45072</v>
      </c>
      <c r="C156" s="37">
        <f t="shared" si="9"/>
        <v>45117</v>
      </c>
      <c r="D156" t="str">
        <f t="shared" si="10"/>
        <v>2023 May 2nd</v>
      </c>
    </row>
    <row r="157" spans="1:4" x14ac:dyDescent="0.3">
      <c r="A157" s="37">
        <f t="shared" si="11"/>
        <v>45082</v>
      </c>
      <c r="B157" s="37">
        <f t="shared" si="8"/>
        <v>45072</v>
      </c>
      <c r="C157" s="37">
        <f t="shared" si="9"/>
        <v>45117</v>
      </c>
      <c r="D157" t="str">
        <f t="shared" si="10"/>
        <v>2023 May 2nd</v>
      </c>
    </row>
    <row r="158" spans="1:4" x14ac:dyDescent="0.3">
      <c r="A158" s="37">
        <f t="shared" si="11"/>
        <v>45083</v>
      </c>
      <c r="B158" s="37">
        <f t="shared" si="8"/>
        <v>45072</v>
      </c>
      <c r="C158" s="37">
        <f t="shared" si="9"/>
        <v>45117</v>
      </c>
      <c r="D158" t="str">
        <f t="shared" si="10"/>
        <v>2023 May 2nd</v>
      </c>
    </row>
    <row r="159" spans="1:4" x14ac:dyDescent="0.3">
      <c r="A159" s="37">
        <f t="shared" si="11"/>
        <v>45084</v>
      </c>
      <c r="B159" s="37">
        <f t="shared" si="8"/>
        <v>45072</v>
      </c>
      <c r="C159" s="37">
        <f t="shared" si="9"/>
        <v>45117</v>
      </c>
      <c r="D159" t="str">
        <f t="shared" si="10"/>
        <v>2023 May 2nd</v>
      </c>
    </row>
    <row r="160" spans="1:4" x14ac:dyDescent="0.3">
      <c r="A160" s="37">
        <f t="shared" si="11"/>
        <v>45085</v>
      </c>
      <c r="B160" s="37">
        <f t="shared" si="8"/>
        <v>45072</v>
      </c>
      <c r="C160" s="37">
        <f t="shared" si="9"/>
        <v>45117</v>
      </c>
      <c r="D160" t="str">
        <f t="shared" si="10"/>
        <v>2023 May 2nd</v>
      </c>
    </row>
    <row r="161" spans="1:4" x14ac:dyDescent="0.3">
      <c r="A161" s="37">
        <f t="shared" si="11"/>
        <v>45086</v>
      </c>
      <c r="B161" s="37">
        <f t="shared" si="8"/>
        <v>45072</v>
      </c>
      <c r="C161" s="37">
        <f t="shared" si="9"/>
        <v>45117</v>
      </c>
      <c r="D161" t="str">
        <f t="shared" si="10"/>
        <v>2023 May 2nd</v>
      </c>
    </row>
    <row r="162" spans="1:4" x14ac:dyDescent="0.3">
      <c r="A162" s="37">
        <f t="shared" si="11"/>
        <v>45087</v>
      </c>
      <c r="B162" s="37">
        <f t="shared" si="8"/>
        <v>45072</v>
      </c>
      <c r="C162" s="37">
        <f t="shared" si="9"/>
        <v>45117</v>
      </c>
      <c r="D162" t="str">
        <f t="shared" si="10"/>
        <v>2023 May 2nd</v>
      </c>
    </row>
    <row r="163" spans="1:4" x14ac:dyDescent="0.3">
      <c r="A163" s="37">
        <f t="shared" si="11"/>
        <v>45088</v>
      </c>
      <c r="B163" s="37">
        <f t="shared" si="8"/>
        <v>45088</v>
      </c>
      <c r="C163" s="37">
        <f t="shared" si="9"/>
        <v>45102</v>
      </c>
      <c r="D163" t="str">
        <f t="shared" si="10"/>
        <v>2023 Jun 1st</v>
      </c>
    </row>
    <row r="164" spans="1:4" x14ac:dyDescent="0.3">
      <c r="A164" s="37">
        <f t="shared" si="11"/>
        <v>45089</v>
      </c>
      <c r="B164" s="37">
        <f t="shared" si="8"/>
        <v>45088</v>
      </c>
      <c r="C164" s="37">
        <f t="shared" si="9"/>
        <v>45102</v>
      </c>
      <c r="D164" t="str">
        <f t="shared" si="10"/>
        <v>2023 Jun 1st</v>
      </c>
    </row>
    <row r="165" spans="1:4" x14ac:dyDescent="0.3">
      <c r="A165" s="37">
        <f t="shared" si="11"/>
        <v>45090</v>
      </c>
      <c r="B165" s="37">
        <f t="shared" si="8"/>
        <v>45088</v>
      </c>
      <c r="C165" s="37">
        <f t="shared" si="9"/>
        <v>45102</v>
      </c>
      <c r="D165" t="str">
        <f t="shared" si="10"/>
        <v>2023 Jun 1st</v>
      </c>
    </row>
    <row r="166" spans="1:4" x14ac:dyDescent="0.3">
      <c r="A166" s="37">
        <f t="shared" si="11"/>
        <v>45091</v>
      </c>
      <c r="B166" s="37">
        <f t="shared" si="8"/>
        <v>45088</v>
      </c>
      <c r="C166" s="37">
        <f t="shared" si="9"/>
        <v>45102</v>
      </c>
      <c r="D166" t="str">
        <f t="shared" si="10"/>
        <v>2023 Jun 1st</v>
      </c>
    </row>
    <row r="167" spans="1:4" x14ac:dyDescent="0.3">
      <c r="A167" s="37">
        <f t="shared" si="11"/>
        <v>45092</v>
      </c>
      <c r="B167" s="37">
        <f t="shared" si="8"/>
        <v>45088</v>
      </c>
      <c r="C167" s="37">
        <f t="shared" si="9"/>
        <v>45102</v>
      </c>
      <c r="D167" t="str">
        <f t="shared" si="10"/>
        <v>2023 Jun 1st</v>
      </c>
    </row>
    <row r="168" spans="1:4" x14ac:dyDescent="0.3">
      <c r="A168" s="37">
        <f t="shared" si="11"/>
        <v>45093</v>
      </c>
      <c r="B168" s="37">
        <f t="shared" si="8"/>
        <v>45088</v>
      </c>
      <c r="C168" s="37">
        <f t="shared" si="9"/>
        <v>45102</v>
      </c>
      <c r="D168" t="str">
        <f t="shared" si="10"/>
        <v>2023 Jun 1st</v>
      </c>
    </row>
    <row r="169" spans="1:4" x14ac:dyDescent="0.3">
      <c r="A169" s="37">
        <f t="shared" si="11"/>
        <v>45094</v>
      </c>
      <c r="B169" s="37">
        <f t="shared" si="8"/>
        <v>45088</v>
      </c>
      <c r="C169" s="37">
        <f t="shared" si="9"/>
        <v>45102</v>
      </c>
      <c r="D169" t="str">
        <f t="shared" si="10"/>
        <v>2023 Jun 1st</v>
      </c>
    </row>
    <row r="170" spans="1:4" x14ac:dyDescent="0.3">
      <c r="A170" s="37">
        <f t="shared" si="11"/>
        <v>45095</v>
      </c>
      <c r="B170" s="37">
        <f t="shared" si="8"/>
        <v>45088</v>
      </c>
      <c r="C170" s="37">
        <f t="shared" si="9"/>
        <v>45102</v>
      </c>
      <c r="D170" t="str">
        <f t="shared" si="10"/>
        <v>2023 Jun 1st</v>
      </c>
    </row>
    <row r="171" spans="1:4" x14ac:dyDescent="0.3">
      <c r="A171" s="37">
        <f t="shared" si="11"/>
        <v>45096</v>
      </c>
      <c r="B171" s="37">
        <f t="shared" si="8"/>
        <v>45088</v>
      </c>
      <c r="C171" s="37">
        <f t="shared" si="9"/>
        <v>45102</v>
      </c>
      <c r="D171" t="str">
        <f t="shared" si="10"/>
        <v>2023 Jun 1st</v>
      </c>
    </row>
    <row r="172" spans="1:4" x14ac:dyDescent="0.3">
      <c r="A172" s="37">
        <f t="shared" si="11"/>
        <v>45097</v>
      </c>
      <c r="B172" s="37">
        <f t="shared" si="8"/>
        <v>45088</v>
      </c>
      <c r="C172" s="37">
        <f t="shared" si="9"/>
        <v>45102</v>
      </c>
      <c r="D172" t="str">
        <f t="shared" si="10"/>
        <v>2023 Jun 1st</v>
      </c>
    </row>
    <row r="173" spans="1:4" x14ac:dyDescent="0.3">
      <c r="A173" s="37">
        <f t="shared" si="11"/>
        <v>45098</v>
      </c>
      <c r="B173" s="37">
        <f t="shared" si="8"/>
        <v>45088</v>
      </c>
      <c r="C173" s="37">
        <f t="shared" si="9"/>
        <v>45102</v>
      </c>
      <c r="D173" t="str">
        <f t="shared" si="10"/>
        <v>2023 Jun 1st</v>
      </c>
    </row>
    <row r="174" spans="1:4" x14ac:dyDescent="0.3">
      <c r="A174" s="37">
        <f t="shared" si="11"/>
        <v>45099</v>
      </c>
      <c r="B174" s="37">
        <f t="shared" si="8"/>
        <v>45088</v>
      </c>
      <c r="C174" s="37">
        <f t="shared" si="9"/>
        <v>45102</v>
      </c>
      <c r="D174" t="str">
        <f t="shared" si="10"/>
        <v>2023 Jun 1st</v>
      </c>
    </row>
    <row r="175" spans="1:4" x14ac:dyDescent="0.3">
      <c r="A175" s="37">
        <f t="shared" si="11"/>
        <v>45100</v>
      </c>
      <c r="B175" s="37">
        <f t="shared" si="8"/>
        <v>45088</v>
      </c>
      <c r="C175" s="37">
        <f t="shared" si="9"/>
        <v>45102</v>
      </c>
      <c r="D175" t="str">
        <f t="shared" si="10"/>
        <v>2023 Jun 1st</v>
      </c>
    </row>
    <row r="176" spans="1:4" x14ac:dyDescent="0.3">
      <c r="A176" s="37">
        <f t="shared" si="11"/>
        <v>45101</v>
      </c>
      <c r="B176" s="37">
        <f t="shared" si="8"/>
        <v>45088</v>
      </c>
      <c r="C176" s="37">
        <f t="shared" si="9"/>
        <v>45102</v>
      </c>
      <c r="D176" t="str">
        <f t="shared" si="10"/>
        <v>2023 Jun 1st</v>
      </c>
    </row>
    <row r="177" spans="1:4" x14ac:dyDescent="0.3">
      <c r="A177" s="37">
        <f t="shared" si="11"/>
        <v>45102</v>
      </c>
      <c r="B177" s="37">
        <f t="shared" si="8"/>
        <v>45088</v>
      </c>
      <c r="C177" s="37">
        <f t="shared" si="9"/>
        <v>45102</v>
      </c>
      <c r="D177" t="str">
        <f t="shared" si="10"/>
        <v>2023 Jun 1st</v>
      </c>
    </row>
    <row r="178" spans="1:4" x14ac:dyDescent="0.3">
      <c r="A178" s="37">
        <f t="shared" si="11"/>
        <v>45103</v>
      </c>
      <c r="B178" s="37">
        <f t="shared" si="8"/>
        <v>45103</v>
      </c>
      <c r="C178" s="37">
        <f t="shared" si="9"/>
        <v>45117</v>
      </c>
      <c r="D178" t="str">
        <f t="shared" si="10"/>
        <v>2023 Jun 2nd</v>
      </c>
    </row>
    <row r="179" spans="1:4" x14ac:dyDescent="0.3">
      <c r="A179" s="37">
        <f t="shared" si="11"/>
        <v>45104</v>
      </c>
      <c r="B179" s="37">
        <f t="shared" si="8"/>
        <v>45103</v>
      </c>
      <c r="C179" s="37">
        <f t="shared" si="9"/>
        <v>45117</v>
      </c>
      <c r="D179" t="str">
        <f t="shared" si="10"/>
        <v>2023 Jun 2nd</v>
      </c>
    </row>
    <row r="180" spans="1:4" x14ac:dyDescent="0.3">
      <c r="A180" s="37">
        <f t="shared" si="11"/>
        <v>45105</v>
      </c>
      <c r="B180" s="37">
        <f t="shared" si="8"/>
        <v>45103</v>
      </c>
      <c r="C180" s="37">
        <f t="shared" si="9"/>
        <v>45117</v>
      </c>
      <c r="D180" t="str">
        <f t="shared" si="10"/>
        <v>2023 Jun 2nd</v>
      </c>
    </row>
    <row r="181" spans="1:4" x14ac:dyDescent="0.3">
      <c r="A181" s="37">
        <f t="shared" si="11"/>
        <v>45106</v>
      </c>
      <c r="B181" s="37">
        <f t="shared" si="8"/>
        <v>45103</v>
      </c>
      <c r="C181" s="37">
        <f t="shared" si="9"/>
        <v>45117</v>
      </c>
      <c r="D181" t="str">
        <f t="shared" si="10"/>
        <v>2023 Jun 2nd</v>
      </c>
    </row>
    <row r="182" spans="1:4" x14ac:dyDescent="0.3">
      <c r="A182" s="37">
        <f t="shared" si="11"/>
        <v>45107</v>
      </c>
      <c r="B182" s="37">
        <f t="shared" si="8"/>
        <v>45103</v>
      </c>
      <c r="C182" s="37">
        <f t="shared" si="9"/>
        <v>45117</v>
      </c>
      <c r="D182" t="str">
        <f t="shared" si="10"/>
        <v>2023 Jun 2nd</v>
      </c>
    </row>
    <row r="183" spans="1:4" x14ac:dyDescent="0.3">
      <c r="A183" s="37">
        <f t="shared" si="11"/>
        <v>45108</v>
      </c>
      <c r="B183" s="37">
        <f t="shared" si="8"/>
        <v>45103</v>
      </c>
      <c r="C183" s="37">
        <f t="shared" si="9"/>
        <v>45148</v>
      </c>
      <c r="D183" t="str">
        <f t="shared" si="10"/>
        <v>2023 Jun 2nd</v>
      </c>
    </row>
    <row r="184" spans="1:4" x14ac:dyDescent="0.3">
      <c r="A184" s="37">
        <f t="shared" si="11"/>
        <v>45109</v>
      </c>
      <c r="B184" s="37">
        <f t="shared" si="8"/>
        <v>45103</v>
      </c>
      <c r="C184" s="37">
        <f t="shared" si="9"/>
        <v>45148</v>
      </c>
      <c r="D184" t="str">
        <f t="shared" si="10"/>
        <v>2023 Jun 2nd</v>
      </c>
    </row>
    <row r="185" spans="1:4" x14ac:dyDescent="0.3">
      <c r="A185" s="37">
        <f t="shared" si="11"/>
        <v>45110</v>
      </c>
      <c r="B185" s="37">
        <f t="shared" si="8"/>
        <v>45103</v>
      </c>
      <c r="C185" s="37">
        <f t="shared" si="9"/>
        <v>45148</v>
      </c>
      <c r="D185" t="str">
        <f t="shared" si="10"/>
        <v>2023 Jun 2nd</v>
      </c>
    </row>
    <row r="186" spans="1:4" x14ac:dyDescent="0.3">
      <c r="A186" s="37">
        <f t="shared" si="11"/>
        <v>45111</v>
      </c>
      <c r="B186" s="37">
        <f t="shared" si="8"/>
        <v>45103</v>
      </c>
      <c r="C186" s="37">
        <f t="shared" si="9"/>
        <v>45148</v>
      </c>
      <c r="D186" t="str">
        <f t="shared" si="10"/>
        <v>2023 Jun 2nd</v>
      </c>
    </row>
    <row r="187" spans="1:4" x14ac:dyDescent="0.3">
      <c r="A187" s="37">
        <f t="shared" si="11"/>
        <v>45112</v>
      </c>
      <c r="B187" s="37">
        <f t="shared" si="8"/>
        <v>45103</v>
      </c>
      <c r="C187" s="37">
        <f t="shared" si="9"/>
        <v>45148</v>
      </c>
      <c r="D187" t="str">
        <f t="shared" si="10"/>
        <v>2023 Jun 2nd</v>
      </c>
    </row>
    <row r="188" spans="1:4" x14ac:dyDescent="0.3">
      <c r="A188" s="37">
        <f t="shared" si="11"/>
        <v>45113</v>
      </c>
      <c r="B188" s="37">
        <f t="shared" si="8"/>
        <v>45103</v>
      </c>
      <c r="C188" s="37">
        <f t="shared" si="9"/>
        <v>45148</v>
      </c>
      <c r="D188" t="str">
        <f t="shared" si="10"/>
        <v>2023 Jun 2nd</v>
      </c>
    </row>
    <row r="189" spans="1:4" x14ac:dyDescent="0.3">
      <c r="A189" s="37">
        <f t="shared" si="11"/>
        <v>45114</v>
      </c>
      <c r="B189" s="37">
        <f t="shared" si="8"/>
        <v>45103</v>
      </c>
      <c r="C189" s="37">
        <f t="shared" si="9"/>
        <v>45148</v>
      </c>
      <c r="D189" t="str">
        <f t="shared" si="10"/>
        <v>2023 Jun 2nd</v>
      </c>
    </row>
    <row r="190" spans="1:4" x14ac:dyDescent="0.3">
      <c r="A190" s="37">
        <f t="shared" si="11"/>
        <v>45115</v>
      </c>
      <c r="B190" s="37">
        <f t="shared" si="8"/>
        <v>45103</v>
      </c>
      <c r="C190" s="37">
        <f t="shared" si="9"/>
        <v>45148</v>
      </c>
      <c r="D190" t="str">
        <f t="shared" si="10"/>
        <v>2023 Jun 2nd</v>
      </c>
    </row>
    <row r="191" spans="1:4" x14ac:dyDescent="0.3">
      <c r="A191" s="37">
        <f t="shared" si="11"/>
        <v>45116</v>
      </c>
      <c r="B191" s="37">
        <f t="shared" si="8"/>
        <v>45103</v>
      </c>
      <c r="C191" s="37">
        <f t="shared" si="9"/>
        <v>45148</v>
      </c>
      <c r="D191" t="str">
        <f t="shared" si="10"/>
        <v>2023 Jun 2nd</v>
      </c>
    </row>
    <row r="192" spans="1:4" x14ac:dyDescent="0.3">
      <c r="A192" s="37">
        <f t="shared" si="11"/>
        <v>45117</v>
      </c>
      <c r="B192" s="37">
        <f t="shared" si="8"/>
        <v>45103</v>
      </c>
      <c r="C192" s="37">
        <f t="shared" si="9"/>
        <v>45148</v>
      </c>
      <c r="D192" t="str">
        <f t="shared" si="10"/>
        <v>2023 Jun 2nd</v>
      </c>
    </row>
    <row r="193" spans="1:4" x14ac:dyDescent="0.3">
      <c r="A193" s="37">
        <f t="shared" si="11"/>
        <v>45118</v>
      </c>
      <c r="B193" s="37">
        <f t="shared" si="8"/>
        <v>45118</v>
      </c>
      <c r="C193" s="37">
        <f t="shared" si="9"/>
        <v>45132</v>
      </c>
      <c r="D193" t="str">
        <f t="shared" si="10"/>
        <v>2023 Jul 1st</v>
      </c>
    </row>
    <row r="194" spans="1:4" x14ac:dyDescent="0.3">
      <c r="A194" s="37">
        <f t="shared" si="11"/>
        <v>45119</v>
      </c>
      <c r="B194" s="37">
        <f t="shared" si="8"/>
        <v>45118</v>
      </c>
      <c r="C194" s="37">
        <f t="shared" si="9"/>
        <v>45132</v>
      </c>
      <c r="D194" t="str">
        <f t="shared" si="10"/>
        <v>2023 Jul 1st</v>
      </c>
    </row>
    <row r="195" spans="1:4" x14ac:dyDescent="0.3">
      <c r="A195" s="37">
        <f t="shared" si="11"/>
        <v>45120</v>
      </c>
      <c r="B195" s="37">
        <f t="shared" ref="B195:B258" si="12">IF(AND(DAY(A195)&gt;=11,DAY(A195)&lt;=25),DATE(YEAR(A195),MONTH(A195),11),DATE(YEAR(A195),IF(AND(DAY(A195)&gt;=1,DAY(A195)&lt;=10),MONTH(A195)-1,MONTH(A195)),26))</f>
        <v>45118</v>
      </c>
      <c r="C195" s="37">
        <f t="shared" ref="C195:C258" si="13">IF(DAY(B195)=11,DATE(YEAR(A195),MONTH(A195),25),DATE(YEAR(A195),MONTH(A195)+1,10))</f>
        <v>45132</v>
      </c>
      <c r="D195" t="str">
        <f t="shared" ref="D195:D258" si="14">IF(DAY(B195)=11,TEXT(DATE(YEAR(B195),MONTH(B195),DAY(B195)),"yyyy mmm") &amp;" 1st",TEXT(DATE(YEAR(B195),MONTH(B195),DAY(B195)),"yyyy mmm") &amp;" 2nd")</f>
        <v>2023 Jul 1st</v>
      </c>
    </row>
    <row r="196" spans="1:4" x14ac:dyDescent="0.3">
      <c r="A196" s="37">
        <f t="shared" ref="A196:A259" si="15">A195+1</f>
        <v>45121</v>
      </c>
      <c r="B196" s="37">
        <f t="shared" si="12"/>
        <v>45118</v>
      </c>
      <c r="C196" s="37">
        <f t="shared" si="13"/>
        <v>45132</v>
      </c>
      <c r="D196" t="str">
        <f t="shared" si="14"/>
        <v>2023 Jul 1st</v>
      </c>
    </row>
    <row r="197" spans="1:4" x14ac:dyDescent="0.3">
      <c r="A197" s="37">
        <f t="shared" si="15"/>
        <v>45122</v>
      </c>
      <c r="B197" s="37">
        <f t="shared" si="12"/>
        <v>45118</v>
      </c>
      <c r="C197" s="37">
        <f t="shared" si="13"/>
        <v>45132</v>
      </c>
      <c r="D197" t="str">
        <f t="shared" si="14"/>
        <v>2023 Jul 1st</v>
      </c>
    </row>
    <row r="198" spans="1:4" x14ac:dyDescent="0.3">
      <c r="A198" s="37">
        <f t="shared" si="15"/>
        <v>45123</v>
      </c>
      <c r="B198" s="37">
        <f t="shared" si="12"/>
        <v>45118</v>
      </c>
      <c r="C198" s="37">
        <f t="shared" si="13"/>
        <v>45132</v>
      </c>
      <c r="D198" t="str">
        <f t="shared" si="14"/>
        <v>2023 Jul 1st</v>
      </c>
    </row>
    <row r="199" spans="1:4" x14ac:dyDescent="0.3">
      <c r="A199" s="37">
        <f t="shared" si="15"/>
        <v>45124</v>
      </c>
      <c r="B199" s="37">
        <f t="shared" si="12"/>
        <v>45118</v>
      </c>
      <c r="C199" s="37">
        <f t="shared" si="13"/>
        <v>45132</v>
      </c>
      <c r="D199" t="str">
        <f t="shared" si="14"/>
        <v>2023 Jul 1st</v>
      </c>
    </row>
    <row r="200" spans="1:4" x14ac:dyDescent="0.3">
      <c r="A200" s="37">
        <f t="shared" si="15"/>
        <v>45125</v>
      </c>
      <c r="B200" s="37">
        <f t="shared" si="12"/>
        <v>45118</v>
      </c>
      <c r="C200" s="37">
        <f t="shared" si="13"/>
        <v>45132</v>
      </c>
      <c r="D200" t="str">
        <f t="shared" si="14"/>
        <v>2023 Jul 1st</v>
      </c>
    </row>
    <row r="201" spans="1:4" x14ac:dyDescent="0.3">
      <c r="A201" s="37">
        <f t="shared" si="15"/>
        <v>45126</v>
      </c>
      <c r="B201" s="37">
        <f t="shared" si="12"/>
        <v>45118</v>
      </c>
      <c r="C201" s="37">
        <f t="shared" si="13"/>
        <v>45132</v>
      </c>
      <c r="D201" t="str">
        <f t="shared" si="14"/>
        <v>2023 Jul 1st</v>
      </c>
    </row>
    <row r="202" spans="1:4" x14ac:dyDescent="0.3">
      <c r="A202" s="37">
        <f t="shared" si="15"/>
        <v>45127</v>
      </c>
      <c r="B202" s="37">
        <f t="shared" si="12"/>
        <v>45118</v>
      </c>
      <c r="C202" s="37">
        <f t="shared" si="13"/>
        <v>45132</v>
      </c>
      <c r="D202" t="str">
        <f t="shared" si="14"/>
        <v>2023 Jul 1st</v>
      </c>
    </row>
    <row r="203" spans="1:4" x14ac:dyDescent="0.3">
      <c r="A203" s="37">
        <f t="shared" si="15"/>
        <v>45128</v>
      </c>
      <c r="B203" s="37">
        <f t="shared" si="12"/>
        <v>45118</v>
      </c>
      <c r="C203" s="37">
        <f t="shared" si="13"/>
        <v>45132</v>
      </c>
      <c r="D203" t="str">
        <f t="shared" si="14"/>
        <v>2023 Jul 1st</v>
      </c>
    </row>
    <row r="204" spans="1:4" x14ac:dyDescent="0.3">
      <c r="A204" s="37">
        <f t="shared" si="15"/>
        <v>45129</v>
      </c>
      <c r="B204" s="37">
        <f t="shared" si="12"/>
        <v>45118</v>
      </c>
      <c r="C204" s="37">
        <f t="shared" si="13"/>
        <v>45132</v>
      </c>
      <c r="D204" t="str">
        <f t="shared" si="14"/>
        <v>2023 Jul 1st</v>
      </c>
    </row>
    <row r="205" spans="1:4" x14ac:dyDescent="0.3">
      <c r="A205" s="37">
        <f t="shared" si="15"/>
        <v>45130</v>
      </c>
      <c r="B205" s="37">
        <f t="shared" si="12"/>
        <v>45118</v>
      </c>
      <c r="C205" s="37">
        <f t="shared" si="13"/>
        <v>45132</v>
      </c>
      <c r="D205" t="str">
        <f t="shared" si="14"/>
        <v>2023 Jul 1st</v>
      </c>
    </row>
    <row r="206" spans="1:4" x14ac:dyDescent="0.3">
      <c r="A206" s="37">
        <f t="shared" si="15"/>
        <v>45131</v>
      </c>
      <c r="B206" s="37">
        <f t="shared" si="12"/>
        <v>45118</v>
      </c>
      <c r="C206" s="37">
        <f t="shared" si="13"/>
        <v>45132</v>
      </c>
      <c r="D206" t="str">
        <f t="shared" si="14"/>
        <v>2023 Jul 1st</v>
      </c>
    </row>
    <row r="207" spans="1:4" x14ac:dyDescent="0.3">
      <c r="A207" s="37">
        <f t="shared" si="15"/>
        <v>45132</v>
      </c>
      <c r="B207" s="37">
        <f t="shared" si="12"/>
        <v>45118</v>
      </c>
      <c r="C207" s="37">
        <f t="shared" si="13"/>
        <v>45132</v>
      </c>
      <c r="D207" t="str">
        <f t="shared" si="14"/>
        <v>2023 Jul 1st</v>
      </c>
    </row>
    <row r="208" spans="1:4" x14ac:dyDescent="0.3">
      <c r="A208" s="37">
        <f t="shared" si="15"/>
        <v>45133</v>
      </c>
      <c r="B208" s="37">
        <f t="shared" si="12"/>
        <v>45133</v>
      </c>
      <c r="C208" s="37">
        <f t="shared" si="13"/>
        <v>45148</v>
      </c>
      <c r="D208" t="str">
        <f t="shared" si="14"/>
        <v>2023 Jul 2nd</v>
      </c>
    </row>
    <row r="209" spans="1:4" x14ac:dyDescent="0.3">
      <c r="A209" s="37">
        <f t="shared" si="15"/>
        <v>45134</v>
      </c>
      <c r="B209" s="37">
        <f t="shared" si="12"/>
        <v>45133</v>
      </c>
      <c r="C209" s="37">
        <f t="shared" si="13"/>
        <v>45148</v>
      </c>
      <c r="D209" t="str">
        <f t="shared" si="14"/>
        <v>2023 Jul 2nd</v>
      </c>
    </row>
    <row r="210" spans="1:4" x14ac:dyDescent="0.3">
      <c r="A210" s="37">
        <f t="shared" si="15"/>
        <v>45135</v>
      </c>
      <c r="B210" s="37">
        <f t="shared" si="12"/>
        <v>45133</v>
      </c>
      <c r="C210" s="37">
        <f t="shared" si="13"/>
        <v>45148</v>
      </c>
      <c r="D210" t="str">
        <f t="shared" si="14"/>
        <v>2023 Jul 2nd</v>
      </c>
    </row>
    <row r="211" spans="1:4" x14ac:dyDescent="0.3">
      <c r="A211" s="37">
        <f t="shared" si="15"/>
        <v>45136</v>
      </c>
      <c r="B211" s="37">
        <f t="shared" si="12"/>
        <v>45133</v>
      </c>
      <c r="C211" s="37">
        <f t="shared" si="13"/>
        <v>45148</v>
      </c>
      <c r="D211" t="str">
        <f t="shared" si="14"/>
        <v>2023 Jul 2nd</v>
      </c>
    </row>
    <row r="212" spans="1:4" x14ac:dyDescent="0.3">
      <c r="A212" s="37">
        <f t="shared" si="15"/>
        <v>45137</v>
      </c>
      <c r="B212" s="37">
        <f t="shared" si="12"/>
        <v>45133</v>
      </c>
      <c r="C212" s="37">
        <f t="shared" si="13"/>
        <v>45148</v>
      </c>
      <c r="D212" t="str">
        <f t="shared" si="14"/>
        <v>2023 Jul 2nd</v>
      </c>
    </row>
    <row r="213" spans="1:4" x14ac:dyDescent="0.3">
      <c r="A213" s="37">
        <f t="shared" si="15"/>
        <v>45138</v>
      </c>
      <c r="B213" s="37">
        <f t="shared" si="12"/>
        <v>45133</v>
      </c>
      <c r="C213" s="37">
        <f t="shared" si="13"/>
        <v>45148</v>
      </c>
      <c r="D213" t="str">
        <f t="shared" si="14"/>
        <v>2023 Jul 2nd</v>
      </c>
    </row>
    <row r="214" spans="1:4" x14ac:dyDescent="0.3">
      <c r="A214" s="37">
        <f t="shared" si="15"/>
        <v>45139</v>
      </c>
      <c r="B214" s="37">
        <f t="shared" si="12"/>
        <v>45133</v>
      </c>
      <c r="C214" s="37">
        <f t="shared" si="13"/>
        <v>45179</v>
      </c>
      <c r="D214" t="str">
        <f t="shared" si="14"/>
        <v>2023 Jul 2nd</v>
      </c>
    </row>
    <row r="215" spans="1:4" x14ac:dyDescent="0.3">
      <c r="A215" s="37">
        <f t="shared" si="15"/>
        <v>45140</v>
      </c>
      <c r="B215" s="37">
        <f t="shared" si="12"/>
        <v>45133</v>
      </c>
      <c r="C215" s="37">
        <f t="shared" si="13"/>
        <v>45179</v>
      </c>
      <c r="D215" t="str">
        <f t="shared" si="14"/>
        <v>2023 Jul 2nd</v>
      </c>
    </row>
    <row r="216" spans="1:4" x14ac:dyDescent="0.3">
      <c r="A216" s="37">
        <f t="shared" si="15"/>
        <v>45141</v>
      </c>
      <c r="B216" s="37">
        <f t="shared" si="12"/>
        <v>45133</v>
      </c>
      <c r="C216" s="37">
        <f t="shared" si="13"/>
        <v>45179</v>
      </c>
      <c r="D216" t="str">
        <f t="shared" si="14"/>
        <v>2023 Jul 2nd</v>
      </c>
    </row>
    <row r="217" spans="1:4" x14ac:dyDescent="0.3">
      <c r="A217" s="37">
        <f t="shared" si="15"/>
        <v>45142</v>
      </c>
      <c r="B217" s="37">
        <f t="shared" si="12"/>
        <v>45133</v>
      </c>
      <c r="C217" s="37">
        <f t="shared" si="13"/>
        <v>45179</v>
      </c>
      <c r="D217" t="str">
        <f t="shared" si="14"/>
        <v>2023 Jul 2nd</v>
      </c>
    </row>
    <row r="218" spans="1:4" x14ac:dyDescent="0.3">
      <c r="A218" s="37">
        <f t="shared" si="15"/>
        <v>45143</v>
      </c>
      <c r="B218" s="37">
        <f t="shared" si="12"/>
        <v>45133</v>
      </c>
      <c r="C218" s="37">
        <f t="shared" si="13"/>
        <v>45179</v>
      </c>
      <c r="D218" t="str">
        <f t="shared" si="14"/>
        <v>2023 Jul 2nd</v>
      </c>
    </row>
    <row r="219" spans="1:4" x14ac:dyDescent="0.3">
      <c r="A219" s="37">
        <f t="shared" si="15"/>
        <v>45144</v>
      </c>
      <c r="B219" s="37">
        <f t="shared" si="12"/>
        <v>45133</v>
      </c>
      <c r="C219" s="37">
        <f t="shared" si="13"/>
        <v>45179</v>
      </c>
      <c r="D219" t="str">
        <f t="shared" si="14"/>
        <v>2023 Jul 2nd</v>
      </c>
    </row>
    <row r="220" spans="1:4" x14ac:dyDescent="0.3">
      <c r="A220" s="37">
        <f t="shared" si="15"/>
        <v>45145</v>
      </c>
      <c r="B220" s="37">
        <f t="shared" si="12"/>
        <v>45133</v>
      </c>
      <c r="C220" s="37">
        <f t="shared" si="13"/>
        <v>45179</v>
      </c>
      <c r="D220" t="str">
        <f t="shared" si="14"/>
        <v>2023 Jul 2nd</v>
      </c>
    </row>
    <row r="221" spans="1:4" x14ac:dyDescent="0.3">
      <c r="A221" s="37">
        <f t="shared" si="15"/>
        <v>45146</v>
      </c>
      <c r="B221" s="37">
        <f t="shared" si="12"/>
        <v>45133</v>
      </c>
      <c r="C221" s="37">
        <f t="shared" si="13"/>
        <v>45179</v>
      </c>
      <c r="D221" t="str">
        <f t="shared" si="14"/>
        <v>2023 Jul 2nd</v>
      </c>
    </row>
    <row r="222" spans="1:4" x14ac:dyDescent="0.3">
      <c r="A222" s="37">
        <f t="shared" si="15"/>
        <v>45147</v>
      </c>
      <c r="B222" s="37">
        <f t="shared" si="12"/>
        <v>45133</v>
      </c>
      <c r="C222" s="37">
        <f t="shared" si="13"/>
        <v>45179</v>
      </c>
      <c r="D222" t="str">
        <f t="shared" si="14"/>
        <v>2023 Jul 2nd</v>
      </c>
    </row>
    <row r="223" spans="1:4" x14ac:dyDescent="0.3">
      <c r="A223" s="37">
        <f t="shared" si="15"/>
        <v>45148</v>
      </c>
      <c r="B223" s="37">
        <f t="shared" si="12"/>
        <v>45133</v>
      </c>
      <c r="C223" s="37">
        <f t="shared" si="13"/>
        <v>45179</v>
      </c>
      <c r="D223" t="str">
        <f t="shared" si="14"/>
        <v>2023 Jul 2nd</v>
      </c>
    </row>
    <row r="224" spans="1:4" x14ac:dyDescent="0.3">
      <c r="A224" s="37">
        <f t="shared" si="15"/>
        <v>45149</v>
      </c>
      <c r="B224" s="37">
        <f t="shared" si="12"/>
        <v>45149</v>
      </c>
      <c r="C224" s="37">
        <f t="shared" si="13"/>
        <v>45163</v>
      </c>
      <c r="D224" t="str">
        <f t="shared" si="14"/>
        <v>2023 Aug 1st</v>
      </c>
    </row>
    <row r="225" spans="1:4" x14ac:dyDescent="0.3">
      <c r="A225" s="37">
        <f t="shared" si="15"/>
        <v>45150</v>
      </c>
      <c r="B225" s="37">
        <f t="shared" si="12"/>
        <v>45149</v>
      </c>
      <c r="C225" s="37">
        <f t="shared" si="13"/>
        <v>45163</v>
      </c>
      <c r="D225" t="str">
        <f t="shared" si="14"/>
        <v>2023 Aug 1st</v>
      </c>
    </row>
    <row r="226" spans="1:4" x14ac:dyDescent="0.3">
      <c r="A226" s="37">
        <f t="shared" si="15"/>
        <v>45151</v>
      </c>
      <c r="B226" s="37">
        <f t="shared" si="12"/>
        <v>45149</v>
      </c>
      <c r="C226" s="37">
        <f t="shared" si="13"/>
        <v>45163</v>
      </c>
      <c r="D226" t="str">
        <f t="shared" si="14"/>
        <v>2023 Aug 1st</v>
      </c>
    </row>
    <row r="227" spans="1:4" x14ac:dyDescent="0.3">
      <c r="A227" s="37">
        <f t="shared" si="15"/>
        <v>45152</v>
      </c>
      <c r="B227" s="37">
        <f t="shared" si="12"/>
        <v>45149</v>
      </c>
      <c r="C227" s="37">
        <f t="shared" si="13"/>
        <v>45163</v>
      </c>
      <c r="D227" t="str">
        <f t="shared" si="14"/>
        <v>2023 Aug 1st</v>
      </c>
    </row>
    <row r="228" spans="1:4" x14ac:dyDescent="0.3">
      <c r="A228" s="37">
        <f t="shared" si="15"/>
        <v>45153</v>
      </c>
      <c r="B228" s="37">
        <f t="shared" si="12"/>
        <v>45149</v>
      </c>
      <c r="C228" s="37">
        <f t="shared" si="13"/>
        <v>45163</v>
      </c>
      <c r="D228" t="str">
        <f t="shared" si="14"/>
        <v>2023 Aug 1st</v>
      </c>
    </row>
    <row r="229" spans="1:4" x14ac:dyDescent="0.3">
      <c r="A229" s="37">
        <f t="shared" si="15"/>
        <v>45154</v>
      </c>
      <c r="B229" s="37">
        <f t="shared" si="12"/>
        <v>45149</v>
      </c>
      <c r="C229" s="37">
        <f t="shared" si="13"/>
        <v>45163</v>
      </c>
      <c r="D229" t="str">
        <f t="shared" si="14"/>
        <v>2023 Aug 1st</v>
      </c>
    </row>
    <row r="230" spans="1:4" x14ac:dyDescent="0.3">
      <c r="A230" s="37">
        <f t="shared" si="15"/>
        <v>45155</v>
      </c>
      <c r="B230" s="37">
        <f t="shared" si="12"/>
        <v>45149</v>
      </c>
      <c r="C230" s="37">
        <f t="shared" si="13"/>
        <v>45163</v>
      </c>
      <c r="D230" t="str">
        <f t="shared" si="14"/>
        <v>2023 Aug 1st</v>
      </c>
    </row>
    <row r="231" spans="1:4" x14ac:dyDescent="0.3">
      <c r="A231" s="37">
        <f t="shared" si="15"/>
        <v>45156</v>
      </c>
      <c r="B231" s="37">
        <f t="shared" si="12"/>
        <v>45149</v>
      </c>
      <c r="C231" s="37">
        <f t="shared" si="13"/>
        <v>45163</v>
      </c>
      <c r="D231" t="str">
        <f t="shared" si="14"/>
        <v>2023 Aug 1st</v>
      </c>
    </row>
    <row r="232" spans="1:4" x14ac:dyDescent="0.3">
      <c r="A232" s="37">
        <f t="shared" si="15"/>
        <v>45157</v>
      </c>
      <c r="B232" s="37">
        <f t="shared" si="12"/>
        <v>45149</v>
      </c>
      <c r="C232" s="37">
        <f t="shared" si="13"/>
        <v>45163</v>
      </c>
      <c r="D232" t="str">
        <f t="shared" si="14"/>
        <v>2023 Aug 1st</v>
      </c>
    </row>
    <row r="233" spans="1:4" x14ac:dyDescent="0.3">
      <c r="A233" s="37">
        <f t="shared" si="15"/>
        <v>45158</v>
      </c>
      <c r="B233" s="37">
        <f t="shared" si="12"/>
        <v>45149</v>
      </c>
      <c r="C233" s="37">
        <f t="shared" si="13"/>
        <v>45163</v>
      </c>
      <c r="D233" t="str">
        <f t="shared" si="14"/>
        <v>2023 Aug 1st</v>
      </c>
    </row>
    <row r="234" spans="1:4" x14ac:dyDescent="0.3">
      <c r="A234" s="37">
        <f t="shared" si="15"/>
        <v>45159</v>
      </c>
      <c r="B234" s="37">
        <f t="shared" si="12"/>
        <v>45149</v>
      </c>
      <c r="C234" s="37">
        <f t="shared" si="13"/>
        <v>45163</v>
      </c>
      <c r="D234" t="str">
        <f t="shared" si="14"/>
        <v>2023 Aug 1st</v>
      </c>
    </row>
    <row r="235" spans="1:4" x14ac:dyDescent="0.3">
      <c r="A235" s="37">
        <f t="shared" si="15"/>
        <v>45160</v>
      </c>
      <c r="B235" s="37">
        <f t="shared" si="12"/>
        <v>45149</v>
      </c>
      <c r="C235" s="37">
        <f t="shared" si="13"/>
        <v>45163</v>
      </c>
      <c r="D235" t="str">
        <f t="shared" si="14"/>
        <v>2023 Aug 1st</v>
      </c>
    </row>
    <row r="236" spans="1:4" x14ac:dyDescent="0.3">
      <c r="A236" s="37">
        <f t="shared" si="15"/>
        <v>45161</v>
      </c>
      <c r="B236" s="37">
        <f t="shared" si="12"/>
        <v>45149</v>
      </c>
      <c r="C236" s="37">
        <f t="shared" si="13"/>
        <v>45163</v>
      </c>
      <c r="D236" t="str">
        <f t="shared" si="14"/>
        <v>2023 Aug 1st</v>
      </c>
    </row>
    <row r="237" spans="1:4" x14ac:dyDescent="0.3">
      <c r="A237" s="37">
        <f t="shared" si="15"/>
        <v>45162</v>
      </c>
      <c r="B237" s="37">
        <f t="shared" si="12"/>
        <v>45149</v>
      </c>
      <c r="C237" s="37">
        <f t="shared" si="13"/>
        <v>45163</v>
      </c>
      <c r="D237" t="str">
        <f t="shared" si="14"/>
        <v>2023 Aug 1st</v>
      </c>
    </row>
    <row r="238" spans="1:4" x14ac:dyDescent="0.3">
      <c r="A238" s="37">
        <f t="shared" si="15"/>
        <v>45163</v>
      </c>
      <c r="B238" s="37">
        <f t="shared" si="12"/>
        <v>45149</v>
      </c>
      <c r="C238" s="37">
        <f t="shared" si="13"/>
        <v>45163</v>
      </c>
      <c r="D238" t="str">
        <f t="shared" si="14"/>
        <v>2023 Aug 1st</v>
      </c>
    </row>
    <row r="239" spans="1:4" x14ac:dyDescent="0.3">
      <c r="A239" s="37">
        <f t="shared" si="15"/>
        <v>45164</v>
      </c>
      <c r="B239" s="37">
        <f t="shared" si="12"/>
        <v>45164</v>
      </c>
      <c r="C239" s="37">
        <f t="shared" si="13"/>
        <v>45179</v>
      </c>
      <c r="D239" t="str">
        <f t="shared" si="14"/>
        <v>2023 Aug 2nd</v>
      </c>
    </row>
    <row r="240" spans="1:4" x14ac:dyDescent="0.3">
      <c r="A240" s="37">
        <f t="shared" si="15"/>
        <v>45165</v>
      </c>
      <c r="B240" s="37">
        <f t="shared" si="12"/>
        <v>45164</v>
      </c>
      <c r="C240" s="37">
        <f t="shared" si="13"/>
        <v>45179</v>
      </c>
      <c r="D240" t="str">
        <f t="shared" si="14"/>
        <v>2023 Aug 2nd</v>
      </c>
    </row>
    <row r="241" spans="1:4" x14ac:dyDescent="0.3">
      <c r="A241" s="37">
        <f t="shared" si="15"/>
        <v>45166</v>
      </c>
      <c r="B241" s="37">
        <f t="shared" si="12"/>
        <v>45164</v>
      </c>
      <c r="C241" s="37">
        <f t="shared" si="13"/>
        <v>45179</v>
      </c>
      <c r="D241" t="str">
        <f t="shared" si="14"/>
        <v>2023 Aug 2nd</v>
      </c>
    </row>
    <row r="242" spans="1:4" x14ac:dyDescent="0.3">
      <c r="A242" s="37">
        <f t="shared" si="15"/>
        <v>45167</v>
      </c>
      <c r="B242" s="37">
        <f t="shared" si="12"/>
        <v>45164</v>
      </c>
      <c r="C242" s="37">
        <f t="shared" si="13"/>
        <v>45179</v>
      </c>
      <c r="D242" t="str">
        <f t="shared" si="14"/>
        <v>2023 Aug 2nd</v>
      </c>
    </row>
    <row r="243" spans="1:4" x14ac:dyDescent="0.3">
      <c r="A243" s="37">
        <f t="shared" si="15"/>
        <v>45168</v>
      </c>
      <c r="B243" s="37">
        <f t="shared" si="12"/>
        <v>45164</v>
      </c>
      <c r="C243" s="37">
        <f t="shared" si="13"/>
        <v>45179</v>
      </c>
      <c r="D243" t="str">
        <f t="shared" si="14"/>
        <v>2023 Aug 2nd</v>
      </c>
    </row>
    <row r="244" spans="1:4" x14ac:dyDescent="0.3">
      <c r="A244" s="37">
        <f t="shared" si="15"/>
        <v>45169</v>
      </c>
      <c r="B244" s="37">
        <f t="shared" si="12"/>
        <v>45164</v>
      </c>
      <c r="C244" s="37">
        <f t="shared" si="13"/>
        <v>45179</v>
      </c>
      <c r="D244" t="str">
        <f t="shared" si="14"/>
        <v>2023 Aug 2nd</v>
      </c>
    </row>
    <row r="245" spans="1:4" x14ac:dyDescent="0.3">
      <c r="A245" s="37">
        <f t="shared" si="15"/>
        <v>45170</v>
      </c>
      <c r="B245" s="37">
        <f t="shared" si="12"/>
        <v>45164</v>
      </c>
      <c r="C245" s="37">
        <f t="shared" si="13"/>
        <v>45209</v>
      </c>
      <c r="D245" t="str">
        <f t="shared" si="14"/>
        <v>2023 Aug 2nd</v>
      </c>
    </row>
    <row r="246" spans="1:4" x14ac:dyDescent="0.3">
      <c r="A246" s="37">
        <f t="shared" si="15"/>
        <v>45171</v>
      </c>
      <c r="B246" s="37">
        <f t="shared" si="12"/>
        <v>45164</v>
      </c>
      <c r="C246" s="37">
        <f t="shared" si="13"/>
        <v>45209</v>
      </c>
      <c r="D246" t="str">
        <f t="shared" si="14"/>
        <v>2023 Aug 2nd</v>
      </c>
    </row>
    <row r="247" spans="1:4" x14ac:dyDescent="0.3">
      <c r="A247" s="37">
        <f t="shared" si="15"/>
        <v>45172</v>
      </c>
      <c r="B247" s="37">
        <f t="shared" si="12"/>
        <v>45164</v>
      </c>
      <c r="C247" s="37">
        <f t="shared" si="13"/>
        <v>45209</v>
      </c>
      <c r="D247" t="str">
        <f t="shared" si="14"/>
        <v>2023 Aug 2nd</v>
      </c>
    </row>
    <row r="248" spans="1:4" x14ac:dyDescent="0.3">
      <c r="A248" s="37">
        <f t="shared" si="15"/>
        <v>45173</v>
      </c>
      <c r="B248" s="37">
        <f t="shared" si="12"/>
        <v>45164</v>
      </c>
      <c r="C248" s="37">
        <f t="shared" si="13"/>
        <v>45209</v>
      </c>
      <c r="D248" t="str">
        <f t="shared" si="14"/>
        <v>2023 Aug 2nd</v>
      </c>
    </row>
    <row r="249" spans="1:4" x14ac:dyDescent="0.3">
      <c r="A249" s="37">
        <f t="shared" si="15"/>
        <v>45174</v>
      </c>
      <c r="B249" s="37">
        <f t="shared" si="12"/>
        <v>45164</v>
      </c>
      <c r="C249" s="37">
        <f t="shared" si="13"/>
        <v>45209</v>
      </c>
      <c r="D249" t="str">
        <f t="shared" si="14"/>
        <v>2023 Aug 2nd</v>
      </c>
    </row>
    <row r="250" spans="1:4" x14ac:dyDescent="0.3">
      <c r="A250" s="37">
        <f t="shared" si="15"/>
        <v>45175</v>
      </c>
      <c r="B250" s="37">
        <f t="shared" si="12"/>
        <v>45164</v>
      </c>
      <c r="C250" s="37">
        <f t="shared" si="13"/>
        <v>45209</v>
      </c>
      <c r="D250" t="str">
        <f t="shared" si="14"/>
        <v>2023 Aug 2nd</v>
      </c>
    </row>
    <row r="251" spans="1:4" x14ac:dyDescent="0.3">
      <c r="A251" s="37">
        <f t="shared" si="15"/>
        <v>45176</v>
      </c>
      <c r="B251" s="37">
        <f t="shared" si="12"/>
        <v>45164</v>
      </c>
      <c r="C251" s="37">
        <f t="shared" si="13"/>
        <v>45209</v>
      </c>
      <c r="D251" t="str">
        <f t="shared" si="14"/>
        <v>2023 Aug 2nd</v>
      </c>
    </row>
    <row r="252" spans="1:4" x14ac:dyDescent="0.3">
      <c r="A252" s="37">
        <f t="shared" si="15"/>
        <v>45177</v>
      </c>
      <c r="B252" s="37">
        <f t="shared" si="12"/>
        <v>45164</v>
      </c>
      <c r="C252" s="37">
        <f t="shared" si="13"/>
        <v>45209</v>
      </c>
      <c r="D252" t="str">
        <f t="shared" si="14"/>
        <v>2023 Aug 2nd</v>
      </c>
    </row>
    <row r="253" spans="1:4" x14ac:dyDescent="0.3">
      <c r="A253" s="37">
        <f t="shared" si="15"/>
        <v>45178</v>
      </c>
      <c r="B253" s="37">
        <f t="shared" si="12"/>
        <v>45164</v>
      </c>
      <c r="C253" s="37">
        <f t="shared" si="13"/>
        <v>45209</v>
      </c>
      <c r="D253" t="str">
        <f t="shared" si="14"/>
        <v>2023 Aug 2nd</v>
      </c>
    </row>
    <row r="254" spans="1:4" x14ac:dyDescent="0.3">
      <c r="A254" s="37">
        <f t="shared" si="15"/>
        <v>45179</v>
      </c>
      <c r="B254" s="37">
        <f t="shared" si="12"/>
        <v>45164</v>
      </c>
      <c r="C254" s="37">
        <f t="shared" si="13"/>
        <v>45209</v>
      </c>
      <c r="D254" t="str">
        <f t="shared" si="14"/>
        <v>2023 Aug 2nd</v>
      </c>
    </row>
    <row r="255" spans="1:4" x14ac:dyDescent="0.3">
      <c r="A255" s="37">
        <f t="shared" si="15"/>
        <v>45180</v>
      </c>
      <c r="B255" s="37">
        <f t="shared" si="12"/>
        <v>45180</v>
      </c>
      <c r="C255" s="37">
        <f t="shared" si="13"/>
        <v>45194</v>
      </c>
      <c r="D255" t="str">
        <f t="shared" si="14"/>
        <v>2023 Sep 1st</v>
      </c>
    </row>
    <row r="256" spans="1:4" x14ac:dyDescent="0.3">
      <c r="A256" s="37">
        <f t="shared" si="15"/>
        <v>45181</v>
      </c>
      <c r="B256" s="37">
        <f t="shared" si="12"/>
        <v>45180</v>
      </c>
      <c r="C256" s="37">
        <f t="shared" si="13"/>
        <v>45194</v>
      </c>
      <c r="D256" t="str">
        <f t="shared" si="14"/>
        <v>2023 Sep 1st</v>
      </c>
    </row>
    <row r="257" spans="1:4" x14ac:dyDescent="0.3">
      <c r="A257" s="37">
        <f t="shared" si="15"/>
        <v>45182</v>
      </c>
      <c r="B257" s="37">
        <f t="shared" si="12"/>
        <v>45180</v>
      </c>
      <c r="C257" s="37">
        <f t="shared" si="13"/>
        <v>45194</v>
      </c>
      <c r="D257" t="str">
        <f t="shared" si="14"/>
        <v>2023 Sep 1st</v>
      </c>
    </row>
    <row r="258" spans="1:4" x14ac:dyDescent="0.3">
      <c r="A258" s="37">
        <f t="shared" si="15"/>
        <v>45183</v>
      </c>
      <c r="B258" s="37">
        <f t="shared" si="12"/>
        <v>45180</v>
      </c>
      <c r="C258" s="37">
        <f t="shared" si="13"/>
        <v>45194</v>
      </c>
      <c r="D258" t="str">
        <f t="shared" si="14"/>
        <v>2023 Sep 1st</v>
      </c>
    </row>
    <row r="259" spans="1:4" x14ac:dyDescent="0.3">
      <c r="A259" s="37">
        <f t="shared" si="15"/>
        <v>45184</v>
      </c>
      <c r="B259" s="37">
        <f t="shared" ref="B259:B322" si="16">IF(AND(DAY(A259)&gt;=11,DAY(A259)&lt;=25),DATE(YEAR(A259),MONTH(A259),11),DATE(YEAR(A259),IF(AND(DAY(A259)&gt;=1,DAY(A259)&lt;=10),MONTH(A259)-1,MONTH(A259)),26))</f>
        <v>45180</v>
      </c>
      <c r="C259" s="37">
        <f t="shared" ref="C259:C322" si="17">IF(DAY(B259)=11,DATE(YEAR(A259),MONTH(A259),25),DATE(YEAR(A259),MONTH(A259)+1,10))</f>
        <v>45194</v>
      </c>
      <c r="D259" t="str">
        <f t="shared" ref="D259:D322" si="18">IF(DAY(B259)=11,TEXT(DATE(YEAR(B259),MONTH(B259),DAY(B259)),"yyyy mmm") &amp;" 1st",TEXT(DATE(YEAR(B259),MONTH(B259),DAY(B259)),"yyyy mmm") &amp;" 2nd")</f>
        <v>2023 Sep 1st</v>
      </c>
    </row>
    <row r="260" spans="1:4" x14ac:dyDescent="0.3">
      <c r="A260" s="37">
        <f t="shared" ref="A260:A323" si="19">A259+1</f>
        <v>45185</v>
      </c>
      <c r="B260" s="37">
        <f t="shared" si="16"/>
        <v>45180</v>
      </c>
      <c r="C260" s="37">
        <f t="shared" si="17"/>
        <v>45194</v>
      </c>
      <c r="D260" t="str">
        <f t="shared" si="18"/>
        <v>2023 Sep 1st</v>
      </c>
    </row>
    <row r="261" spans="1:4" x14ac:dyDescent="0.3">
      <c r="A261" s="37">
        <f t="shared" si="19"/>
        <v>45186</v>
      </c>
      <c r="B261" s="37">
        <f t="shared" si="16"/>
        <v>45180</v>
      </c>
      <c r="C261" s="37">
        <f t="shared" si="17"/>
        <v>45194</v>
      </c>
      <c r="D261" t="str">
        <f t="shared" si="18"/>
        <v>2023 Sep 1st</v>
      </c>
    </row>
    <row r="262" spans="1:4" x14ac:dyDescent="0.3">
      <c r="A262" s="37">
        <f t="shared" si="19"/>
        <v>45187</v>
      </c>
      <c r="B262" s="37">
        <f t="shared" si="16"/>
        <v>45180</v>
      </c>
      <c r="C262" s="37">
        <f t="shared" si="17"/>
        <v>45194</v>
      </c>
      <c r="D262" t="str">
        <f t="shared" si="18"/>
        <v>2023 Sep 1st</v>
      </c>
    </row>
    <row r="263" spans="1:4" x14ac:dyDescent="0.3">
      <c r="A263" s="37">
        <f t="shared" si="19"/>
        <v>45188</v>
      </c>
      <c r="B263" s="37">
        <f t="shared" si="16"/>
        <v>45180</v>
      </c>
      <c r="C263" s="37">
        <f t="shared" si="17"/>
        <v>45194</v>
      </c>
      <c r="D263" t="str">
        <f t="shared" si="18"/>
        <v>2023 Sep 1st</v>
      </c>
    </row>
    <row r="264" spans="1:4" x14ac:dyDescent="0.3">
      <c r="A264" s="37">
        <f t="shared" si="19"/>
        <v>45189</v>
      </c>
      <c r="B264" s="37">
        <f t="shared" si="16"/>
        <v>45180</v>
      </c>
      <c r="C264" s="37">
        <f t="shared" si="17"/>
        <v>45194</v>
      </c>
      <c r="D264" t="str">
        <f t="shared" si="18"/>
        <v>2023 Sep 1st</v>
      </c>
    </row>
    <row r="265" spans="1:4" x14ac:dyDescent="0.3">
      <c r="A265" s="37">
        <f t="shared" si="19"/>
        <v>45190</v>
      </c>
      <c r="B265" s="37">
        <f t="shared" si="16"/>
        <v>45180</v>
      </c>
      <c r="C265" s="37">
        <f t="shared" si="17"/>
        <v>45194</v>
      </c>
      <c r="D265" t="str">
        <f t="shared" si="18"/>
        <v>2023 Sep 1st</v>
      </c>
    </row>
    <row r="266" spans="1:4" x14ac:dyDescent="0.3">
      <c r="A266" s="37">
        <f t="shared" si="19"/>
        <v>45191</v>
      </c>
      <c r="B266" s="37">
        <f t="shared" si="16"/>
        <v>45180</v>
      </c>
      <c r="C266" s="37">
        <f t="shared" si="17"/>
        <v>45194</v>
      </c>
      <c r="D266" t="str">
        <f t="shared" si="18"/>
        <v>2023 Sep 1st</v>
      </c>
    </row>
    <row r="267" spans="1:4" x14ac:dyDescent="0.3">
      <c r="A267" s="37">
        <f t="shared" si="19"/>
        <v>45192</v>
      </c>
      <c r="B267" s="37">
        <f t="shared" si="16"/>
        <v>45180</v>
      </c>
      <c r="C267" s="37">
        <f t="shared" si="17"/>
        <v>45194</v>
      </c>
      <c r="D267" t="str">
        <f t="shared" si="18"/>
        <v>2023 Sep 1st</v>
      </c>
    </row>
    <row r="268" spans="1:4" x14ac:dyDescent="0.3">
      <c r="A268" s="37">
        <f t="shared" si="19"/>
        <v>45193</v>
      </c>
      <c r="B268" s="37">
        <f t="shared" si="16"/>
        <v>45180</v>
      </c>
      <c r="C268" s="37">
        <f t="shared" si="17"/>
        <v>45194</v>
      </c>
      <c r="D268" t="str">
        <f t="shared" si="18"/>
        <v>2023 Sep 1st</v>
      </c>
    </row>
    <row r="269" spans="1:4" x14ac:dyDescent="0.3">
      <c r="A269" s="37">
        <f t="shared" si="19"/>
        <v>45194</v>
      </c>
      <c r="B269" s="37">
        <f t="shared" si="16"/>
        <v>45180</v>
      </c>
      <c r="C269" s="37">
        <f t="shared" si="17"/>
        <v>45194</v>
      </c>
      <c r="D269" t="str">
        <f t="shared" si="18"/>
        <v>2023 Sep 1st</v>
      </c>
    </row>
    <row r="270" spans="1:4" x14ac:dyDescent="0.3">
      <c r="A270" s="37">
        <f t="shared" si="19"/>
        <v>45195</v>
      </c>
      <c r="B270" s="37">
        <f t="shared" si="16"/>
        <v>45195</v>
      </c>
      <c r="C270" s="37">
        <f t="shared" si="17"/>
        <v>45209</v>
      </c>
      <c r="D270" t="str">
        <f t="shared" si="18"/>
        <v>2023 Sep 2nd</v>
      </c>
    </row>
    <row r="271" spans="1:4" x14ac:dyDescent="0.3">
      <c r="A271" s="37">
        <f t="shared" si="19"/>
        <v>45196</v>
      </c>
      <c r="B271" s="37">
        <f t="shared" si="16"/>
        <v>45195</v>
      </c>
      <c r="C271" s="37">
        <f t="shared" si="17"/>
        <v>45209</v>
      </c>
      <c r="D271" t="str">
        <f t="shared" si="18"/>
        <v>2023 Sep 2nd</v>
      </c>
    </row>
    <row r="272" spans="1:4" x14ac:dyDescent="0.3">
      <c r="A272" s="37">
        <f t="shared" si="19"/>
        <v>45197</v>
      </c>
      <c r="B272" s="37">
        <f t="shared" si="16"/>
        <v>45195</v>
      </c>
      <c r="C272" s="37">
        <f t="shared" si="17"/>
        <v>45209</v>
      </c>
      <c r="D272" t="str">
        <f t="shared" si="18"/>
        <v>2023 Sep 2nd</v>
      </c>
    </row>
    <row r="273" spans="1:4" x14ac:dyDescent="0.3">
      <c r="A273" s="37">
        <f t="shared" si="19"/>
        <v>45198</v>
      </c>
      <c r="B273" s="37">
        <f t="shared" si="16"/>
        <v>45195</v>
      </c>
      <c r="C273" s="37">
        <f t="shared" si="17"/>
        <v>45209</v>
      </c>
      <c r="D273" t="str">
        <f t="shared" si="18"/>
        <v>2023 Sep 2nd</v>
      </c>
    </row>
    <row r="274" spans="1:4" x14ac:dyDescent="0.3">
      <c r="A274" s="37">
        <f t="shared" si="19"/>
        <v>45199</v>
      </c>
      <c r="B274" s="37">
        <f t="shared" si="16"/>
        <v>45195</v>
      </c>
      <c r="C274" s="37">
        <f t="shared" si="17"/>
        <v>45209</v>
      </c>
      <c r="D274" t="str">
        <f t="shared" si="18"/>
        <v>2023 Sep 2nd</v>
      </c>
    </row>
    <row r="275" spans="1:4" x14ac:dyDescent="0.3">
      <c r="A275" s="37">
        <f t="shared" si="19"/>
        <v>45200</v>
      </c>
      <c r="B275" s="37">
        <f t="shared" si="16"/>
        <v>45195</v>
      </c>
      <c r="C275" s="37">
        <f t="shared" si="17"/>
        <v>45240</v>
      </c>
      <c r="D275" t="str">
        <f t="shared" si="18"/>
        <v>2023 Sep 2nd</v>
      </c>
    </row>
    <row r="276" spans="1:4" x14ac:dyDescent="0.3">
      <c r="A276" s="37">
        <f t="shared" si="19"/>
        <v>45201</v>
      </c>
      <c r="B276" s="37">
        <f t="shared" si="16"/>
        <v>45195</v>
      </c>
      <c r="C276" s="37">
        <f t="shared" si="17"/>
        <v>45240</v>
      </c>
      <c r="D276" t="str">
        <f t="shared" si="18"/>
        <v>2023 Sep 2nd</v>
      </c>
    </row>
    <row r="277" spans="1:4" x14ac:dyDescent="0.3">
      <c r="A277" s="37">
        <f t="shared" si="19"/>
        <v>45202</v>
      </c>
      <c r="B277" s="37">
        <f t="shared" si="16"/>
        <v>45195</v>
      </c>
      <c r="C277" s="37">
        <f t="shared" si="17"/>
        <v>45240</v>
      </c>
      <c r="D277" t="str">
        <f t="shared" si="18"/>
        <v>2023 Sep 2nd</v>
      </c>
    </row>
    <row r="278" spans="1:4" x14ac:dyDescent="0.3">
      <c r="A278" s="37">
        <f t="shared" si="19"/>
        <v>45203</v>
      </c>
      <c r="B278" s="37">
        <f t="shared" si="16"/>
        <v>45195</v>
      </c>
      <c r="C278" s="37">
        <f t="shared" si="17"/>
        <v>45240</v>
      </c>
      <c r="D278" t="str">
        <f t="shared" si="18"/>
        <v>2023 Sep 2nd</v>
      </c>
    </row>
    <row r="279" spans="1:4" x14ac:dyDescent="0.3">
      <c r="A279" s="37">
        <f t="shared" si="19"/>
        <v>45204</v>
      </c>
      <c r="B279" s="37">
        <f t="shared" si="16"/>
        <v>45195</v>
      </c>
      <c r="C279" s="37">
        <f t="shared" si="17"/>
        <v>45240</v>
      </c>
      <c r="D279" t="str">
        <f t="shared" si="18"/>
        <v>2023 Sep 2nd</v>
      </c>
    </row>
    <row r="280" spans="1:4" x14ac:dyDescent="0.3">
      <c r="A280" s="37">
        <f t="shared" si="19"/>
        <v>45205</v>
      </c>
      <c r="B280" s="37">
        <f t="shared" si="16"/>
        <v>45195</v>
      </c>
      <c r="C280" s="37">
        <f t="shared" si="17"/>
        <v>45240</v>
      </c>
      <c r="D280" t="str">
        <f t="shared" si="18"/>
        <v>2023 Sep 2nd</v>
      </c>
    </row>
    <row r="281" spans="1:4" x14ac:dyDescent="0.3">
      <c r="A281" s="37">
        <f t="shared" si="19"/>
        <v>45206</v>
      </c>
      <c r="B281" s="37">
        <f t="shared" si="16"/>
        <v>45195</v>
      </c>
      <c r="C281" s="37">
        <f t="shared" si="17"/>
        <v>45240</v>
      </c>
      <c r="D281" t="str">
        <f t="shared" si="18"/>
        <v>2023 Sep 2nd</v>
      </c>
    </row>
    <row r="282" spans="1:4" x14ac:dyDescent="0.3">
      <c r="A282" s="37">
        <f t="shared" si="19"/>
        <v>45207</v>
      </c>
      <c r="B282" s="37">
        <f t="shared" si="16"/>
        <v>45195</v>
      </c>
      <c r="C282" s="37">
        <f t="shared" si="17"/>
        <v>45240</v>
      </c>
      <c r="D282" t="str">
        <f t="shared" si="18"/>
        <v>2023 Sep 2nd</v>
      </c>
    </row>
    <row r="283" spans="1:4" x14ac:dyDescent="0.3">
      <c r="A283" s="37">
        <f t="shared" si="19"/>
        <v>45208</v>
      </c>
      <c r="B283" s="37">
        <f t="shared" si="16"/>
        <v>45195</v>
      </c>
      <c r="C283" s="37">
        <f t="shared" si="17"/>
        <v>45240</v>
      </c>
      <c r="D283" t="str">
        <f t="shared" si="18"/>
        <v>2023 Sep 2nd</v>
      </c>
    </row>
    <row r="284" spans="1:4" x14ac:dyDescent="0.3">
      <c r="A284" s="37">
        <f t="shared" si="19"/>
        <v>45209</v>
      </c>
      <c r="B284" s="37">
        <f t="shared" si="16"/>
        <v>45195</v>
      </c>
      <c r="C284" s="37">
        <f t="shared" si="17"/>
        <v>45240</v>
      </c>
      <c r="D284" t="str">
        <f t="shared" si="18"/>
        <v>2023 Sep 2nd</v>
      </c>
    </row>
    <row r="285" spans="1:4" x14ac:dyDescent="0.3">
      <c r="A285" s="37">
        <f t="shared" si="19"/>
        <v>45210</v>
      </c>
      <c r="B285" s="37">
        <f t="shared" si="16"/>
        <v>45210</v>
      </c>
      <c r="C285" s="37">
        <f t="shared" si="17"/>
        <v>45224</v>
      </c>
      <c r="D285" t="str">
        <f t="shared" si="18"/>
        <v>2023 Oct 1st</v>
      </c>
    </row>
    <row r="286" spans="1:4" x14ac:dyDescent="0.3">
      <c r="A286" s="37">
        <f t="shared" si="19"/>
        <v>45211</v>
      </c>
      <c r="B286" s="37">
        <f t="shared" si="16"/>
        <v>45210</v>
      </c>
      <c r="C286" s="37">
        <f t="shared" si="17"/>
        <v>45224</v>
      </c>
      <c r="D286" t="str">
        <f t="shared" si="18"/>
        <v>2023 Oct 1st</v>
      </c>
    </row>
    <row r="287" spans="1:4" x14ac:dyDescent="0.3">
      <c r="A287" s="37">
        <f t="shared" si="19"/>
        <v>45212</v>
      </c>
      <c r="B287" s="37">
        <f t="shared" si="16"/>
        <v>45210</v>
      </c>
      <c r="C287" s="37">
        <f t="shared" si="17"/>
        <v>45224</v>
      </c>
      <c r="D287" t="str">
        <f t="shared" si="18"/>
        <v>2023 Oct 1st</v>
      </c>
    </row>
    <row r="288" spans="1:4" x14ac:dyDescent="0.3">
      <c r="A288" s="37">
        <f t="shared" si="19"/>
        <v>45213</v>
      </c>
      <c r="B288" s="37">
        <f t="shared" si="16"/>
        <v>45210</v>
      </c>
      <c r="C288" s="37">
        <f t="shared" si="17"/>
        <v>45224</v>
      </c>
      <c r="D288" t="str">
        <f t="shared" si="18"/>
        <v>2023 Oct 1st</v>
      </c>
    </row>
    <row r="289" spans="1:4" x14ac:dyDescent="0.3">
      <c r="A289" s="37">
        <f t="shared" si="19"/>
        <v>45214</v>
      </c>
      <c r="B289" s="37">
        <f t="shared" si="16"/>
        <v>45210</v>
      </c>
      <c r="C289" s="37">
        <f t="shared" si="17"/>
        <v>45224</v>
      </c>
      <c r="D289" t="str">
        <f t="shared" si="18"/>
        <v>2023 Oct 1st</v>
      </c>
    </row>
    <row r="290" spans="1:4" x14ac:dyDescent="0.3">
      <c r="A290" s="37">
        <f t="shared" si="19"/>
        <v>45215</v>
      </c>
      <c r="B290" s="37">
        <f t="shared" si="16"/>
        <v>45210</v>
      </c>
      <c r="C290" s="37">
        <f t="shared" si="17"/>
        <v>45224</v>
      </c>
      <c r="D290" t="str">
        <f t="shared" si="18"/>
        <v>2023 Oct 1st</v>
      </c>
    </row>
    <row r="291" spans="1:4" x14ac:dyDescent="0.3">
      <c r="A291" s="37">
        <f t="shared" si="19"/>
        <v>45216</v>
      </c>
      <c r="B291" s="37">
        <f t="shared" si="16"/>
        <v>45210</v>
      </c>
      <c r="C291" s="37">
        <f t="shared" si="17"/>
        <v>45224</v>
      </c>
      <c r="D291" t="str">
        <f t="shared" si="18"/>
        <v>2023 Oct 1st</v>
      </c>
    </row>
    <row r="292" spans="1:4" x14ac:dyDescent="0.3">
      <c r="A292" s="37">
        <f t="shared" si="19"/>
        <v>45217</v>
      </c>
      <c r="B292" s="37">
        <f t="shared" si="16"/>
        <v>45210</v>
      </c>
      <c r="C292" s="37">
        <f t="shared" si="17"/>
        <v>45224</v>
      </c>
      <c r="D292" t="str">
        <f t="shared" si="18"/>
        <v>2023 Oct 1st</v>
      </c>
    </row>
    <row r="293" spans="1:4" x14ac:dyDescent="0.3">
      <c r="A293" s="37">
        <f t="shared" si="19"/>
        <v>45218</v>
      </c>
      <c r="B293" s="37">
        <f t="shared" si="16"/>
        <v>45210</v>
      </c>
      <c r="C293" s="37">
        <f t="shared" si="17"/>
        <v>45224</v>
      </c>
      <c r="D293" t="str">
        <f t="shared" si="18"/>
        <v>2023 Oct 1st</v>
      </c>
    </row>
    <row r="294" spans="1:4" x14ac:dyDescent="0.3">
      <c r="A294" s="37">
        <f t="shared" si="19"/>
        <v>45219</v>
      </c>
      <c r="B294" s="37">
        <f t="shared" si="16"/>
        <v>45210</v>
      </c>
      <c r="C294" s="37">
        <f t="shared" si="17"/>
        <v>45224</v>
      </c>
      <c r="D294" t="str">
        <f t="shared" si="18"/>
        <v>2023 Oct 1st</v>
      </c>
    </row>
    <row r="295" spans="1:4" x14ac:dyDescent="0.3">
      <c r="A295" s="37">
        <f t="shared" si="19"/>
        <v>45220</v>
      </c>
      <c r="B295" s="37">
        <f t="shared" si="16"/>
        <v>45210</v>
      </c>
      <c r="C295" s="37">
        <f t="shared" si="17"/>
        <v>45224</v>
      </c>
      <c r="D295" t="str">
        <f t="shared" si="18"/>
        <v>2023 Oct 1st</v>
      </c>
    </row>
    <row r="296" spans="1:4" x14ac:dyDescent="0.3">
      <c r="A296" s="37">
        <f t="shared" si="19"/>
        <v>45221</v>
      </c>
      <c r="B296" s="37">
        <f t="shared" si="16"/>
        <v>45210</v>
      </c>
      <c r="C296" s="37">
        <f t="shared" si="17"/>
        <v>45224</v>
      </c>
      <c r="D296" t="str">
        <f t="shared" si="18"/>
        <v>2023 Oct 1st</v>
      </c>
    </row>
    <row r="297" spans="1:4" x14ac:dyDescent="0.3">
      <c r="A297" s="37">
        <f t="shared" si="19"/>
        <v>45222</v>
      </c>
      <c r="B297" s="37">
        <f t="shared" si="16"/>
        <v>45210</v>
      </c>
      <c r="C297" s="37">
        <f t="shared" si="17"/>
        <v>45224</v>
      </c>
      <c r="D297" t="str">
        <f t="shared" si="18"/>
        <v>2023 Oct 1st</v>
      </c>
    </row>
    <row r="298" spans="1:4" x14ac:dyDescent="0.3">
      <c r="A298" s="37">
        <f t="shared" si="19"/>
        <v>45223</v>
      </c>
      <c r="B298" s="37">
        <f t="shared" si="16"/>
        <v>45210</v>
      </c>
      <c r="C298" s="37">
        <f t="shared" si="17"/>
        <v>45224</v>
      </c>
      <c r="D298" t="str">
        <f t="shared" si="18"/>
        <v>2023 Oct 1st</v>
      </c>
    </row>
    <row r="299" spans="1:4" x14ac:dyDescent="0.3">
      <c r="A299" s="37">
        <f t="shared" si="19"/>
        <v>45224</v>
      </c>
      <c r="B299" s="37">
        <f t="shared" si="16"/>
        <v>45210</v>
      </c>
      <c r="C299" s="37">
        <f t="shared" si="17"/>
        <v>45224</v>
      </c>
      <c r="D299" t="str">
        <f t="shared" si="18"/>
        <v>2023 Oct 1st</v>
      </c>
    </row>
    <row r="300" spans="1:4" x14ac:dyDescent="0.3">
      <c r="A300" s="37">
        <f t="shared" si="19"/>
        <v>45225</v>
      </c>
      <c r="B300" s="37">
        <f t="shared" si="16"/>
        <v>45225</v>
      </c>
      <c r="C300" s="37">
        <f t="shared" si="17"/>
        <v>45240</v>
      </c>
      <c r="D300" t="str">
        <f t="shared" si="18"/>
        <v>2023 Oct 2nd</v>
      </c>
    </row>
    <row r="301" spans="1:4" x14ac:dyDescent="0.3">
      <c r="A301" s="37">
        <f t="shared" si="19"/>
        <v>45226</v>
      </c>
      <c r="B301" s="37">
        <f t="shared" si="16"/>
        <v>45225</v>
      </c>
      <c r="C301" s="37">
        <f t="shared" si="17"/>
        <v>45240</v>
      </c>
      <c r="D301" t="str">
        <f t="shared" si="18"/>
        <v>2023 Oct 2nd</v>
      </c>
    </row>
    <row r="302" spans="1:4" x14ac:dyDescent="0.3">
      <c r="A302" s="37">
        <f t="shared" si="19"/>
        <v>45227</v>
      </c>
      <c r="B302" s="37">
        <f t="shared" si="16"/>
        <v>45225</v>
      </c>
      <c r="C302" s="37">
        <f t="shared" si="17"/>
        <v>45240</v>
      </c>
      <c r="D302" t="str">
        <f t="shared" si="18"/>
        <v>2023 Oct 2nd</v>
      </c>
    </row>
    <row r="303" spans="1:4" x14ac:dyDescent="0.3">
      <c r="A303" s="37">
        <f t="shared" si="19"/>
        <v>45228</v>
      </c>
      <c r="B303" s="37">
        <f t="shared" si="16"/>
        <v>45225</v>
      </c>
      <c r="C303" s="37">
        <f t="shared" si="17"/>
        <v>45240</v>
      </c>
      <c r="D303" t="str">
        <f t="shared" si="18"/>
        <v>2023 Oct 2nd</v>
      </c>
    </row>
    <row r="304" spans="1:4" x14ac:dyDescent="0.3">
      <c r="A304" s="37">
        <f t="shared" si="19"/>
        <v>45229</v>
      </c>
      <c r="B304" s="37">
        <f t="shared" si="16"/>
        <v>45225</v>
      </c>
      <c r="C304" s="37">
        <f t="shared" si="17"/>
        <v>45240</v>
      </c>
      <c r="D304" t="str">
        <f t="shared" si="18"/>
        <v>2023 Oct 2nd</v>
      </c>
    </row>
    <row r="305" spans="1:4" x14ac:dyDescent="0.3">
      <c r="A305" s="37">
        <f t="shared" si="19"/>
        <v>45230</v>
      </c>
      <c r="B305" s="37">
        <f t="shared" si="16"/>
        <v>45225</v>
      </c>
      <c r="C305" s="37">
        <f t="shared" si="17"/>
        <v>45240</v>
      </c>
      <c r="D305" t="str">
        <f t="shared" si="18"/>
        <v>2023 Oct 2nd</v>
      </c>
    </row>
    <row r="306" spans="1:4" x14ac:dyDescent="0.3">
      <c r="A306" s="37">
        <f t="shared" si="19"/>
        <v>45231</v>
      </c>
      <c r="B306" s="37">
        <f t="shared" si="16"/>
        <v>45225</v>
      </c>
      <c r="C306" s="37">
        <f t="shared" si="17"/>
        <v>45270</v>
      </c>
      <c r="D306" t="str">
        <f t="shared" si="18"/>
        <v>2023 Oct 2nd</v>
      </c>
    </row>
    <row r="307" spans="1:4" x14ac:dyDescent="0.3">
      <c r="A307" s="37">
        <f t="shared" si="19"/>
        <v>45232</v>
      </c>
      <c r="B307" s="37">
        <f t="shared" si="16"/>
        <v>45225</v>
      </c>
      <c r="C307" s="37">
        <f t="shared" si="17"/>
        <v>45270</v>
      </c>
      <c r="D307" t="str">
        <f t="shared" si="18"/>
        <v>2023 Oct 2nd</v>
      </c>
    </row>
    <row r="308" spans="1:4" x14ac:dyDescent="0.3">
      <c r="A308" s="37">
        <f t="shared" si="19"/>
        <v>45233</v>
      </c>
      <c r="B308" s="37">
        <f t="shared" si="16"/>
        <v>45225</v>
      </c>
      <c r="C308" s="37">
        <f t="shared" si="17"/>
        <v>45270</v>
      </c>
      <c r="D308" t="str">
        <f t="shared" si="18"/>
        <v>2023 Oct 2nd</v>
      </c>
    </row>
    <row r="309" spans="1:4" x14ac:dyDescent="0.3">
      <c r="A309" s="37">
        <f t="shared" si="19"/>
        <v>45234</v>
      </c>
      <c r="B309" s="37">
        <f t="shared" si="16"/>
        <v>45225</v>
      </c>
      <c r="C309" s="37">
        <f t="shared" si="17"/>
        <v>45270</v>
      </c>
      <c r="D309" t="str">
        <f t="shared" si="18"/>
        <v>2023 Oct 2nd</v>
      </c>
    </row>
    <row r="310" spans="1:4" x14ac:dyDescent="0.3">
      <c r="A310" s="37">
        <f t="shared" si="19"/>
        <v>45235</v>
      </c>
      <c r="B310" s="37">
        <f t="shared" si="16"/>
        <v>45225</v>
      </c>
      <c r="C310" s="37">
        <f t="shared" si="17"/>
        <v>45270</v>
      </c>
      <c r="D310" t="str">
        <f t="shared" si="18"/>
        <v>2023 Oct 2nd</v>
      </c>
    </row>
    <row r="311" spans="1:4" x14ac:dyDescent="0.3">
      <c r="A311" s="37">
        <f t="shared" si="19"/>
        <v>45236</v>
      </c>
      <c r="B311" s="37">
        <f t="shared" si="16"/>
        <v>45225</v>
      </c>
      <c r="C311" s="37">
        <f t="shared" si="17"/>
        <v>45270</v>
      </c>
      <c r="D311" t="str">
        <f t="shared" si="18"/>
        <v>2023 Oct 2nd</v>
      </c>
    </row>
    <row r="312" spans="1:4" x14ac:dyDescent="0.3">
      <c r="A312" s="37">
        <f t="shared" si="19"/>
        <v>45237</v>
      </c>
      <c r="B312" s="37">
        <f t="shared" si="16"/>
        <v>45225</v>
      </c>
      <c r="C312" s="37">
        <f t="shared" si="17"/>
        <v>45270</v>
      </c>
      <c r="D312" t="str">
        <f t="shared" si="18"/>
        <v>2023 Oct 2nd</v>
      </c>
    </row>
    <row r="313" spans="1:4" x14ac:dyDescent="0.3">
      <c r="A313" s="37">
        <f t="shared" si="19"/>
        <v>45238</v>
      </c>
      <c r="B313" s="37">
        <f t="shared" si="16"/>
        <v>45225</v>
      </c>
      <c r="C313" s="37">
        <f t="shared" si="17"/>
        <v>45270</v>
      </c>
      <c r="D313" t="str">
        <f t="shared" si="18"/>
        <v>2023 Oct 2nd</v>
      </c>
    </row>
    <row r="314" spans="1:4" x14ac:dyDescent="0.3">
      <c r="A314" s="37">
        <f t="shared" si="19"/>
        <v>45239</v>
      </c>
      <c r="B314" s="37">
        <f t="shared" si="16"/>
        <v>45225</v>
      </c>
      <c r="C314" s="37">
        <f t="shared" si="17"/>
        <v>45270</v>
      </c>
      <c r="D314" t="str">
        <f t="shared" si="18"/>
        <v>2023 Oct 2nd</v>
      </c>
    </row>
    <row r="315" spans="1:4" x14ac:dyDescent="0.3">
      <c r="A315" s="37">
        <f t="shared" si="19"/>
        <v>45240</v>
      </c>
      <c r="B315" s="37">
        <f t="shared" si="16"/>
        <v>45225</v>
      </c>
      <c r="C315" s="37">
        <f t="shared" si="17"/>
        <v>45270</v>
      </c>
      <c r="D315" t="str">
        <f t="shared" si="18"/>
        <v>2023 Oct 2nd</v>
      </c>
    </row>
    <row r="316" spans="1:4" x14ac:dyDescent="0.3">
      <c r="A316" s="37">
        <f t="shared" si="19"/>
        <v>45241</v>
      </c>
      <c r="B316" s="37">
        <f t="shared" si="16"/>
        <v>45241</v>
      </c>
      <c r="C316" s="37">
        <f t="shared" si="17"/>
        <v>45255</v>
      </c>
      <c r="D316" t="str">
        <f t="shared" si="18"/>
        <v>2023 Nov 1st</v>
      </c>
    </row>
    <row r="317" spans="1:4" x14ac:dyDescent="0.3">
      <c r="A317" s="37">
        <f t="shared" si="19"/>
        <v>45242</v>
      </c>
      <c r="B317" s="37">
        <f t="shared" si="16"/>
        <v>45241</v>
      </c>
      <c r="C317" s="37">
        <f t="shared" si="17"/>
        <v>45255</v>
      </c>
      <c r="D317" t="str">
        <f t="shared" si="18"/>
        <v>2023 Nov 1st</v>
      </c>
    </row>
    <row r="318" spans="1:4" x14ac:dyDescent="0.3">
      <c r="A318" s="37">
        <f t="shared" si="19"/>
        <v>45243</v>
      </c>
      <c r="B318" s="37">
        <f t="shared" si="16"/>
        <v>45241</v>
      </c>
      <c r="C318" s="37">
        <f t="shared" si="17"/>
        <v>45255</v>
      </c>
      <c r="D318" t="str">
        <f t="shared" si="18"/>
        <v>2023 Nov 1st</v>
      </c>
    </row>
    <row r="319" spans="1:4" x14ac:dyDescent="0.3">
      <c r="A319" s="37">
        <f t="shared" si="19"/>
        <v>45244</v>
      </c>
      <c r="B319" s="37">
        <f t="shared" si="16"/>
        <v>45241</v>
      </c>
      <c r="C319" s="37">
        <f t="shared" si="17"/>
        <v>45255</v>
      </c>
      <c r="D319" t="str">
        <f t="shared" si="18"/>
        <v>2023 Nov 1st</v>
      </c>
    </row>
    <row r="320" spans="1:4" x14ac:dyDescent="0.3">
      <c r="A320" s="37">
        <f t="shared" si="19"/>
        <v>45245</v>
      </c>
      <c r="B320" s="37">
        <f t="shared" si="16"/>
        <v>45241</v>
      </c>
      <c r="C320" s="37">
        <f t="shared" si="17"/>
        <v>45255</v>
      </c>
      <c r="D320" t="str">
        <f t="shared" si="18"/>
        <v>2023 Nov 1st</v>
      </c>
    </row>
    <row r="321" spans="1:4" x14ac:dyDescent="0.3">
      <c r="A321" s="37">
        <f t="shared" si="19"/>
        <v>45246</v>
      </c>
      <c r="B321" s="37">
        <f t="shared" si="16"/>
        <v>45241</v>
      </c>
      <c r="C321" s="37">
        <f t="shared" si="17"/>
        <v>45255</v>
      </c>
      <c r="D321" t="str">
        <f t="shared" si="18"/>
        <v>2023 Nov 1st</v>
      </c>
    </row>
    <row r="322" spans="1:4" x14ac:dyDescent="0.3">
      <c r="A322" s="37">
        <f t="shared" si="19"/>
        <v>45247</v>
      </c>
      <c r="B322" s="37">
        <f t="shared" si="16"/>
        <v>45241</v>
      </c>
      <c r="C322" s="37">
        <f t="shared" si="17"/>
        <v>45255</v>
      </c>
      <c r="D322" t="str">
        <f t="shared" si="18"/>
        <v>2023 Nov 1st</v>
      </c>
    </row>
    <row r="323" spans="1:4" x14ac:dyDescent="0.3">
      <c r="A323" s="37">
        <f t="shared" si="19"/>
        <v>45248</v>
      </c>
      <c r="B323" s="37">
        <f t="shared" ref="B323:B386" si="20">IF(AND(DAY(A323)&gt;=11,DAY(A323)&lt;=25),DATE(YEAR(A323),MONTH(A323),11),DATE(YEAR(A323),IF(AND(DAY(A323)&gt;=1,DAY(A323)&lt;=10),MONTH(A323)-1,MONTH(A323)),26))</f>
        <v>45241</v>
      </c>
      <c r="C323" s="37">
        <f t="shared" ref="C323:C366" si="21">IF(DAY(B323)=11,DATE(YEAR(A323),MONTH(A323),25),DATE(YEAR(A323),MONTH(A323)+1,10))</f>
        <v>45255</v>
      </c>
      <c r="D323" t="str">
        <f t="shared" ref="D323:D386" si="22">IF(DAY(B323)=11,TEXT(DATE(YEAR(B323),MONTH(B323),DAY(B323)),"yyyy mmm") &amp;" 1st",TEXT(DATE(YEAR(B323),MONTH(B323),DAY(B323)),"yyyy mmm") &amp;" 2nd")</f>
        <v>2023 Nov 1st</v>
      </c>
    </row>
    <row r="324" spans="1:4" x14ac:dyDescent="0.3">
      <c r="A324" s="37">
        <f t="shared" ref="A324:A387" si="23">A323+1</f>
        <v>45249</v>
      </c>
      <c r="B324" s="37">
        <f t="shared" si="20"/>
        <v>45241</v>
      </c>
      <c r="C324" s="37">
        <f t="shared" si="21"/>
        <v>45255</v>
      </c>
      <c r="D324" t="str">
        <f t="shared" si="22"/>
        <v>2023 Nov 1st</v>
      </c>
    </row>
    <row r="325" spans="1:4" x14ac:dyDescent="0.3">
      <c r="A325" s="37">
        <f t="shared" si="23"/>
        <v>45250</v>
      </c>
      <c r="B325" s="37">
        <f t="shared" si="20"/>
        <v>45241</v>
      </c>
      <c r="C325" s="37">
        <f t="shared" si="21"/>
        <v>45255</v>
      </c>
      <c r="D325" t="str">
        <f t="shared" si="22"/>
        <v>2023 Nov 1st</v>
      </c>
    </row>
    <row r="326" spans="1:4" x14ac:dyDescent="0.3">
      <c r="A326" s="37">
        <f t="shared" si="23"/>
        <v>45251</v>
      </c>
      <c r="B326" s="37">
        <f t="shared" si="20"/>
        <v>45241</v>
      </c>
      <c r="C326" s="37">
        <f t="shared" si="21"/>
        <v>45255</v>
      </c>
      <c r="D326" t="str">
        <f t="shared" si="22"/>
        <v>2023 Nov 1st</v>
      </c>
    </row>
    <row r="327" spans="1:4" x14ac:dyDescent="0.3">
      <c r="A327" s="37">
        <f t="shared" si="23"/>
        <v>45252</v>
      </c>
      <c r="B327" s="37">
        <f t="shared" si="20"/>
        <v>45241</v>
      </c>
      <c r="C327" s="37">
        <f t="shared" si="21"/>
        <v>45255</v>
      </c>
      <c r="D327" t="str">
        <f t="shared" si="22"/>
        <v>2023 Nov 1st</v>
      </c>
    </row>
    <row r="328" spans="1:4" x14ac:dyDescent="0.3">
      <c r="A328" s="37">
        <f t="shared" si="23"/>
        <v>45253</v>
      </c>
      <c r="B328" s="37">
        <f t="shared" si="20"/>
        <v>45241</v>
      </c>
      <c r="C328" s="37">
        <f t="shared" si="21"/>
        <v>45255</v>
      </c>
      <c r="D328" t="str">
        <f t="shared" si="22"/>
        <v>2023 Nov 1st</v>
      </c>
    </row>
    <row r="329" spans="1:4" x14ac:dyDescent="0.3">
      <c r="A329" s="37">
        <f t="shared" si="23"/>
        <v>45254</v>
      </c>
      <c r="B329" s="37">
        <f t="shared" si="20"/>
        <v>45241</v>
      </c>
      <c r="C329" s="37">
        <f t="shared" si="21"/>
        <v>45255</v>
      </c>
      <c r="D329" t="str">
        <f t="shared" si="22"/>
        <v>2023 Nov 1st</v>
      </c>
    </row>
    <row r="330" spans="1:4" x14ac:dyDescent="0.3">
      <c r="A330" s="37">
        <f t="shared" si="23"/>
        <v>45255</v>
      </c>
      <c r="B330" s="37">
        <f t="shared" si="20"/>
        <v>45241</v>
      </c>
      <c r="C330" s="37">
        <f t="shared" si="21"/>
        <v>45255</v>
      </c>
      <c r="D330" t="str">
        <f t="shared" si="22"/>
        <v>2023 Nov 1st</v>
      </c>
    </row>
    <row r="331" spans="1:4" x14ac:dyDescent="0.3">
      <c r="A331" s="37">
        <f t="shared" si="23"/>
        <v>45256</v>
      </c>
      <c r="B331" s="37">
        <f t="shared" si="20"/>
        <v>45256</v>
      </c>
      <c r="C331" s="37">
        <f t="shared" si="21"/>
        <v>45270</v>
      </c>
      <c r="D331" t="str">
        <f t="shared" si="22"/>
        <v>2023 Nov 2nd</v>
      </c>
    </row>
    <row r="332" spans="1:4" x14ac:dyDescent="0.3">
      <c r="A332" s="37">
        <f t="shared" si="23"/>
        <v>45257</v>
      </c>
      <c r="B332" s="37">
        <f t="shared" si="20"/>
        <v>45256</v>
      </c>
      <c r="C332" s="37">
        <f t="shared" si="21"/>
        <v>45270</v>
      </c>
      <c r="D332" t="str">
        <f t="shared" si="22"/>
        <v>2023 Nov 2nd</v>
      </c>
    </row>
    <row r="333" spans="1:4" x14ac:dyDescent="0.3">
      <c r="A333" s="37">
        <f t="shared" si="23"/>
        <v>45258</v>
      </c>
      <c r="B333" s="37">
        <f t="shared" si="20"/>
        <v>45256</v>
      </c>
      <c r="C333" s="37">
        <f t="shared" si="21"/>
        <v>45270</v>
      </c>
      <c r="D333" t="str">
        <f t="shared" si="22"/>
        <v>2023 Nov 2nd</v>
      </c>
    </row>
    <row r="334" spans="1:4" x14ac:dyDescent="0.3">
      <c r="A334" s="37">
        <f t="shared" si="23"/>
        <v>45259</v>
      </c>
      <c r="B334" s="37">
        <f t="shared" si="20"/>
        <v>45256</v>
      </c>
      <c r="C334" s="37">
        <f t="shared" si="21"/>
        <v>45270</v>
      </c>
      <c r="D334" t="str">
        <f t="shared" si="22"/>
        <v>2023 Nov 2nd</v>
      </c>
    </row>
    <row r="335" spans="1:4" x14ac:dyDescent="0.3">
      <c r="A335" s="37">
        <f t="shared" si="23"/>
        <v>45260</v>
      </c>
      <c r="B335" s="37">
        <f t="shared" si="20"/>
        <v>45256</v>
      </c>
      <c r="C335" s="37">
        <f t="shared" si="21"/>
        <v>45270</v>
      </c>
      <c r="D335" t="str">
        <f t="shared" si="22"/>
        <v>2023 Nov 2nd</v>
      </c>
    </row>
    <row r="336" spans="1:4" x14ac:dyDescent="0.3">
      <c r="A336" s="37">
        <f t="shared" si="23"/>
        <v>45261</v>
      </c>
      <c r="B336" s="37">
        <f t="shared" si="20"/>
        <v>45256</v>
      </c>
      <c r="C336" s="37">
        <f t="shared" si="21"/>
        <v>45301</v>
      </c>
      <c r="D336" t="str">
        <f t="shared" si="22"/>
        <v>2023 Nov 2nd</v>
      </c>
    </row>
    <row r="337" spans="1:4" x14ac:dyDescent="0.3">
      <c r="A337" s="37">
        <f t="shared" si="23"/>
        <v>45262</v>
      </c>
      <c r="B337" s="37">
        <f t="shared" si="20"/>
        <v>45256</v>
      </c>
      <c r="C337" s="37">
        <f t="shared" si="21"/>
        <v>45301</v>
      </c>
      <c r="D337" t="str">
        <f t="shared" si="22"/>
        <v>2023 Nov 2nd</v>
      </c>
    </row>
    <row r="338" spans="1:4" x14ac:dyDescent="0.3">
      <c r="A338" s="37">
        <f t="shared" si="23"/>
        <v>45263</v>
      </c>
      <c r="B338" s="37">
        <f t="shared" si="20"/>
        <v>45256</v>
      </c>
      <c r="C338" s="37">
        <f t="shared" si="21"/>
        <v>45301</v>
      </c>
      <c r="D338" t="str">
        <f t="shared" si="22"/>
        <v>2023 Nov 2nd</v>
      </c>
    </row>
    <row r="339" spans="1:4" x14ac:dyDescent="0.3">
      <c r="A339" s="37">
        <f t="shared" si="23"/>
        <v>45264</v>
      </c>
      <c r="B339" s="37">
        <f t="shared" si="20"/>
        <v>45256</v>
      </c>
      <c r="C339" s="37">
        <f t="shared" si="21"/>
        <v>45301</v>
      </c>
      <c r="D339" t="str">
        <f t="shared" si="22"/>
        <v>2023 Nov 2nd</v>
      </c>
    </row>
    <row r="340" spans="1:4" x14ac:dyDescent="0.3">
      <c r="A340" s="37">
        <f t="shared" si="23"/>
        <v>45265</v>
      </c>
      <c r="B340" s="37">
        <f t="shared" si="20"/>
        <v>45256</v>
      </c>
      <c r="C340" s="37">
        <f t="shared" si="21"/>
        <v>45301</v>
      </c>
      <c r="D340" t="str">
        <f t="shared" si="22"/>
        <v>2023 Nov 2nd</v>
      </c>
    </row>
    <row r="341" spans="1:4" x14ac:dyDescent="0.3">
      <c r="A341" s="37">
        <f t="shared" si="23"/>
        <v>45266</v>
      </c>
      <c r="B341" s="37">
        <f t="shared" si="20"/>
        <v>45256</v>
      </c>
      <c r="C341" s="37">
        <f t="shared" si="21"/>
        <v>45301</v>
      </c>
      <c r="D341" t="str">
        <f t="shared" si="22"/>
        <v>2023 Nov 2nd</v>
      </c>
    </row>
    <row r="342" spans="1:4" x14ac:dyDescent="0.3">
      <c r="A342" s="37">
        <f t="shared" si="23"/>
        <v>45267</v>
      </c>
      <c r="B342" s="37">
        <f t="shared" si="20"/>
        <v>45256</v>
      </c>
      <c r="C342" s="37">
        <f t="shared" si="21"/>
        <v>45301</v>
      </c>
      <c r="D342" t="str">
        <f t="shared" si="22"/>
        <v>2023 Nov 2nd</v>
      </c>
    </row>
    <row r="343" spans="1:4" x14ac:dyDescent="0.3">
      <c r="A343" s="37">
        <f t="shared" si="23"/>
        <v>45268</v>
      </c>
      <c r="B343" s="37">
        <f t="shared" si="20"/>
        <v>45256</v>
      </c>
      <c r="C343" s="37">
        <f t="shared" si="21"/>
        <v>45301</v>
      </c>
      <c r="D343" t="str">
        <f t="shared" si="22"/>
        <v>2023 Nov 2nd</v>
      </c>
    </row>
    <row r="344" spans="1:4" x14ac:dyDescent="0.3">
      <c r="A344" s="37">
        <f t="shared" si="23"/>
        <v>45269</v>
      </c>
      <c r="B344" s="37">
        <f t="shared" si="20"/>
        <v>45256</v>
      </c>
      <c r="C344" s="37">
        <f t="shared" si="21"/>
        <v>45301</v>
      </c>
      <c r="D344" t="str">
        <f t="shared" si="22"/>
        <v>2023 Nov 2nd</v>
      </c>
    </row>
    <row r="345" spans="1:4" x14ac:dyDescent="0.3">
      <c r="A345" s="37">
        <f t="shared" si="23"/>
        <v>45270</v>
      </c>
      <c r="B345" s="37">
        <f t="shared" si="20"/>
        <v>45256</v>
      </c>
      <c r="C345" s="37">
        <f t="shared" si="21"/>
        <v>45301</v>
      </c>
      <c r="D345" t="str">
        <f t="shared" si="22"/>
        <v>2023 Nov 2nd</v>
      </c>
    </row>
    <row r="346" spans="1:4" x14ac:dyDescent="0.3">
      <c r="A346" s="37">
        <f t="shared" si="23"/>
        <v>45271</v>
      </c>
      <c r="B346" s="37">
        <f t="shared" si="20"/>
        <v>45271</v>
      </c>
      <c r="C346" s="37">
        <f t="shared" si="21"/>
        <v>45285</v>
      </c>
      <c r="D346" t="str">
        <f t="shared" si="22"/>
        <v>2023 Dec 1st</v>
      </c>
    </row>
    <row r="347" spans="1:4" x14ac:dyDescent="0.3">
      <c r="A347" s="37">
        <f t="shared" si="23"/>
        <v>45272</v>
      </c>
      <c r="B347" s="37">
        <f t="shared" si="20"/>
        <v>45271</v>
      </c>
      <c r="C347" s="37">
        <f t="shared" si="21"/>
        <v>45285</v>
      </c>
      <c r="D347" t="str">
        <f t="shared" si="22"/>
        <v>2023 Dec 1st</v>
      </c>
    </row>
    <row r="348" spans="1:4" x14ac:dyDescent="0.3">
      <c r="A348" s="37">
        <f t="shared" si="23"/>
        <v>45273</v>
      </c>
      <c r="B348" s="37">
        <f t="shared" si="20"/>
        <v>45271</v>
      </c>
      <c r="C348" s="37">
        <f t="shared" si="21"/>
        <v>45285</v>
      </c>
      <c r="D348" t="str">
        <f t="shared" si="22"/>
        <v>2023 Dec 1st</v>
      </c>
    </row>
    <row r="349" spans="1:4" x14ac:dyDescent="0.3">
      <c r="A349" s="37">
        <f t="shared" si="23"/>
        <v>45274</v>
      </c>
      <c r="B349" s="37">
        <f t="shared" si="20"/>
        <v>45271</v>
      </c>
      <c r="C349" s="37">
        <f t="shared" si="21"/>
        <v>45285</v>
      </c>
      <c r="D349" t="str">
        <f t="shared" si="22"/>
        <v>2023 Dec 1st</v>
      </c>
    </row>
    <row r="350" spans="1:4" x14ac:dyDescent="0.3">
      <c r="A350" s="37">
        <f t="shared" si="23"/>
        <v>45275</v>
      </c>
      <c r="B350" s="37">
        <f t="shared" si="20"/>
        <v>45271</v>
      </c>
      <c r="C350" s="37">
        <f t="shared" si="21"/>
        <v>45285</v>
      </c>
      <c r="D350" t="str">
        <f t="shared" si="22"/>
        <v>2023 Dec 1st</v>
      </c>
    </row>
    <row r="351" spans="1:4" x14ac:dyDescent="0.3">
      <c r="A351" s="37">
        <f t="shared" si="23"/>
        <v>45276</v>
      </c>
      <c r="B351" s="37">
        <f t="shared" si="20"/>
        <v>45271</v>
      </c>
      <c r="C351" s="37">
        <f t="shared" si="21"/>
        <v>45285</v>
      </c>
      <c r="D351" t="str">
        <f t="shared" si="22"/>
        <v>2023 Dec 1st</v>
      </c>
    </row>
    <row r="352" spans="1:4" x14ac:dyDescent="0.3">
      <c r="A352" s="37">
        <f t="shared" si="23"/>
        <v>45277</v>
      </c>
      <c r="B352" s="37">
        <f t="shared" si="20"/>
        <v>45271</v>
      </c>
      <c r="C352" s="37">
        <f t="shared" si="21"/>
        <v>45285</v>
      </c>
      <c r="D352" t="str">
        <f t="shared" si="22"/>
        <v>2023 Dec 1st</v>
      </c>
    </row>
    <row r="353" spans="1:4" x14ac:dyDescent="0.3">
      <c r="A353" s="37">
        <f t="shared" si="23"/>
        <v>45278</v>
      </c>
      <c r="B353" s="37">
        <f t="shared" si="20"/>
        <v>45271</v>
      </c>
      <c r="C353" s="37">
        <f t="shared" si="21"/>
        <v>45285</v>
      </c>
      <c r="D353" t="str">
        <f t="shared" si="22"/>
        <v>2023 Dec 1st</v>
      </c>
    </row>
    <row r="354" spans="1:4" x14ac:dyDescent="0.3">
      <c r="A354" s="37">
        <f t="shared" si="23"/>
        <v>45279</v>
      </c>
      <c r="B354" s="37">
        <f t="shared" si="20"/>
        <v>45271</v>
      </c>
      <c r="C354" s="37">
        <f t="shared" si="21"/>
        <v>45285</v>
      </c>
      <c r="D354" t="str">
        <f t="shared" si="22"/>
        <v>2023 Dec 1st</v>
      </c>
    </row>
    <row r="355" spans="1:4" x14ac:dyDescent="0.3">
      <c r="A355" s="37">
        <f t="shared" si="23"/>
        <v>45280</v>
      </c>
      <c r="B355" s="37">
        <f t="shared" si="20"/>
        <v>45271</v>
      </c>
      <c r="C355" s="37">
        <f t="shared" si="21"/>
        <v>45285</v>
      </c>
      <c r="D355" t="str">
        <f t="shared" si="22"/>
        <v>2023 Dec 1st</v>
      </c>
    </row>
    <row r="356" spans="1:4" x14ac:dyDescent="0.3">
      <c r="A356" s="37">
        <f t="shared" si="23"/>
        <v>45281</v>
      </c>
      <c r="B356" s="37">
        <f t="shared" si="20"/>
        <v>45271</v>
      </c>
      <c r="C356" s="37">
        <f t="shared" si="21"/>
        <v>45285</v>
      </c>
      <c r="D356" t="str">
        <f t="shared" si="22"/>
        <v>2023 Dec 1st</v>
      </c>
    </row>
    <row r="357" spans="1:4" x14ac:dyDescent="0.3">
      <c r="A357" s="37">
        <f t="shared" si="23"/>
        <v>45282</v>
      </c>
      <c r="B357" s="37">
        <f t="shared" si="20"/>
        <v>45271</v>
      </c>
      <c r="C357" s="37">
        <f t="shared" si="21"/>
        <v>45285</v>
      </c>
      <c r="D357" t="str">
        <f t="shared" si="22"/>
        <v>2023 Dec 1st</v>
      </c>
    </row>
    <row r="358" spans="1:4" x14ac:dyDescent="0.3">
      <c r="A358" s="37">
        <f t="shared" si="23"/>
        <v>45283</v>
      </c>
      <c r="B358" s="37">
        <f t="shared" si="20"/>
        <v>45271</v>
      </c>
      <c r="C358" s="37">
        <f t="shared" si="21"/>
        <v>45285</v>
      </c>
      <c r="D358" t="str">
        <f t="shared" si="22"/>
        <v>2023 Dec 1st</v>
      </c>
    </row>
    <row r="359" spans="1:4" x14ac:dyDescent="0.3">
      <c r="A359" s="37">
        <f t="shared" si="23"/>
        <v>45284</v>
      </c>
      <c r="B359" s="37">
        <f t="shared" si="20"/>
        <v>45271</v>
      </c>
      <c r="C359" s="37">
        <f t="shared" si="21"/>
        <v>45285</v>
      </c>
      <c r="D359" t="str">
        <f t="shared" si="22"/>
        <v>2023 Dec 1st</v>
      </c>
    </row>
    <row r="360" spans="1:4" x14ac:dyDescent="0.3">
      <c r="A360" s="37">
        <f t="shared" si="23"/>
        <v>45285</v>
      </c>
      <c r="B360" s="37">
        <f t="shared" si="20"/>
        <v>45271</v>
      </c>
      <c r="C360" s="37">
        <f t="shared" si="21"/>
        <v>45285</v>
      </c>
      <c r="D360" t="str">
        <f t="shared" si="22"/>
        <v>2023 Dec 1st</v>
      </c>
    </row>
    <row r="361" spans="1:4" x14ac:dyDescent="0.3">
      <c r="A361" s="37">
        <f t="shared" si="23"/>
        <v>45286</v>
      </c>
      <c r="B361" s="37">
        <f t="shared" si="20"/>
        <v>45286</v>
      </c>
      <c r="C361" s="37">
        <f t="shared" si="21"/>
        <v>45301</v>
      </c>
      <c r="D361" t="str">
        <f t="shared" si="22"/>
        <v>2023 Dec 2nd</v>
      </c>
    </row>
    <row r="362" spans="1:4" x14ac:dyDescent="0.3">
      <c r="A362" s="37">
        <f t="shared" si="23"/>
        <v>45287</v>
      </c>
      <c r="B362" s="37">
        <f t="shared" si="20"/>
        <v>45286</v>
      </c>
      <c r="C362" s="37">
        <f t="shared" si="21"/>
        <v>45301</v>
      </c>
      <c r="D362" t="str">
        <f t="shared" si="22"/>
        <v>2023 Dec 2nd</v>
      </c>
    </row>
    <row r="363" spans="1:4" x14ac:dyDescent="0.3">
      <c r="A363" s="37">
        <f t="shared" si="23"/>
        <v>45288</v>
      </c>
      <c r="B363" s="37">
        <f t="shared" si="20"/>
        <v>45286</v>
      </c>
      <c r="C363" s="37">
        <f t="shared" si="21"/>
        <v>45301</v>
      </c>
      <c r="D363" t="str">
        <f t="shared" si="22"/>
        <v>2023 Dec 2nd</v>
      </c>
    </row>
    <row r="364" spans="1:4" x14ac:dyDescent="0.3">
      <c r="A364" s="37">
        <f t="shared" si="23"/>
        <v>45289</v>
      </c>
      <c r="B364" s="37">
        <f t="shared" si="20"/>
        <v>45286</v>
      </c>
      <c r="C364" s="37">
        <f t="shared" si="21"/>
        <v>45301</v>
      </c>
      <c r="D364" t="str">
        <f t="shared" si="22"/>
        <v>2023 Dec 2nd</v>
      </c>
    </row>
    <row r="365" spans="1:4" x14ac:dyDescent="0.3">
      <c r="A365" s="37">
        <f t="shared" si="23"/>
        <v>45290</v>
      </c>
      <c r="B365" s="37">
        <f t="shared" si="20"/>
        <v>45286</v>
      </c>
      <c r="C365" s="37">
        <f t="shared" si="21"/>
        <v>45301</v>
      </c>
      <c r="D365" t="str">
        <f t="shared" si="22"/>
        <v>2023 Dec 2nd</v>
      </c>
    </row>
    <row r="366" spans="1:4" x14ac:dyDescent="0.3">
      <c r="A366" s="37">
        <f t="shared" si="23"/>
        <v>45291</v>
      </c>
      <c r="B366" s="37">
        <f t="shared" si="20"/>
        <v>45286</v>
      </c>
      <c r="C366" s="37">
        <f t="shared" si="21"/>
        <v>45301</v>
      </c>
      <c r="D366" t="str">
        <f t="shared" si="22"/>
        <v>2023 Dec 2nd</v>
      </c>
    </row>
    <row r="367" spans="1:4" x14ac:dyDescent="0.3">
      <c r="A367" s="37">
        <f t="shared" si="23"/>
        <v>45292</v>
      </c>
      <c r="B367" s="37">
        <f t="shared" si="20"/>
        <v>45286</v>
      </c>
      <c r="C367" s="37">
        <f t="shared" ref="C367:C413" si="24">IF(DAY(B367)=11,DATE(YEAR(A367),MONTH(A367),25),DATE(YEAR(A367),MONTH(A367)+1,10))</f>
        <v>45332</v>
      </c>
      <c r="D367" t="str">
        <f t="shared" si="22"/>
        <v>2023 Dec 2nd</v>
      </c>
    </row>
    <row r="368" spans="1:4" x14ac:dyDescent="0.3">
      <c r="A368" s="37">
        <f t="shared" si="23"/>
        <v>45293</v>
      </c>
      <c r="B368" s="37">
        <f t="shared" si="20"/>
        <v>45286</v>
      </c>
      <c r="C368" s="37">
        <f t="shared" si="24"/>
        <v>45332</v>
      </c>
      <c r="D368" t="str">
        <f t="shared" si="22"/>
        <v>2023 Dec 2nd</v>
      </c>
    </row>
    <row r="369" spans="1:4" x14ac:dyDescent="0.3">
      <c r="A369" s="37">
        <f t="shared" si="23"/>
        <v>45294</v>
      </c>
      <c r="B369" s="37">
        <f t="shared" si="20"/>
        <v>45286</v>
      </c>
      <c r="C369" s="37">
        <f t="shared" si="24"/>
        <v>45332</v>
      </c>
      <c r="D369" t="str">
        <f t="shared" si="22"/>
        <v>2023 Dec 2nd</v>
      </c>
    </row>
    <row r="370" spans="1:4" x14ac:dyDescent="0.3">
      <c r="A370" s="37">
        <f t="shared" si="23"/>
        <v>45295</v>
      </c>
      <c r="B370" s="37">
        <f t="shared" si="20"/>
        <v>45286</v>
      </c>
      <c r="C370" s="37">
        <f t="shared" si="24"/>
        <v>45332</v>
      </c>
      <c r="D370" t="str">
        <f t="shared" si="22"/>
        <v>2023 Dec 2nd</v>
      </c>
    </row>
    <row r="371" spans="1:4" x14ac:dyDescent="0.3">
      <c r="A371" s="37">
        <f t="shared" si="23"/>
        <v>45296</v>
      </c>
      <c r="B371" s="37">
        <f t="shared" si="20"/>
        <v>45286</v>
      </c>
      <c r="C371" s="37">
        <f t="shared" si="24"/>
        <v>45332</v>
      </c>
      <c r="D371" t="str">
        <f t="shared" si="22"/>
        <v>2023 Dec 2nd</v>
      </c>
    </row>
    <row r="372" spans="1:4" x14ac:dyDescent="0.3">
      <c r="A372" s="37">
        <f t="shared" si="23"/>
        <v>45297</v>
      </c>
      <c r="B372" s="37">
        <f t="shared" si="20"/>
        <v>45286</v>
      </c>
      <c r="C372" s="37">
        <f t="shared" si="24"/>
        <v>45332</v>
      </c>
      <c r="D372" t="str">
        <f t="shared" si="22"/>
        <v>2023 Dec 2nd</v>
      </c>
    </row>
    <row r="373" spans="1:4" x14ac:dyDescent="0.3">
      <c r="A373" s="37">
        <f t="shared" si="23"/>
        <v>45298</v>
      </c>
      <c r="B373" s="37">
        <f t="shared" si="20"/>
        <v>45286</v>
      </c>
      <c r="C373" s="37">
        <f t="shared" si="24"/>
        <v>45332</v>
      </c>
      <c r="D373" t="str">
        <f t="shared" si="22"/>
        <v>2023 Dec 2nd</v>
      </c>
    </row>
    <row r="374" spans="1:4" x14ac:dyDescent="0.3">
      <c r="A374" s="37">
        <f t="shared" si="23"/>
        <v>45299</v>
      </c>
      <c r="B374" s="37">
        <f t="shared" si="20"/>
        <v>45286</v>
      </c>
      <c r="C374" s="37">
        <f t="shared" si="24"/>
        <v>45332</v>
      </c>
      <c r="D374" t="str">
        <f t="shared" si="22"/>
        <v>2023 Dec 2nd</v>
      </c>
    </row>
    <row r="375" spans="1:4" x14ac:dyDescent="0.3">
      <c r="A375" s="37">
        <f t="shared" si="23"/>
        <v>45300</v>
      </c>
      <c r="B375" s="37">
        <f t="shared" si="20"/>
        <v>45286</v>
      </c>
      <c r="C375" s="37">
        <f t="shared" si="24"/>
        <v>45332</v>
      </c>
      <c r="D375" t="str">
        <f t="shared" si="22"/>
        <v>2023 Dec 2nd</v>
      </c>
    </row>
    <row r="376" spans="1:4" x14ac:dyDescent="0.3">
      <c r="A376" s="37">
        <f t="shared" si="23"/>
        <v>45301</v>
      </c>
      <c r="B376" s="37">
        <f t="shared" si="20"/>
        <v>45286</v>
      </c>
      <c r="C376" s="37">
        <f t="shared" si="24"/>
        <v>45332</v>
      </c>
      <c r="D376" t="str">
        <f t="shared" si="22"/>
        <v>2023 Dec 2nd</v>
      </c>
    </row>
    <row r="377" spans="1:4" x14ac:dyDescent="0.3">
      <c r="A377" s="37">
        <f t="shared" si="23"/>
        <v>45302</v>
      </c>
      <c r="B377" s="37">
        <f t="shared" si="20"/>
        <v>45302</v>
      </c>
      <c r="C377" s="37">
        <f t="shared" si="24"/>
        <v>45316</v>
      </c>
      <c r="D377" t="str">
        <f t="shared" si="22"/>
        <v>2024 Jan 1st</v>
      </c>
    </row>
    <row r="378" spans="1:4" x14ac:dyDescent="0.3">
      <c r="A378" s="37">
        <f t="shared" si="23"/>
        <v>45303</v>
      </c>
      <c r="B378" s="37">
        <f t="shared" si="20"/>
        <v>45302</v>
      </c>
      <c r="C378" s="37">
        <f t="shared" si="24"/>
        <v>45316</v>
      </c>
      <c r="D378" t="str">
        <f t="shared" si="22"/>
        <v>2024 Jan 1st</v>
      </c>
    </row>
    <row r="379" spans="1:4" x14ac:dyDescent="0.3">
      <c r="A379" s="37">
        <f t="shared" si="23"/>
        <v>45304</v>
      </c>
      <c r="B379" s="37">
        <f t="shared" si="20"/>
        <v>45302</v>
      </c>
      <c r="C379" s="37">
        <f t="shared" si="24"/>
        <v>45316</v>
      </c>
      <c r="D379" t="str">
        <f t="shared" si="22"/>
        <v>2024 Jan 1st</v>
      </c>
    </row>
    <row r="380" spans="1:4" x14ac:dyDescent="0.3">
      <c r="A380" s="37">
        <f t="shared" si="23"/>
        <v>45305</v>
      </c>
      <c r="B380" s="37">
        <f t="shared" si="20"/>
        <v>45302</v>
      </c>
      <c r="C380" s="37">
        <f t="shared" si="24"/>
        <v>45316</v>
      </c>
      <c r="D380" t="str">
        <f t="shared" si="22"/>
        <v>2024 Jan 1st</v>
      </c>
    </row>
    <row r="381" spans="1:4" x14ac:dyDescent="0.3">
      <c r="A381" s="37">
        <f t="shared" si="23"/>
        <v>45306</v>
      </c>
      <c r="B381" s="37">
        <f t="shared" si="20"/>
        <v>45302</v>
      </c>
      <c r="C381" s="37">
        <f t="shared" si="24"/>
        <v>45316</v>
      </c>
      <c r="D381" t="str">
        <f t="shared" si="22"/>
        <v>2024 Jan 1st</v>
      </c>
    </row>
    <row r="382" spans="1:4" x14ac:dyDescent="0.3">
      <c r="A382" s="37">
        <f t="shared" si="23"/>
        <v>45307</v>
      </c>
      <c r="B382" s="37">
        <f t="shared" si="20"/>
        <v>45302</v>
      </c>
      <c r="C382" s="37">
        <f t="shared" si="24"/>
        <v>45316</v>
      </c>
      <c r="D382" t="str">
        <f t="shared" si="22"/>
        <v>2024 Jan 1st</v>
      </c>
    </row>
    <row r="383" spans="1:4" x14ac:dyDescent="0.3">
      <c r="A383" s="37">
        <f t="shared" si="23"/>
        <v>45308</v>
      </c>
      <c r="B383" s="37">
        <f t="shared" si="20"/>
        <v>45302</v>
      </c>
      <c r="C383" s="37">
        <f t="shared" si="24"/>
        <v>45316</v>
      </c>
      <c r="D383" t="str">
        <f t="shared" si="22"/>
        <v>2024 Jan 1st</v>
      </c>
    </row>
    <row r="384" spans="1:4" x14ac:dyDescent="0.3">
      <c r="A384" s="37">
        <f t="shared" si="23"/>
        <v>45309</v>
      </c>
      <c r="B384" s="37">
        <f t="shared" si="20"/>
        <v>45302</v>
      </c>
      <c r="C384" s="37">
        <f t="shared" si="24"/>
        <v>45316</v>
      </c>
      <c r="D384" t="str">
        <f t="shared" si="22"/>
        <v>2024 Jan 1st</v>
      </c>
    </row>
    <row r="385" spans="1:4" x14ac:dyDescent="0.3">
      <c r="A385" s="37">
        <f t="shared" si="23"/>
        <v>45310</v>
      </c>
      <c r="B385" s="37">
        <f t="shared" si="20"/>
        <v>45302</v>
      </c>
      <c r="C385" s="37">
        <f t="shared" si="24"/>
        <v>45316</v>
      </c>
      <c r="D385" t="str">
        <f t="shared" si="22"/>
        <v>2024 Jan 1st</v>
      </c>
    </row>
    <row r="386" spans="1:4" x14ac:dyDescent="0.3">
      <c r="A386" s="37">
        <f t="shared" si="23"/>
        <v>45311</v>
      </c>
      <c r="B386" s="37">
        <f t="shared" si="20"/>
        <v>45302</v>
      </c>
      <c r="C386" s="37">
        <f t="shared" si="24"/>
        <v>45316</v>
      </c>
      <c r="D386" t="str">
        <f t="shared" si="22"/>
        <v>2024 Jan 1st</v>
      </c>
    </row>
    <row r="387" spans="1:4" x14ac:dyDescent="0.3">
      <c r="A387" s="37">
        <f t="shared" si="23"/>
        <v>45312</v>
      </c>
      <c r="B387" s="37">
        <f t="shared" ref="B387:B450" si="25">IF(AND(DAY(A387)&gt;=11,DAY(A387)&lt;=25),DATE(YEAR(A387),MONTH(A387),11),DATE(YEAR(A387),IF(AND(DAY(A387)&gt;=1,DAY(A387)&lt;=10),MONTH(A387)-1,MONTH(A387)),26))</f>
        <v>45302</v>
      </c>
      <c r="C387" s="37">
        <f t="shared" si="24"/>
        <v>45316</v>
      </c>
      <c r="D387" t="str">
        <f t="shared" ref="D387:D450" si="26">IF(DAY(B387)=11,TEXT(DATE(YEAR(B387),MONTH(B387),DAY(B387)),"yyyy mmm") &amp;" 1st",TEXT(DATE(YEAR(B387),MONTH(B387),DAY(B387)),"yyyy mmm") &amp;" 2nd")</f>
        <v>2024 Jan 1st</v>
      </c>
    </row>
    <row r="388" spans="1:4" x14ac:dyDescent="0.3">
      <c r="A388" s="37">
        <f t="shared" ref="A388:A451" si="27">A387+1</f>
        <v>45313</v>
      </c>
      <c r="B388" s="37">
        <f t="shared" si="25"/>
        <v>45302</v>
      </c>
      <c r="C388" s="37">
        <f t="shared" si="24"/>
        <v>45316</v>
      </c>
      <c r="D388" t="str">
        <f t="shared" si="26"/>
        <v>2024 Jan 1st</v>
      </c>
    </row>
    <row r="389" spans="1:4" x14ac:dyDescent="0.3">
      <c r="A389" s="37">
        <f t="shared" si="27"/>
        <v>45314</v>
      </c>
      <c r="B389" s="37">
        <f t="shared" si="25"/>
        <v>45302</v>
      </c>
      <c r="C389" s="37">
        <f t="shared" si="24"/>
        <v>45316</v>
      </c>
      <c r="D389" t="str">
        <f t="shared" si="26"/>
        <v>2024 Jan 1st</v>
      </c>
    </row>
    <row r="390" spans="1:4" x14ac:dyDescent="0.3">
      <c r="A390" s="37">
        <f t="shared" si="27"/>
        <v>45315</v>
      </c>
      <c r="B390" s="37">
        <f t="shared" si="25"/>
        <v>45302</v>
      </c>
      <c r="C390" s="37">
        <f t="shared" si="24"/>
        <v>45316</v>
      </c>
      <c r="D390" t="str">
        <f t="shared" si="26"/>
        <v>2024 Jan 1st</v>
      </c>
    </row>
    <row r="391" spans="1:4" x14ac:dyDescent="0.3">
      <c r="A391" s="37">
        <f t="shared" si="27"/>
        <v>45316</v>
      </c>
      <c r="B391" s="37">
        <f t="shared" si="25"/>
        <v>45302</v>
      </c>
      <c r="C391" s="37">
        <f t="shared" si="24"/>
        <v>45316</v>
      </c>
      <c r="D391" t="str">
        <f t="shared" si="26"/>
        <v>2024 Jan 1st</v>
      </c>
    </row>
    <row r="392" spans="1:4" x14ac:dyDescent="0.3">
      <c r="A392" s="37">
        <f t="shared" si="27"/>
        <v>45317</v>
      </c>
      <c r="B392" s="37">
        <f t="shared" si="25"/>
        <v>45317</v>
      </c>
      <c r="C392" s="37">
        <f t="shared" si="24"/>
        <v>45332</v>
      </c>
      <c r="D392" t="str">
        <f t="shared" si="26"/>
        <v>2024 Jan 2nd</v>
      </c>
    </row>
    <row r="393" spans="1:4" x14ac:dyDescent="0.3">
      <c r="A393" s="37">
        <f t="shared" si="27"/>
        <v>45318</v>
      </c>
      <c r="B393" s="37">
        <f t="shared" si="25"/>
        <v>45317</v>
      </c>
      <c r="C393" s="37">
        <f t="shared" si="24"/>
        <v>45332</v>
      </c>
      <c r="D393" t="str">
        <f t="shared" si="26"/>
        <v>2024 Jan 2nd</v>
      </c>
    </row>
    <row r="394" spans="1:4" x14ac:dyDescent="0.3">
      <c r="A394" s="37">
        <f t="shared" si="27"/>
        <v>45319</v>
      </c>
      <c r="B394" s="37">
        <f t="shared" si="25"/>
        <v>45317</v>
      </c>
      <c r="C394" s="37">
        <f t="shared" si="24"/>
        <v>45332</v>
      </c>
      <c r="D394" t="str">
        <f t="shared" si="26"/>
        <v>2024 Jan 2nd</v>
      </c>
    </row>
    <row r="395" spans="1:4" x14ac:dyDescent="0.3">
      <c r="A395" s="37">
        <f t="shared" si="27"/>
        <v>45320</v>
      </c>
      <c r="B395" s="37">
        <f t="shared" si="25"/>
        <v>45317</v>
      </c>
      <c r="C395" s="37">
        <f t="shared" si="24"/>
        <v>45332</v>
      </c>
      <c r="D395" t="str">
        <f t="shared" si="26"/>
        <v>2024 Jan 2nd</v>
      </c>
    </row>
    <row r="396" spans="1:4" x14ac:dyDescent="0.3">
      <c r="A396" s="37">
        <f t="shared" si="27"/>
        <v>45321</v>
      </c>
      <c r="B396" s="37">
        <f t="shared" si="25"/>
        <v>45317</v>
      </c>
      <c r="C396" s="37">
        <f t="shared" si="24"/>
        <v>45332</v>
      </c>
      <c r="D396" t="str">
        <f t="shared" si="26"/>
        <v>2024 Jan 2nd</v>
      </c>
    </row>
    <row r="397" spans="1:4" x14ac:dyDescent="0.3">
      <c r="A397" s="37">
        <f t="shared" si="27"/>
        <v>45322</v>
      </c>
      <c r="B397" s="37">
        <f t="shared" si="25"/>
        <v>45317</v>
      </c>
      <c r="C397" s="37">
        <f t="shared" si="24"/>
        <v>45332</v>
      </c>
      <c r="D397" t="str">
        <f t="shared" si="26"/>
        <v>2024 Jan 2nd</v>
      </c>
    </row>
    <row r="398" spans="1:4" x14ac:dyDescent="0.3">
      <c r="A398" s="37">
        <f t="shared" si="27"/>
        <v>45323</v>
      </c>
      <c r="B398" s="37">
        <f t="shared" si="25"/>
        <v>45317</v>
      </c>
      <c r="C398" s="37">
        <f t="shared" si="24"/>
        <v>45361</v>
      </c>
      <c r="D398" t="str">
        <f t="shared" si="26"/>
        <v>2024 Jan 2nd</v>
      </c>
    </row>
    <row r="399" spans="1:4" x14ac:dyDescent="0.3">
      <c r="A399" s="37">
        <f t="shared" si="27"/>
        <v>45324</v>
      </c>
      <c r="B399" s="37">
        <f t="shared" si="25"/>
        <v>45317</v>
      </c>
      <c r="C399" s="37">
        <f t="shared" si="24"/>
        <v>45361</v>
      </c>
      <c r="D399" t="str">
        <f t="shared" si="26"/>
        <v>2024 Jan 2nd</v>
      </c>
    </row>
    <row r="400" spans="1:4" x14ac:dyDescent="0.3">
      <c r="A400" s="37">
        <f t="shared" si="27"/>
        <v>45325</v>
      </c>
      <c r="B400" s="37">
        <f t="shared" si="25"/>
        <v>45317</v>
      </c>
      <c r="C400" s="37">
        <f t="shared" si="24"/>
        <v>45361</v>
      </c>
      <c r="D400" t="str">
        <f t="shared" si="26"/>
        <v>2024 Jan 2nd</v>
      </c>
    </row>
    <row r="401" spans="1:4" x14ac:dyDescent="0.3">
      <c r="A401" s="37">
        <f t="shared" si="27"/>
        <v>45326</v>
      </c>
      <c r="B401" s="37">
        <f t="shared" si="25"/>
        <v>45317</v>
      </c>
      <c r="C401" s="37">
        <f t="shared" si="24"/>
        <v>45361</v>
      </c>
      <c r="D401" t="str">
        <f t="shared" si="26"/>
        <v>2024 Jan 2nd</v>
      </c>
    </row>
    <row r="402" spans="1:4" x14ac:dyDescent="0.3">
      <c r="A402" s="37">
        <f t="shared" si="27"/>
        <v>45327</v>
      </c>
      <c r="B402" s="37">
        <f t="shared" si="25"/>
        <v>45317</v>
      </c>
      <c r="C402" s="37">
        <f t="shared" si="24"/>
        <v>45361</v>
      </c>
      <c r="D402" t="str">
        <f t="shared" si="26"/>
        <v>2024 Jan 2nd</v>
      </c>
    </row>
    <row r="403" spans="1:4" x14ac:dyDescent="0.3">
      <c r="A403" s="37">
        <f t="shared" si="27"/>
        <v>45328</v>
      </c>
      <c r="B403" s="37">
        <f t="shared" si="25"/>
        <v>45317</v>
      </c>
      <c r="C403" s="37">
        <f t="shared" si="24"/>
        <v>45361</v>
      </c>
      <c r="D403" t="str">
        <f t="shared" si="26"/>
        <v>2024 Jan 2nd</v>
      </c>
    </row>
    <row r="404" spans="1:4" x14ac:dyDescent="0.3">
      <c r="A404" s="37">
        <f t="shared" si="27"/>
        <v>45329</v>
      </c>
      <c r="B404" s="37">
        <f t="shared" si="25"/>
        <v>45317</v>
      </c>
      <c r="C404" s="37">
        <f t="shared" si="24"/>
        <v>45361</v>
      </c>
      <c r="D404" t="str">
        <f t="shared" si="26"/>
        <v>2024 Jan 2nd</v>
      </c>
    </row>
    <row r="405" spans="1:4" x14ac:dyDescent="0.3">
      <c r="A405" s="37">
        <f t="shared" si="27"/>
        <v>45330</v>
      </c>
      <c r="B405" s="37">
        <f t="shared" si="25"/>
        <v>45317</v>
      </c>
      <c r="C405" s="37">
        <f t="shared" si="24"/>
        <v>45361</v>
      </c>
      <c r="D405" t="str">
        <f t="shared" si="26"/>
        <v>2024 Jan 2nd</v>
      </c>
    </row>
    <row r="406" spans="1:4" x14ac:dyDescent="0.3">
      <c r="A406" s="37">
        <f t="shared" si="27"/>
        <v>45331</v>
      </c>
      <c r="B406" s="37">
        <f t="shared" si="25"/>
        <v>45317</v>
      </c>
      <c r="C406" s="37">
        <f t="shared" si="24"/>
        <v>45361</v>
      </c>
      <c r="D406" t="str">
        <f t="shared" si="26"/>
        <v>2024 Jan 2nd</v>
      </c>
    </row>
    <row r="407" spans="1:4" x14ac:dyDescent="0.3">
      <c r="A407" s="37">
        <f t="shared" si="27"/>
        <v>45332</v>
      </c>
      <c r="B407" s="37">
        <f t="shared" si="25"/>
        <v>45317</v>
      </c>
      <c r="C407" s="37">
        <f t="shared" si="24"/>
        <v>45361</v>
      </c>
      <c r="D407" t="str">
        <f t="shared" si="26"/>
        <v>2024 Jan 2nd</v>
      </c>
    </row>
    <row r="408" spans="1:4" x14ac:dyDescent="0.3">
      <c r="A408" s="37">
        <f t="shared" si="27"/>
        <v>45333</v>
      </c>
      <c r="B408" s="37">
        <f t="shared" si="25"/>
        <v>45333</v>
      </c>
      <c r="C408" s="37">
        <f t="shared" si="24"/>
        <v>45347</v>
      </c>
      <c r="D408" t="str">
        <f t="shared" si="26"/>
        <v>2024 Feb 1st</v>
      </c>
    </row>
    <row r="409" spans="1:4" x14ac:dyDescent="0.3">
      <c r="A409" s="37">
        <f t="shared" si="27"/>
        <v>45334</v>
      </c>
      <c r="B409" s="37">
        <f t="shared" si="25"/>
        <v>45333</v>
      </c>
      <c r="C409" s="37">
        <f t="shared" si="24"/>
        <v>45347</v>
      </c>
      <c r="D409" t="str">
        <f t="shared" si="26"/>
        <v>2024 Feb 1st</v>
      </c>
    </row>
    <row r="410" spans="1:4" x14ac:dyDescent="0.3">
      <c r="A410" s="37">
        <f t="shared" si="27"/>
        <v>45335</v>
      </c>
      <c r="B410" s="37">
        <f t="shared" si="25"/>
        <v>45333</v>
      </c>
      <c r="C410" s="37">
        <f t="shared" si="24"/>
        <v>45347</v>
      </c>
      <c r="D410" t="str">
        <f t="shared" si="26"/>
        <v>2024 Feb 1st</v>
      </c>
    </row>
    <row r="411" spans="1:4" x14ac:dyDescent="0.3">
      <c r="A411" s="37">
        <f t="shared" si="27"/>
        <v>45336</v>
      </c>
      <c r="B411" s="37">
        <f t="shared" si="25"/>
        <v>45333</v>
      </c>
      <c r="C411" s="37">
        <f t="shared" si="24"/>
        <v>45347</v>
      </c>
      <c r="D411" t="str">
        <f t="shared" si="26"/>
        <v>2024 Feb 1st</v>
      </c>
    </row>
    <row r="412" spans="1:4" x14ac:dyDescent="0.3">
      <c r="A412" s="37">
        <f t="shared" si="27"/>
        <v>45337</v>
      </c>
      <c r="B412" s="37">
        <f t="shared" si="25"/>
        <v>45333</v>
      </c>
      <c r="C412" s="37">
        <f t="shared" si="24"/>
        <v>45347</v>
      </c>
      <c r="D412" t="str">
        <f t="shared" si="26"/>
        <v>2024 Feb 1st</v>
      </c>
    </row>
    <row r="413" spans="1:4" x14ac:dyDescent="0.3">
      <c r="A413" s="37">
        <f t="shared" si="27"/>
        <v>45338</v>
      </c>
      <c r="B413" s="37">
        <f t="shared" si="25"/>
        <v>45333</v>
      </c>
      <c r="C413" s="37">
        <f t="shared" si="24"/>
        <v>45347</v>
      </c>
      <c r="D413" t="str">
        <f t="shared" si="26"/>
        <v>2024 Feb 1st</v>
      </c>
    </row>
    <row r="414" spans="1:4" x14ac:dyDescent="0.3">
      <c r="A414" s="37">
        <f t="shared" si="27"/>
        <v>45339</v>
      </c>
      <c r="B414" s="37">
        <f t="shared" si="25"/>
        <v>45333</v>
      </c>
      <c r="C414" s="37">
        <f t="shared" ref="C414:C477" si="28">IF(DAY(B414)=11,DATE(YEAR(A414),MONTH(A414),25),DATE(YEAR(A414),MONTH(A414)+1,10))</f>
        <v>45347</v>
      </c>
      <c r="D414" t="str">
        <f t="shared" si="26"/>
        <v>2024 Feb 1st</v>
      </c>
    </row>
    <row r="415" spans="1:4" x14ac:dyDescent="0.3">
      <c r="A415" s="37">
        <f t="shared" si="27"/>
        <v>45340</v>
      </c>
      <c r="B415" s="37">
        <f t="shared" si="25"/>
        <v>45333</v>
      </c>
      <c r="C415" s="37">
        <f t="shared" si="28"/>
        <v>45347</v>
      </c>
      <c r="D415" t="str">
        <f t="shared" si="26"/>
        <v>2024 Feb 1st</v>
      </c>
    </row>
    <row r="416" spans="1:4" x14ac:dyDescent="0.3">
      <c r="A416" s="37">
        <f t="shared" si="27"/>
        <v>45341</v>
      </c>
      <c r="B416" s="37">
        <f t="shared" si="25"/>
        <v>45333</v>
      </c>
      <c r="C416" s="37">
        <f t="shared" si="28"/>
        <v>45347</v>
      </c>
      <c r="D416" t="str">
        <f t="shared" si="26"/>
        <v>2024 Feb 1st</v>
      </c>
    </row>
    <row r="417" spans="1:4" x14ac:dyDescent="0.3">
      <c r="A417" s="37">
        <f t="shared" si="27"/>
        <v>45342</v>
      </c>
      <c r="B417" s="37">
        <f t="shared" si="25"/>
        <v>45333</v>
      </c>
      <c r="C417" s="37">
        <f t="shared" si="28"/>
        <v>45347</v>
      </c>
      <c r="D417" t="str">
        <f t="shared" si="26"/>
        <v>2024 Feb 1st</v>
      </c>
    </row>
    <row r="418" spans="1:4" x14ac:dyDescent="0.3">
      <c r="A418" s="37">
        <f t="shared" si="27"/>
        <v>45343</v>
      </c>
      <c r="B418" s="37">
        <f t="shared" si="25"/>
        <v>45333</v>
      </c>
      <c r="C418" s="37">
        <f t="shared" si="28"/>
        <v>45347</v>
      </c>
      <c r="D418" t="str">
        <f t="shared" si="26"/>
        <v>2024 Feb 1st</v>
      </c>
    </row>
    <row r="419" spans="1:4" x14ac:dyDescent="0.3">
      <c r="A419" s="37">
        <f t="shared" si="27"/>
        <v>45344</v>
      </c>
      <c r="B419" s="37">
        <f t="shared" si="25"/>
        <v>45333</v>
      </c>
      <c r="C419" s="37">
        <f t="shared" si="28"/>
        <v>45347</v>
      </c>
      <c r="D419" t="str">
        <f t="shared" si="26"/>
        <v>2024 Feb 1st</v>
      </c>
    </row>
    <row r="420" spans="1:4" x14ac:dyDescent="0.3">
      <c r="A420" s="37">
        <f t="shared" si="27"/>
        <v>45345</v>
      </c>
      <c r="B420" s="37">
        <f t="shared" si="25"/>
        <v>45333</v>
      </c>
      <c r="C420" s="37">
        <f t="shared" si="28"/>
        <v>45347</v>
      </c>
      <c r="D420" t="str">
        <f t="shared" si="26"/>
        <v>2024 Feb 1st</v>
      </c>
    </row>
    <row r="421" spans="1:4" x14ac:dyDescent="0.3">
      <c r="A421" s="37">
        <f t="shared" si="27"/>
        <v>45346</v>
      </c>
      <c r="B421" s="37">
        <f t="shared" si="25"/>
        <v>45333</v>
      </c>
      <c r="C421" s="37">
        <f t="shared" si="28"/>
        <v>45347</v>
      </c>
      <c r="D421" t="str">
        <f t="shared" si="26"/>
        <v>2024 Feb 1st</v>
      </c>
    </row>
    <row r="422" spans="1:4" x14ac:dyDescent="0.3">
      <c r="A422" s="37">
        <f t="shared" si="27"/>
        <v>45347</v>
      </c>
      <c r="B422" s="37">
        <f t="shared" si="25"/>
        <v>45333</v>
      </c>
      <c r="C422" s="37">
        <f t="shared" si="28"/>
        <v>45347</v>
      </c>
      <c r="D422" t="str">
        <f t="shared" si="26"/>
        <v>2024 Feb 1st</v>
      </c>
    </row>
    <row r="423" spans="1:4" x14ac:dyDescent="0.3">
      <c r="A423" s="37">
        <f t="shared" si="27"/>
        <v>45348</v>
      </c>
      <c r="B423" s="37">
        <f t="shared" si="25"/>
        <v>45348</v>
      </c>
      <c r="C423" s="37">
        <f t="shared" si="28"/>
        <v>45361</v>
      </c>
      <c r="D423" t="str">
        <f t="shared" si="26"/>
        <v>2024 Feb 2nd</v>
      </c>
    </row>
    <row r="424" spans="1:4" x14ac:dyDescent="0.3">
      <c r="A424" s="37">
        <f t="shared" si="27"/>
        <v>45349</v>
      </c>
      <c r="B424" s="37">
        <f t="shared" si="25"/>
        <v>45348</v>
      </c>
      <c r="C424" s="37">
        <f t="shared" si="28"/>
        <v>45361</v>
      </c>
      <c r="D424" t="str">
        <f t="shared" si="26"/>
        <v>2024 Feb 2nd</v>
      </c>
    </row>
    <row r="425" spans="1:4" x14ac:dyDescent="0.3">
      <c r="A425" s="37">
        <f t="shared" si="27"/>
        <v>45350</v>
      </c>
      <c r="B425" s="37">
        <f t="shared" si="25"/>
        <v>45348</v>
      </c>
      <c r="C425" s="37">
        <f t="shared" si="28"/>
        <v>45361</v>
      </c>
      <c r="D425" t="str">
        <f t="shared" si="26"/>
        <v>2024 Feb 2nd</v>
      </c>
    </row>
    <row r="426" spans="1:4" x14ac:dyDescent="0.3">
      <c r="A426" s="37">
        <f t="shared" si="27"/>
        <v>45351</v>
      </c>
      <c r="B426" s="37">
        <f t="shared" si="25"/>
        <v>45348</v>
      </c>
      <c r="C426" s="37">
        <f t="shared" si="28"/>
        <v>45361</v>
      </c>
      <c r="D426" t="str">
        <f t="shared" si="26"/>
        <v>2024 Feb 2nd</v>
      </c>
    </row>
    <row r="427" spans="1:4" x14ac:dyDescent="0.3">
      <c r="A427" s="37">
        <f t="shared" si="27"/>
        <v>45352</v>
      </c>
      <c r="B427" s="37">
        <f t="shared" si="25"/>
        <v>45348</v>
      </c>
      <c r="C427" s="37">
        <f t="shared" si="28"/>
        <v>45392</v>
      </c>
      <c r="D427" t="str">
        <f t="shared" si="26"/>
        <v>2024 Feb 2nd</v>
      </c>
    </row>
    <row r="428" spans="1:4" x14ac:dyDescent="0.3">
      <c r="A428" s="37">
        <f t="shared" si="27"/>
        <v>45353</v>
      </c>
      <c r="B428" s="37">
        <f t="shared" si="25"/>
        <v>45348</v>
      </c>
      <c r="C428" s="37">
        <f t="shared" si="28"/>
        <v>45392</v>
      </c>
      <c r="D428" t="str">
        <f t="shared" si="26"/>
        <v>2024 Feb 2nd</v>
      </c>
    </row>
    <row r="429" spans="1:4" x14ac:dyDescent="0.3">
      <c r="A429" s="37">
        <f t="shared" si="27"/>
        <v>45354</v>
      </c>
      <c r="B429" s="37">
        <f t="shared" si="25"/>
        <v>45348</v>
      </c>
      <c r="C429" s="37">
        <f t="shared" si="28"/>
        <v>45392</v>
      </c>
      <c r="D429" t="str">
        <f t="shared" si="26"/>
        <v>2024 Feb 2nd</v>
      </c>
    </row>
    <row r="430" spans="1:4" x14ac:dyDescent="0.3">
      <c r="A430" s="37">
        <f t="shared" si="27"/>
        <v>45355</v>
      </c>
      <c r="B430" s="37">
        <f t="shared" si="25"/>
        <v>45348</v>
      </c>
      <c r="C430" s="37">
        <f t="shared" si="28"/>
        <v>45392</v>
      </c>
      <c r="D430" t="str">
        <f t="shared" si="26"/>
        <v>2024 Feb 2nd</v>
      </c>
    </row>
    <row r="431" spans="1:4" x14ac:dyDescent="0.3">
      <c r="A431" s="37">
        <f t="shared" si="27"/>
        <v>45356</v>
      </c>
      <c r="B431" s="37">
        <f t="shared" si="25"/>
        <v>45348</v>
      </c>
      <c r="C431" s="37">
        <f t="shared" si="28"/>
        <v>45392</v>
      </c>
      <c r="D431" t="str">
        <f t="shared" si="26"/>
        <v>2024 Feb 2nd</v>
      </c>
    </row>
    <row r="432" spans="1:4" x14ac:dyDescent="0.3">
      <c r="A432" s="37">
        <f t="shared" si="27"/>
        <v>45357</v>
      </c>
      <c r="B432" s="37">
        <f t="shared" si="25"/>
        <v>45348</v>
      </c>
      <c r="C432" s="37">
        <f t="shared" si="28"/>
        <v>45392</v>
      </c>
      <c r="D432" t="str">
        <f t="shared" si="26"/>
        <v>2024 Feb 2nd</v>
      </c>
    </row>
    <row r="433" spans="1:4" x14ac:dyDescent="0.3">
      <c r="A433" s="37">
        <f t="shared" si="27"/>
        <v>45358</v>
      </c>
      <c r="B433" s="37">
        <f t="shared" si="25"/>
        <v>45348</v>
      </c>
      <c r="C433" s="37">
        <f t="shared" si="28"/>
        <v>45392</v>
      </c>
      <c r="D433" t="str">
        <f t="shared" si="26"/>
        <v>2024 Feb 2nd</v>
      </c>
    </row>
    <row r="434" spans="1:4" x14ac:dyDescent="0.3">
      <c r="A434" s="37">
        <f t="shared" si="27"/>
        <v>45359</v>
      </c>
      <c r="B434" s="37">
        <f t="shared" si="25"/>
        <v>45348</v>
      </c>
      <c r="C434" s="37">
        <f t="shared" si="28"/>
        <v>45392</v>
      </c>
      <c r="D434" t="str">
        <f t="shared" si="26"/>
        <v>2024 Feb 2nd</v>
      </c>
    </row>
    <row r="435" spans="1:4" x14ac:dyDescent="0.3">
      <c r="A435" s="37">
        <f t="shared" si="27"/>
        <v>45360</v>
      </c>
      <c r="B435" s="37">
        <f t="shared" si="25"/>
        <v>45348</v>
      </c>
      <c r="C435" s="37">
        <f t="shared" si="28"/>
        <v>45392</v>
      </c>
      <c r="D435" t="str">
        <f t="shared" si="26"/>
        <v>2024 Feb 2nd</v>
      </c>
    </row>
    <row r="436" spans="1:4" x14ac:dyDescent="0.3">
      <c r="A436" s="37">
        <f t="shared" si="27"/>
        <v>45361</v>
      </c>
      <c r="B436" s="37">
        <f t="shared" si="25"/>
        <v>45348</v>
      </c>
      <c r="C436" s="37">
        <f t="shared" si="28"/>
        <v>45392</v>
      </c>
      <c r="D436" t="str">
        <f t="shared" si="26"/>
        <v>2024 Feb 2nd</v>
      </c>
    </row>
    <row r="437" spans="1:4" x14ac:dyDescent="0.3">
      <c r="A437" s="37">
        <f t="shared" si="27"/>
        <v>45362</v>
      </c>
      <c r="B437" s="37">
        <f t="shared" si="25"/>
        <v>45362</v>
      </c>
      <c r="C437" s="37">
        <f t="shared" si="28"/>
        <v>45376</v>
      </c>
      <c r="D437" t="str">
        <f t="shared" si="26"/>
        <v>2024 Mar 1st</v>
      </c>
    </row>
    <row r="438" spans="1:4" x14ac:dyDescent="0.3">
      <c r="A438" s="37">
        <f t="shared" si="27"/>
        <v>45363</v>
      </c>
      <c r="B438" s="37">
        <f t="shared" si="25"/>
        <v>45362</v>
      </c>
      <c r="C438" s="37">
        <f t="shared" si="28"/>
        <v>45376</v>
      </c>
      <c r="D438" t="str">
        <f t="shared" si="26"/>
        <v>2024 Mar 1st</v>
      </c>
    </row>
    <row r="439" spans="1:4" x14ac:dyDescent="0.3">
      <c r="A439" s="37">
        <f t="shared" si="27"/>
        <v>45364</v>
      </c>
      <c r="B439" s="37">
        <f t="shared" si="25"/>
        <v>45362</v>
      </c>
      <c r="C439" s="37">
        <f t="shared" si="28"/>
        <v>45376</v>
      </c>
      <c r="D439" t="str">
        <f t="shared" si="26"/>
        <v>2024 Mar 1st</v>
      </c>
    </row>
    <row r="440" spans="1:4" x14ac:dyDescent="0.3">
      <c r="A440" s="37">
        <f t="shared" si="27"/>
        <v>45365</v>
      </c>
      <c r="B440" s="37">
        <f t="shared" si="25"/>
        <v>45362</v>
      </c>
      <c r="C440" s="37">
        <f t="shared" si="28"/>
        <v>45376</v>
      </c>
      <c r="D440" t="str">
        <f t="shared" si="26"/>
        <v>2024 Mar 1st</v>
      </c>
    </row>
    <row r="441" spans="1:4" x14ac:dyDescent="0.3">
      <c r="A441" s="37">
        <f t="shared" si="27"/>
        <v>45366</v>
      </c>
      <c r="B441" s="37">
        <f t="shared" si="25"/>
        <v>45362</v>
      </c>
      <c r="C441" s="37">
        <f t="shared" si="28"/>
        <v>45376</v>
      </c>
      <c r="D441" t="str">
        <f t="shared" si="26"/>
        <v>2024 Mar 1st</v>
      </c>
    </row>
    <row r="442" spans="1:4" x14ac:dyDescent="0.3">
      <c r="A442" s="37">
        <f t="shared" si="27"/>
        <v>45367</v>
      </c>
      <c r="B442" s="37">
        <f t="shared" si="25"/>
        <v>45362</v>
      </c>
      <c r="C442" s="37">
        <f t="shared" si="28"/>
        <v>45376</v>
      </c>
      <c r="D442" t="str">
        <f t="shared" si="26"/>
        <v>2024 Mar 1st</v>
      </c>
    </row>
    <row r="443" spans="1:4" x14ac:dyDescent="0.3">
      <c r="A443" s="37">
        <f t="shared" si="27"/>
        <v>45368</v>
      </c>
      <c r="B443" s="37">
        <f t="shared" si="25"/>
        <v>45362</v>
      </c>
      <c r="C443" s="37">
        <f t="shared" si="28"/>
        <v>45376</v>
      </c>
      <c r="D443" t="str">
        <f t="shared" si="26"/>
        <v>2024 Mar 1st</v>
      </c>
    </row>
    <row r="444" spans="1:4" x14ac:dyDescent="0.3">
      <c r="A444" s="37">
        <f t="shared" si="27"/>
        <v>45369</v>
      </c>
      <c r="B444" s="37">
        <f t="shared" si="25"/>
        <v>45362</v>
      </c>
      <c r="C444" s="37">
        <f t="shared" si="28"/>
        <v>45376</v>
      </c>
      <c r="D444" t="str">
        <f t="shared" si="26"/>
        <v>2024 Mar 1st</v>
      </c>
    </row>
    <row r="445" spans="1:4" x14ac:dyDescent="0.3">
      <c r="A445" s="37">
        <f t="shared" si="27"/>
        <v>45370</v>
      </c>
      <c r="B445" s="37">
        <f t="shared" si="25"/>
        <v>45362</v>
      </c>
      <c r="C445" s="37">
        <f t="shared" si="28"/>
        <v>45376</v>
      </c>
      <c r="D445" t="str">
        <f t="shared" si="26"/>
        <v>2024 Mar 1st</v>
      </c>
    </row>
    <row r="446" spans="1:4" x14ac:dyDescent="0.3">
      <c r="A446" s="37">
        <f t="shared" si="27"/>
        <v>45371</v>
      </c>
      <c r="B446" s="37">
        <f t="shared" si="25"/>
        <v>45362</v>
      </c>
      <c r="C446" s="37">
        <f t="shared" si="28"/>
        <v>45376</v>
      </c>
      <c r="D446" t="str">
        <f t="shared" si="26"/>
        <v>2024 Mar 1st</v>
      </c>
    </row>
    <row r="447" spans="1:4" x14ac:dyDescent="0.3">
      <c r="A447" s="37">
        <f t="shared" si="27"/>
        <v>45372</v>
      </c>
      <c r="B447" s="37">
        <f t="shared" si="25"/>
        <v>45362</v>
      </c>
      <c r="C447" s="37">
        <f t="shared" si="28"/>
        <v>45376</v>
      </c>
      <c r="D447" t="str">
        <f t="shared" si="26"/>
        <v>2024 Mar 1st</v>
      </c>
    </row>
    <row r="448" spans="1:4" x14ac:dyDescent="0.3">
      <c r="A448" s="37">
        <f t="shared" si="27"/>
        <v>45373</v>
      </c>
      <c r="B448" s="37">
        <f t="shared" si="25"/>
        <v>45362</v>
      </c>
      <c r="C448" s="37">
        <f t="shared" si="28"/>
        <v>45376</v>
      </c>
      <c r="D448" t="str">
        <f t="shared" si="26"/>
        <v>2024 Mar 1st</v>
      </c>
    </row>
    <row r="449" spans="1:4" x14ac:dyDescent="0.3">
      <c r="A449" s="37">
        <f t="shared" si="27"/>
        <v>45374</v>
      </c>
      <c r="B449" s="37">
        <f t="shared" si="25"/>
        <v>45362</v>
      </c>
      <c r="C449" s="37">
        <f t="shared" si="28"/>
        <v>45376</v>
      </c>
      <c r="D449" t="str">
        <f t="shared" si="26"/>
        <v>2024 Mar 1st</v>
      </c>
    </row>
    <row r="450" spans="1:4" x14ac:dyDescent="0.3">
      <c r="A450" s="37">
        <f t="shared" si="27"/>
        <v>45375</v>
      </c>
      <c r="B450" s="37">
        <f t="shared" si="25"/>
        <v>45362</v>
      </c>
      <c r="C450" s="37">
        <f t="shared" si="28"/>
        <v>45376</v>
      </c>
      <c r="D450" t="str">
        <f t="shared" si="26"/>
        <v>2024 Mar 1st</v>
      </c>
    </row>
    <row r="451" spans="1:4" x14ac:dyDescent="0.3">
      <c r="A451" s="37">
        <f t="shared" si="27"/>
        <v>45376</v>
      </c>
      <c r="B451" s="37">
        <f t="shared" ref="B451:B514" si="29">IF(AND(DAY(A451)&gt;=11,DAY(A451)&lt;=25),DATE(YEAR(A451),MONTH(A451),11),DATE(YEAR(A451),IF(AND(DAY(A451)&gt;=1,DAY(A451)&lt;=10),MONTH(A451)-1,MONTH(A451)),26))</f>
        <v>45362</v>
      </c>
      <c r="C451" s="37">
        <f t="shared" si="28"/>
        <v>45376</v>
      </c>
      <c r="D451" t="str">
        <f t="shared" ref="D451:D514" si="30">IF(DAY(B451)=11,TEXT(DATE(YEAR(B451),MONTH(B451),DAY(B451)),"yyyy mmm") &amp;" 1st",TEXT(DATE(YEAR(B451),MONTH(B451),DAY(B451)),"yyyy mmm") &amp;" 2nd")</f>
        <v>2024 Mar 1st</v>
      </c>
    </row>
    <row r="452" spans="1:4" x14ac:dyDescent="0.3">
      <c r="A452" s="37">
        <f t="shared" ref="A452:A515" si="31">A451+1</f>
        <v>45377</v>
      </c>
      <c r="B452" s="37">
        <f t="shared" si="29"/>
        <v>45377</v>
      </c>
      <c r="C452" s="37">
        <f t="shared" si="28"/>
        <v>45392</v>
      </c>
      <c r="D452" t="str">
        <f t="shared" si="30"/>
        <v>2024 Mar 2nd</v>
      </c>
    </row>
    <row r="453" spans="1:4" x14ac:dyDescent="0.3">
      <c r="A453" s="37">
        <f t="shared" si="31"/>
        <v>45378</v>
      </c>
      <c r="B453" s="37">
        <f t="shared" si="29"/>
        <v>45377</v>
      </c>
      <c r="C453" s="37">
        <f t="shared" si="28"/>
        <v>45392</v>
      </c>
      <c r="D453" t="str">
        <f t="shared" si="30"/>
        <v>2024 Mar 2nd</v>
      </c>
    </row>
    <row r="454" spans="1:4" x14ac:dyDescent="0.3">
      <c r="A454" s="37">
        <f t="shared" si="31"/>
        <v>45379</v>
      </c>
      <c r="B454" s="37">
        <f t="shared" si="29"/>
        <v>45377</v>
      </c>
      <c r="C454" s="37">
        <f t="shared" si="28"/>
        <v>45392</v>
      </c>
      <c r="D454" t="str">
        <f t="shared" si="30"/>
        <v>2024 Mar 2nd</v>
      </c>
    </row>
    <row r="455" spans="1:4" x14ac:dyDescent="0.3">
      <c r="A455" s="37">
        <f t="shared" si="31"/>
        <v>45380</v>
      </c>
      <c r="B455" s="37">
        <f t="shared" si="29"/>
        <v>45377</v>
      </c>
      <c r="C455" s="37">
        <f t="shared" si="28"/>
        <v>45392</v>
      </c>
      <c r="D455" t="str">
        <f t="shared" si="30"/>
        <v>2024 Mar 2nd</v>
      </c>
    </row>
    <row r="456" spans="1:4" x14ac:dyDescent="0.3">
      <c r="A456" s="37">
        <f t="shared" si="31"/>
        <v>45381</v>
      </c>
      <c r="B456" s="37">
        <f t="shared" si="29"/>
        <v>45377</v>
      </c>
      <c r="C456" s="37">
        <f t="shared" si="28"/>
        <v>45392</v>
      </c>
      <c r="D456" t="str">
        <f t="shared" si="30"/>
        <v>2024 Mar 2nd</v>
      </c>
    </row>
    <row r="457" spans="1:4" x14ac:dyDescent="0.3">
      <c r="A457" s="37">
        <f t="shared" si="31"/>
        <v>45382</v>
      </c>
      <c r="B457" s="37">
        <f t="shared" si="29"/>
        <v>45377</v>
      </c>
      <c r="C457" s="37">
        <f t="shared" si="28"/>
        <v>45392</v>
      </c>
      <c r="D457" t="str">
        <f t="shared" si="30"/>
        <v>2024 Mar 2nd</v>
      </c>
    </row>
    <row r="458" spans="1:4" x14ac:dyDescent="0.3">
      <c r="A458" s="37">
        <f t="shared" si="31"/>
        <v>45383</v>
      </c>
      <c r="B458" s="37">
        <f t="shared" si="29"/>
        <v>45377</v>
      </c>
      <c r="C458" s="37">
        <f t="shared" si="28"/>
        <v>45422</v>
      </c>
      <c r="D458" t="str">
        <f t="shared" si="30"/>
        <v>2024 Mar 2nd</v>
      </c>
    </row>
    <row r="459" spans="1:4" x14ac:dyDescent="0.3">
      <c r="A459" s="37">
        <f t="shared" si="31"/>
        <v>45384</v>
      </c>
      <c r="B459" s="37">
        <f t="shared" si="29"/>
        <v>45377</v>
      </c>
      <c r="C459" s="37">
        <f t="shared" si="28"/>
        <v>45422</v>
      </c>
      <c r="D459" t="str">
        <f t="shared" si="30"/>
        <v>2024 Mar 2nd</v>
      </c>
    </row>
    <row r="460" spans="1:4" x14ac:dyDescent="0.3">
      <c r="A460" s="37">
        <f t="shared" si="31"/>
        <v>45385</v>
      </c>
      <c r="B460" s="37">
        <f t="shared" si="29"/>
        <v>45377</v>
      </c>
      <c r="C460" s="37">
        <f t="shared" si="28"/>
        <v>45422</v>
      </c>
      <c r="D460" t="str">
        <f t="shared" si="30"/>
        <v>2024 Mar 2nd</v>
      </c>
    </row>
    <row r="461" spans="1:4" x14ac:dyDescent="0.3">
      <c r="A461" s="37">
        <f t="shared" si="31"/>
        <v>45386</v>
      </c>
      <c r="B461" s="37">
        <f t="shared" si="29"/>
        <v>45377</v>
      </c>
      <c r="C461" s="37">
        <f t="shared" si="28"/>
        <v>45422</v>
      </c>
      <c r="D461" t="str">
        <f t="shared" si="30"/>
        <v>2024 Mar 2nd</v>
      </c>
    </row>
    <row r="462" spans="1:4" x14ac:dyDescent="0.3">
      <c r="A462" s="37">
        <f t="shared" si="31"/>
        <v>45387</v>
      </c>
      <c r="B462" s="37">
        <f t="shared" si="29"/>
        <v>45377</v>
      </c>
      <c r="C462" s="37">
        <f t="shared" si="28"/>
        <v>45422</v>
      </c>
      <c r="D462" t="str">
        <f t="shared" si="30"/>
        <v>2024 Mar 2nd</v>
      </c>
    </row>
    <row r="463" spans="1:4" x14ac:dyDescent="0.3">
      <c r="A463" s="37">
        <f t="shared" si="31"/>
        <v>45388</v>
      </c>
      <c r="B463" s="37">
        <f t="shared" si="29"/>
        <v>45377</v>
      </c>
      <c r="C463" s="37">
        <f t="shared" si="28"/>
        <v>45422</v>
      </c>
      <c r="D463" t="str">
        <f t="shared" si="30"/>
        <v>2024 Mar 2nd</v>
      </c>
    </row>
    <row r="464" spans="1:4" x14ac:dyDescent="0.3">
      <c r="A464" s="37">
        <f t="shared" si="31"/>
        <v>45389</v>
      </c>
      <c r="B464" s="37">
        <f t="shared" si="29"/>
        <v>45377</v>
      </c>
      <c r="C464" s="37">
        <f t="shared" si="28"/>
        <v>45422</v>
      </c>
      <c r="D464" t="str">
        <f t="shared" si="30"/>
        <v>2024 Mar 2nd</v>
      </c>
    </row>
    <row r="465" spans="1:4" x14ac:dyDescent="0.3">
      <c r="A465" s="37">
        <f t="shared" si="31"/>
        <v>45390</v>
      </c>
      <c r="B465" s="37">
        <f t="shared" si="29"/>
        <v>45377</v>
      </c>
      <c r="C465" s="37">
        <f t="shared" si="28"/>
        <v>45422</v>
      </c>
      <c r="D465" t="str">
        <f t="shared" si="30"/>
        <v>2024 Mar 2nd</v>
      </c>
    </row>
    <row r="466" spans="1:4" x14ac:dyDescent="0.3">
      <c r="A466" s="37">
        <f t="shared" si="31"/>
        <v>45391</v>
      </c>
      <c r="B466" s="37">
        <f t="shared" si="29"/>
        <v>45377</v>
      </c>
      <c r="C466" s="37">
        <f t="shared" si="28"/>
        <v>45422</v>
      </c>
      <c r="D466" t="str">
        <f t="shared" si="30"/>
        <v>2024 Mar 2nd</v>
      </c>
    </row>
    <row r="467" spans="1:4" x14ac:dyDescent="0.3">
      <c r="A467" s="37">
        <f t="shared" si="31"/>
        <v>45392</v>
      </c>
      <c r="B467" s="37">
        <f t="shared" si="29"/>
        <v>45377</v>
      </c>
      <c r="C467" s="37">
        <f t="shared" si="28"/>
        <v>45422</v>
      </c>
      <c r="D467" t="str">
        <f t="shared" si="30"/>
        <v>2024 Mar 2nd</v>
      </c>
    </row>
    <row r="468" spans="1:4" x14ac:dyDescent="0.3">
      <c r="A468" s="37">
        <f t="shared" si="31"/>
        <v>45393</v>
      </c>
      <c r="B468" s="37">
        <f t="shared" si="29"/>
        <v>45393</v>
      </c>
      <c r="C468" s="37">
        <f t="shared" si="28"/>
        <v>45407</v>
      </c>
      <c r="D468" t="str">
        <f t="shared" si="30"/>
        <v>2024 Apr 1st</v>
      </c>
    </row>
    <row r="469" spans="1:4" x14ac:dyDescent="0.3">
      <c r="A469" s="37">
        <f t="shared" si="31"/>
        <v>45394</v>
      </c>
      <c r="B469" s="37">
        <f t="shared" si="29"/>
        <v>45393</v>
      </c>
      <c r="C469" s="37">
        <f t="shared" si="28"/>
        <v>45407</v>
      </c>
      <c r="D469" t="str">
        <f t="shared" si="30"/>
        <v>2024 Apr 1st</v>
      </c>
    </row>
    <row r="470" spans="1:4" x14ac:dyDescent="0.3">
      <c r="A470" s="37">
        <f t="shared" si="31"/>
        <v>45395</v>
      </c>
      <c r="B470" s="37">
        <f t="shared" si="29"/>
        <v>45393</v>
      </c>
      <c r="C470" s="37">
        <f t="shared" si="28"/>
        <v>45407</v>
      </c>
      <c r="D470" t="str">
        <f t="shared" si="30"/>
        <v>2024 Apr 1st</v>
      </c>
    </row>
    <row r="471" spans="1:4" x14ac:dyDescent="0.3">
      <c r="A471" s="37">
        <f t="shared" si="31"/>
        <v>45396</v>
      </c>
      <c r="B471" s="37">
        <f t="shared" si="29"/>
        <v>45393</v>
      </c>
      <c r="C471" s="37">
        <f t="shared" si="28"/>
        <v>45407</v>
      </c>
      <c r="D471" t="str">
        <f t="shared" si="30"/>
        <v>2024 Apr 1st</v>
      </c>
    </row>
    <row r="472" spans="1:4" x14ac:dyDescent="0.3">
      <c r="A472" s="37">
        <f t="shared" si="31"/>
        <v>45397</v>
      </c>
      <c r="B472" s="37">
        <f t="shared" si="29"/>
        <v>45393</v>
      </c>
      <c r="C472" s="37">
        <f t="shared" si="28"/>
        <v>45407</v>
      </c>
      <c r="D472" t="str">
        <f t="shared" si="30"/>
        <v>2024 Apr 1st</v>
      </c>
    </row>
    <row r="473" spans="1:4" x14ac:dyDescent="0.3">
      <c r="A473" s="37">
        <f t="shared" si="31"/>
        <v>45398</v>
      </c>
      <c r="B473" s="37">
        <f t="shared" si="29"/>
        <v>45393</v>
      </c>
      <c r="C473" s="37">
        <f t="shared" si="28"/>
        <v>45407</v>
      </c>
      <c r="D473" t="str">
        <f t="shared" si="30"/>
        <v>2024 Apr 1st</v>
      </c>
    </row>
    <row r="474" spans="1:4" x14ac:dyDescent="0.3">
      <c r="A474" s="37">
        <f t="shared" si="31"/>
        <v>45399</v>
      </c>
      <c r="B474" s="37">
        <f t="shared" si="29"/>
        <v>45393</v>
      </c>
      <c r="C474" s="37">
        <f t="shared" si="28"/>
        <v>45407</v>
      </c>
      <c r="D474" t="str">
        <f t="shared" si="30"/>
        <v>2024 Apr 1st</v>
      </c>
    </row>
    <row r="475" spans="1:4" x14ac:dyDescent="0.3">
      <c r="A475" s="37">
        <f t="shared" si="31"/>
        <v>45400</v>
      </c>
      <c r="B475" s="37">
        <f t="shared" si="29"/>
        <v>45393</v>
      </c>
      <c r="C475" s="37">
        <f t="shared" si="28"/>
        <v>45407</v>
      </c>
      <c r="D475" t="str">
        <f t="shared" si="30"/>
        <v>2024 Apr 1st</v>
      </c>
    </row>
    <row r="476" spans="1:4" x14ac:dyDescent="0.3">
      <c r="A476" s="37">
        <f t="shared" si="31"/>
        <v>45401</v>
      </c>
      <c r="B476" s="37">
        <f t="shared" si="29"/>
        <v>45393</v>
      </c>
      <c r="C476" s="37">
        <f t="shared" si="28"/>
        <v>45407</v>
      </c>
      <c r="D476" t="str">
        <f t="shared" si="30"/>
        <v>2024 Apr 1st</v>
      </c>
    </row>
    <row r="477" spans="1:4" x14ac:dyDescent="0.3">
      <c r="A477" s="37">
        <f t="shared" si="31"/>
        <v>45402</v>
      </c>
      <c r="B477" s="37">
        <f t="shared" si="29"/>
        <v>45393</v>
      </c>
      <c r="C477" s="37">
        <f t="shared" si="28"/>
        <v>45407</v>
      </c>
      <c r="D477" t="str">
        <f t="shared" si="30"/>
        <v>2024 Apr 1st</v>
      </c>
    </row>
    <row r="478" spans="1:4" x14ac:dyDescent="0.3">
      <c r="A478" s="37">
        <f t="shared" si="31"/>
        <v>45403</v>
      </c>
      <c r="B478" s="37">
        <f t="shared" si="29"/>
        <v>45393</v>
      </c>
      <c r="C478" s="37">
        <f t="shared" ref="C478:C505" si="32">IF(DAY(B478)=11,DATE(YEAR(A478),MONTH(A478),25),DATE(YEAR(A478),MONTH(A478)+1,10))</f>
        <v>45407</v>
      </c>
      <c r="D478" t="str">
        <f t="shared" si="30"/>
        <v>2024 Apr 1st</v>
      </c>
    </row>
    <row r="479" spans="1:4" x14ac:dyDescent="0.3">
      <c r="A479" s="37">
        <f t="shared" si="31"/>
        <v>45404</v>
      </c>
      <c r="B479" s="37">
        <f t="shared" si="29"/>
        <v>45393</v>
      </c>
      <c r="C479" s="37">
        <f t="shared" si="32"/>
        <v>45407</v>
      </c>
      <c r="D479" t="str">
        <f t="shared" si="30"/>
        <v>2024 Apr 1st</v>
      </c>
    </row>
    <row r="480" spans="1:4" x14ac:dyDescent="0.3">
      <c r="A480" s="37">
        <f t="shared" si="31"/>
        <v>45405</v>
      </c>
      <c r="B480" s="37">
        <f t="shared" si="29"/>
        <v>45393</v>
      </c>
      <c r="C480" s="37">
        <f t="shared" si="32"/>
        <v>45407</v>
      </c>
      <c r="D480" t="str">
        <f t="shared" si="30"/>
        <v>2024 Apr 1st</v>
      </c>
    </row>
    <row r="481" spans="1:4" x14ac:dyDescent="0.3">
      <c r="A481" s="37">
        <f t="shared" si="31"/>
        <v>45406</v>
      </c>
      <c r="B481" s="37">
        <f t="shared" si="29"/>
        <v>45393</v>
      </c>
      <c r="C481" s="37">
        <f t="shared" si="32"/>
        <v>45407</v>
      </c>
      <c r="D481" t="str">
        <f t="shared" si="30"/>
        <v>2024 Apr 1st</v>
      </c>
    </row>
    <row r="482" spans="1:4" x14ac:dyDescent="0.3">
      <c r="A482" s="37">
        <f t="shared" si="31"/>
        <v>45407</v>
      </c>
      <c r="B482" s="37">
        <f t="shared" si="29"/>
        <v>45393</v>
      </c>
      <c r="C482" s="37">
        <f t="shared" si="32"/>
        <v>45407</v>
      </c>
      <c r="D482" t="str">
        <f t="shared" si="30"/>
        <v>2024 Apr 1st</v>
      </c>
    </row>
    <row r="483" spans="1:4" x14ac:dyDescent="0.3">
      <c r="A483" s="37">
        <f t="shared" si="31"/>
        <v>45408</v>
      </c>
      <c r="B483" s="37">
        <f t="shared" si="29"/>
        <v>45408</v>
      </c>
      <c r="C483" s="37">
        <f t="shared" si="32"/>
        <v>45422</v>
      </c>
      <c r="D483" t="str">
        <f t="shared" si="30"/>
        <v>2024 Apr 2nd</v>
      </c>
    </row>
    <row r="484" spans="1:4" x14ac:dyDescent="0.3">
      <c r="A484" s="37">
        <f t="shared" si="31"/>
        <v>45409</v>
      </c>
      <c r="B484" s="37">
        <f t="shared" si="29"/>
        <v>45408</v>
      </c>
      <c r="C484" s="37">
        <f t="shared" si="32"/>
        <v>45422</v>
      </c>
      <c r="D484" t="str">
        <f t="shared" si="30"/>
        <v>2024 Apr 2nd</v>
      </c>
    </row>
    <row r="485" spans="1:4" x14ac:dyDescent="0.3">
      <c r="A485" s="37">
        <f t="shared" si="31"/>
        <v>45410</v>
      </c>
      <c r="B485" s="37">
        <f t="shared" si="29"/>
        <v>45408</v>
      </c>
      <c r="C485" s="37">
        <f t="shared" si="32"/>
        <v>45422</v>
      </c>
      <c r="D485" t="str">
        <f t="shared" si="30"/>
        <v>2024 Apr 2nd</v>
      </c>
    </row>
    <row r="486" spans="1:4" x14ac:dyDescent="0.3">
      <c r="A486" s="37">
        <f t="shared" si="31"/>
        <v>45411</v>
      </c>
      <c r="B486" s="37">
        <f t="shared" si="29"/>
        <v>45408</v>
      </c>
      <c r="C486" s="37">
        <f t="shared" si="32"/>
        <v>45422</v>
      </c>
      <c r="D486" t="str">
        <f t="shared" si="30"/>
        <v>2024 Apr 2nd</v>
      </c>
    </row>
    <row r="487" spans="1:4" x14ac:dyDescent="0.3">
      <c r="A487" s="37">
        <f t="shared" si="31"/>
        <v>45412</v>
      </c>
      <c r="B487" s="37">
        <f t="shared" si="29"/>
        <v>45408</v>
      </c>
      <c r="C487" s="37">
        <f t="shared" si="32"/>
        <v>45422</v>
      </c>
      <c r="D487" t="str">
        <f t="shared" si="30"/>
        <v>2024 Apr 2nd</v>
      </c>
    </row>
    <row r="488" spans="1:4" x14ac:dyDescent="0.3">
      <c r="A488" s="37">
        <f t="shared" si="31"/>
        <v>45413</v>
      </c>
      <c r="B488" s="37">
        <f t="shared" si="29"/>
        <v>45408</v>
      </c>
      <c r="C488" s="37">
        <f t="shared" si="32"/>
        <v>45453</v>
      </c>
      <c r="D488" t="str">
        <f t="shared" si="30"/>
        <v>2024 Apr 2nd</v>
      </c>
    </row>
    <row r="489" spans="1:4" x14ac:dyDescent="0.3">
      <c r="A489" s="37">
        <f t="shared" si="31"/>
        <v>45414</v>
      </c>
      <c r="B489" s="37">
        <f t="shared" si="29"/>
        <v>45408</v>
      </c>
      <c r="C489" s="37">
        <f t="shared" si="32"/>
        <v>45453</v>
      </c>
      <c r="D489" t="str">
        <f t="shared" si="30"/>
        <v>2024 Apr 2nd</v>
      </c>
    </row>
    <row r="490" spans="1:4" x14ac:dyDescent="0.3">
      <c r="A490" s="37">
        <f t="shared" si="31"/>
        <v>45415</v>
      </c>
      <c r="B490" s="37">
        <f t="shared" si="29"/>
        <v>45408</v>
      </c>
      <c r="C490" s="37">
        <f t="shared" si="32"/>
        <v>45453</v>
      </c>
      <c r="D490" t="str">
        <f t="shared" si="30"/>
        <v>2024 Apr 2nd</v>
      </c>
    </row>
    <row r="491" spans="1:4" x14ac:dyDescent="0.3">
      <c r="A491" s="37">
        <f t="shared" si="31"/>
        <v>45416</v>
      </c>
      <c r="B491" s="37">
        <f t="shared" si="29"/>
        <v>45408</v>
      </c>
      <c r="C491" s="37">
        <f t="shared" si="32"/>
        <v>45453</v>
      </c>
      <c r="D491" t="str">
        <f t="shared" si="30"/>
        <v>2024 Apr 2nd</v>
      </c>
    </row>
    <row r="492" spans="1:4" x14ac:dyDescent="0.3">
      <c r="A492" s="37">
        <f t="shared" si="31"/>
        <v>45417</v>
      </c>
      <c r="B492" s="37">
        <f t="shared" si="29"/>
        <v>45408</v>
      </c>
      <c r="C492" s="37">
        <f t="shared" si="32"/>
        <v>45453</v>
      </c>
      <c r="D492" t="str">
        <f t="shared" si="30"/>
        <v>2024 Apr 2nd</v>
      </c>
    </row>
    <row r="493" spans="1:4" x14ac:dyDescent="0.3">
      <c r="A493" s="37">
        <f t="shared" si="31"/>
        <v>45418</v>
      </c>
      <c r="B493" s="37">
        <f t="shared" si="29"/>
        <v>45408</v>
      </c>
      <c r="C493" s="37">
        <f t="shared" si="32"/>
        <v>45453</v>
      </c>
      <c r="D493" t="str">
        <f t="shared" si="30"/>
        <v>2024 Apr 2nd</v>
      </c>
    </row>
    <row r="494" spans="1:4" x14ac:dyDescent="0.3">
      <c r="A494" s="37">
        <f t="shared" si="31"/>
        <v>45419</v>
      </c>
      <c r="B494" s="37">
        <f t="shared" si="29"/>
        <v>45408</v>
      </c>
      <c r="C494" s="37">
        <f t="shared" si="32"/>
        <v>45453</v>
      </c>
      <c r="D494" t="str">
        <f t="shared" si="30"/>
        <v>2024 Apr 2nd</v>
      </c>
    </row>
    <row r="495" spans="1:4" x14ac:dyDescent="0.3">
      <c r="A495" s="37">
        <f t="shared" si="31"/>
        <v>45420</v>
      </c>
      <c r="B495" s="37">
        <f t="shared" si="29"/>
        <v>45408</v>
      </c>
      <c r="C495" s="37">
        <f t="shared" si="32"/>
        <v>45453</v>
      </c>
      <c r="D495" t="str">
        <f t="shared" si="30"/>
        <v>2024 Apr 2nd</v>
      </c>
    </row>
    <row r="496" spans="1:4" x14ac:dyDescent="0.3">
      <c r="A496" s="37">
        <f t="shared" si="31"/>
        <v>45421</v>
      </c>
      <c r="B496" s="37">
        <f t="shared" si="29"/>
        <v>45408</v>
      </c>
      <c r="C496" s="37">
        <f t="shared" si="32"/>
        <v>45453</v>
      </c>
      <c r="D496" t="str">
        <f t="shared" si="30"/>
        <v>2024 Apr 2nd</v>
      </c>
    </row>
    <row r="497" spans="1:4" x14ac:dyDescent="0.3">
      <c r="A497" s="37">
        <f t="shared" si="31"/>
        <v>45422</v>
      </c>
      <c r="B497" s="37">
        <f t="shared" si="29"/>
        <v>45408</v>
      </c>
      <c r="C497" s="37">
        <f t="shared" si="32"/>
        <v>45453</v>
      </c>
      <c r="D497" t="str">
        <f t="shared" si="30"/>
        <v>2024 Apr 2nd</v>
      </c>
    </row>
    <row r="498" spans="1:4" x14ac:dyDescent="0.3">
      <c r="A498" s="37">
        <f t="shared" si="31"/>
        <v>45423</v>
      </c>
      <c r="B498" s="37">
        <f t="shared" si="29"/>
        <v>45423</v>
      </c>
      <c r="C498" s="37">
        <f t="shared" si="32"/>
        <v>45437</v>
      </c>
      <c r="D498" t="str">
        <f t="shared" si="30"/>
        <v>2024 May 1st</v>
      </c>
    </row>
    <row r="499" spans="1:4" x14ac:dyDescent="0.3">
      <c r="A499" s="37">
        <f t="shared" si="31"/>
        <v>45424</v>
      </c>
      <c r="B499" s="37">
        <f t="shared" si="29"/>
        <v>45423</v>
      </c>
      <c r="C499" s="37">
        <f t="shared" si="32"/>
        <v>45437</v>
      </c>
      <c r="D499" t="str">
        <f t="shared" si="30"/>
        <v>2024 May 1st</v>
      </c>
    </row>
    <row r="500" spans="1:4" x14ac:dyDescent="0.3">
      <c r="A500" s="37">
        <f t="shared" si="31"/>
        <v>45425</v>
      </c>
      <c r="B500" s="37">
        <f t="shared" si="29"/>
        <v>45423</v>
      </c>
      <c r="C500" s="37">
        <f t="shared" si="32"/>
        <v>45437</v>
      </c>
      <c r="D500" t="str">
        <f t="shared" si="30"/>
        <v>2024 May 1st</v>
      </c>
    </row>
    <row r="501" spans="1:4" x14ac:dyDescent="0.3">
      <c r="A501" s="37">
        <f t="shared" si="31"/>
        <v>45426</v>
      </c>
      <c r="B501" s="37">
        <f t="shared" si="29"/>
        <v>45423</v>
      </c>
      <c r="C501" s="37">
        <f t="shared" si="32"/>
        <v>45437</v>
      </c>
      <c r="D501" t="str">
        <f t="shared" si="30"/>
        <v>2024 May 1st</v>
      </c>
    </row>
    <row r="502" spans="1:4" x14ac:dyDescent="0.3">
      <c r="A502" s="37">
        <f t="shared" si="31"/>
        <v>45427</v>
      </c>
      <c r="B502" s="37">
        <f t="shared" si="29"/>
        <v>45423</v>
      </c>
      <c r="C502" s="37">
        <f t="shared" si="32"/>
        <v>45437</v>
      </c>
      <c r="D502" t="str">
        <f t="shared" si="30"/>
        <v>2024 May 1st</v>
      </c>
    </row>
    <row r="503" spans="1:4" x14ac:dyDescent="0.3">
      <c r="A503" s="37">
        <f t="shared" si="31"/>
        <v>45428</v>
      </c>
      <c r="B503" s="37">
        <f t="shared" si="29"/>
        <v>45423</v>
      </c>
      <c r="C503" s="37">
        <f t="shared" si="32"/>
        <v>45437</v>
      </c>
      <c r="D503" t="str">
        <f t="shared" si="30"/>
        <v>2024 May 1st</v>
      </c>
    </row>
    <row r="504" spans="1:4" x14ac:dyDescent="0.3">
      <c r="A504" s="37">
        <f t="shared" si="31"/>
        <v>45429</v>
      </c>
      <c r="B504" s="37">
        <f t="shared" si="29"/>
        <v>45423</v>
      </c>
      <c r="C504" s="37">
        <f t="shared" si="32"/>
        <v>45437</v>
      </c>
      <c r="D504" t="str">
        <f t="shared" si="30"/>
        <v>2024 May 1st</v>
      </c>
    </row>
    <row r="505" spans="1:4" x14ac:dyDescent="0.3">
      <c r="A505" s="37">
        <f t="shared" si="31"/>
        <v>45430</v>
      </c>
      <c r="B505" s="37">
        <f t="shared" si="29"/>
        <v>45423</v>
      </c>
      <c r="C505" s="37">
        <f t="shared" si="32"/>
        <v>45437</v>
      </c>
      <c r="D505" t="str">
        <f t="shared" si="30"/>
        <v>2024 May 1st</v>
      </c>
    </row>
    <row r="506" spans="1:4" x14ac:dyDescent="0.3">
      <c r="A506" s="37">
        <f t="shared" si="31"/>
        <v>45431</v>
      </c>
      <c r="B506" s="37">
        <f t="shared" si="29"/>
        <v>45423</v>
      </c>
      <c r="C506" s="37">
        <f t="shared" ref="C506:C557" si="33">IF(DAY(B506)=11,DATE(YEAR(A506),MONTH(A506),25),DATE(YEAR(A506),MONTH(A506)+1,10))</f>
        <v>45437</v>
      </c>
      <c r="D506" t="str">
        <f t="shared" si="30"/>
        <v>2024 May 1st</v>
      </c>
    </row>
    <row r="507" spans="1:4" x14ac:dyDescent="0.3">
      <c r="A507" s="37">
        <f t="shared" si="31"/>
        <v>45432</v>
      </c>
      <c r="B507" s="37">
        <f t="shared" si="29"/>
        <v>45423</v>
      </c>
      <c r="C507" s="37">
        <f t="shared" si="33"/>
        <v>45437</v>
      </c>
      <c r="D507" t="str">
        <f t="shared" si="30"/>
        <v>2024 May 1st</v>
      </c>
    </row>
    <row r="508" spans="1:4" x14ac:dyDescent="0.3">
      <c r="A508" s="37">
        <f t="shared" si="31"/>
        <v>45433</v>
      </c>
      <c r="B508" s="37">
        <f t="shared" si="29"/>
        <v>45423</v>
      </c>
      <c r="C508" s="37">
        <f t="shared" si="33"/>
        <v>45437</v>
      </c>
      <c r="D508" t="str">
        <f t="shared" si="30"/>
        <v>2024 May 1st</v>
      </c>
    </row>
    <row r="509" spans="1:4" x14ac:dyDescent="0.3">
      <c r="A509" s="37">
        <f t="shared" si="31"/>
        <v>45434</v>
      </c>
      <c r="B509" s="37">
        <f t="shared" si="29"/>
        <v>45423</v>
      </c>
      <c r="C509" s="37">
        <f t="shared" si="33"/>
        <v>45437</v>
      </c>
      <c r="D509" t="str">
        <f t="shared" si="30"/>
        <v>2024 May 1st</v>
      </c>
    </row>
    <row r="510" spans="1:4" x14ac:dyDescent="0.3">
      <c r="A510" s="37">
        <f t="shared" si="31"/>
        <v>45435</v>
      </c>
      <c r="B510" s="37">
        <f t="shared" si="29"/>
        <v>45423</v>
      </c>
      <c r="C510" s="37">
        <f t="shared" si="33"/>
        <v>45437</v>
      </c>
      <c r="D510" t="str">
        <f t="shared" si="30"/>
        <v>2024 May 1st</v>
      </c>
    </row>
    <row r="511" spans="1:4" x14ac:dyDescent="0.3">
      <c r="A511" s="37">
        <f t="shared" si="31"/>
        <v>45436</v>
      </c>
      <c r="B511" s="37">
        <f t="shared" si="29"/>
        <v>45423</v>
      </c>
      <c r="C511" s="37">
        <f t="shared" si="33"/>
        <v>45437</v>
      </c>
      <c r="D511" t="str">
        <f t="shared" si="30"/>
        <v>2024 May 1st</v>
      </c>
    </row>
    <row r="512" spans="1:4" x14ac:dyDescent="0.3">
      <c r="A512" s="37">
        <f t="shared" si="31"/>
        <v>45437</v>
      </c>
      <c r="B512" s="37">
        <f t="shared" si="29"/>
        <v>45423</v>
      </c>
      <c r="C512" s="37">
        <f t="shared" si="33"/>
        <v>45437</v>
      </c>
      <c r="D512" t="str">
        <f t="shared" si="30"/>
        <v>2024 May 1st</v>
      </c>
    </row>
    <row r="513" spans="1:4" x14ac:dyDescent="0.3">
      <c r="A513" s="37">
        <f t="shared" si="31"/>
        <v>45438</v>
      </c>
      <c r="B513" s="37">
        <f t="shared" si="29"/>
        <v>45438</v>
      </c>
      <c r="C513" s="37">
        <f t="shared" si="33"/>
        <v>45453</v>
      </c>
      <c r="D513" t="str">
        <f t="shared" si="30"/>
        <v>2024 May 2nd</v>
      </c>
    </row>
    <row r="514" spans="1:4" x14ac:dyDescent="0.3">
      <c r="A514" s="37">
        <f t="shared" si="31"/>
        <v>45439</v>
      </c>
      <c r="B514" s="37">
        <f t="shared" si="29"/>
        <v>45438</v>
      </c>
      <c r="C514" s="37">
        <f t="shared" si="33"/>
        <v>45453</v>
      </c>
      <c r="D514" t="str">
        <f t="shared" si="30"/>
        <v>2024 May 2nd</v>
      </c>
    </row>
    <row r="515" spans="1:4" x14ac:dyDescent="0.3">
      <c r="A515" s="37">
        <f t="shared" si="31"/>
        <v>45440</v>
      </c>
      <c r="B515" s="37">
        <f t="shared" ref="B515:B578" si="34">IF(AND(DAY(A515)&gt;=11,DAY(A515)&lt;=25),DATE(YEAR(A515),MONTH(A515),11),DATE(YEAR(A515),IF(AND(DAY(A515)&gt;=1,DAY(A515)&lt;=10),MONTH(A515)-1,MONTH(A515)),26))</f>
        <v>45438</v>
      </c>
      <c r="C515" s="37">
        <f t="shared" si="33"/>
        <v>45453</v>
      </c>
      <c r="D515" t="str">
        <f t="shared" ref="D515:D578" si="35">IF(DAY(B515)=11,TEXT(DATE(YEAR(B515),MONTH(B515),DAY(B515)),"yyyy mmm") &amp;" 1st",TEXT(DATE(YEAR(B515),MONTH(B515),DAY(B515)),"yyyy mmm") &amp;" 2nd")</f>
        <v>2024 May 2nd</v>
      </c>
    </row>
    <row r="516" spans="1:4" x14ac:dyDescent="0.3">
      <c r="A516" s="37">
        <f t="shared" ref="A516:A579" si="36">A515+1</f>
        <v>45441</v>
      </c>
      <c r="B516" s="37">
        <f t="shared" si="34"/>
        <v>45438</v>
      </c>
      <c r="C516" s="37">
        <f t="shared" si="33"/>
        <v>45453</v>
      </c>
      <c r="D516" t="str">
        <f t="shared" si="35"/>
        <v>2024 May 2nd</v>
      </c>
    </row>
    <row r="517" spans="1:4" x14ac:dyDescent="0.3">
      <c r="A517" s="37">
        <f t="shared" si="36"/>
        <v>45442</v>
      </c>
      <c r="B517" s="37">
        <f t="shared" si="34"/>
        <v>45438</v>
      </c>
      <c r="C517" s="37">
        <f t="shared" si="33"/>
        <v>45453</v>
      </c>
      <c r="D517" t="str">
        <f t="shared" si="35"/>
        <v>2024 May 2nd</v>
      </c>
    </row>
    <row r="518" spans="1:4" x14ac:dyDescent="0.3">
      <c r="A518" s="37">
        <f t="shared" si="36"/>
        <v>45443</v>
      </c>
      <c r="B518" s="37">
        <f t="shared" si="34"/>
        <v>45438</v>
      </c>
      <c r="C518" s="37">
        <f t="shared" si="33"/>
        <v>45453</v>
      </c>
      <c r="D518" t="str">
        <f t="shared" si="35"/>
        <v>2024 May 2nd</v>
      </c>
    </row>
    <row r="519" spans="1:4" x14ac:dyDescent="0.3">
      <c r="A519" s="37">
        <f t="shared" si="36"/>
        <v>45444</v>
      </c>
      <c r="B519" s="37">
        <f t="shared" si="34"/>
        <v>45438</v>
      </c>
      <c r="C519" s="37">
        <f t="shared" si="33"/>
        <v>45483</v>
      </c>
      <c r="D519" t="str">
        <f t="shared" si="35"/>
        <v>2024 May 2nd</v>
      </c>
    </row>
    <row r="520" spans="1:4" x14ac:dyDescent="0.3">
      <c r="A520" s="37">
        <f t="shared" si="36"/>
        <v>45445</v>
      </c>
      <c r="B520" s="37">
        <f t="shared" si="34"/>
        <v>45438</v>
      </c>
      <c r="C520" s="37">
        <f t="shared" si="33"/>
        <v>45483</v>
      </c>
      <c r="D520" t="str">
        <f t="shared" si="35"/>
        <v>2024 May 2nd</v>
      </c>
    </row>
    <row r="521" spans="1:4" x14ac:dyDescent="0.3">
      <c r="A521" s="37">
        <f t="shared" si="36"/>
        <v>45446</v>
      </c>
      <c r="B521" s="37">
        <f t="shared" si="34"/>
        <v>45438</v>
      </c>
      <c r="C521" s="37">
        <f t="shared" si="33"/>
        <v>45483</v>
      </c>
      <c r="D521" t="str">
        <f t="shared" si="35"/>
        <v>2024 May 2nd</v>
      </c>
    </row>
    <row r="522" spans="1:4" x14ac:dyDescent="0.3">
      <c r="A522" s="37">
        <f t="shared" si="36"/>
        <v>45447</v>
      </c>
      <c r="B522" s="37">
        <f t="shared" si="34"/>
        <v>45438</v>
      </c>
      <c r="C522" s="37">
        <f t="shared" si="33"/>
        <v>45483</v>
      </c>
      <c r="D522" t="str">
        <f t="shared" si="35"/>
        <v>2024 May 2nd</v>
      </c>
    </row>
    <row r="523" spans="1:4" x14ac:dyDescent="0.3">
      <c r="A523" s="37">
        <f t="shared" si="36"/>
        <v>45448</v>
      </c>
      <c r="B523" s="37">
        <f t="shared" si="34"/>
        <v>45438</v>
      </c>
      <c r="C523" s="37">
        <f t="shared" si="33"/>
        <v>45483</v>
      </c>
      <c r="D523" t="str">
        <f t="shared" si="35"/>
        <v>2024 May 2nd</v>
      </c>
    </row>
    <row r="524" spans="1:4" x14ac:dyDescent="0.3">
      <c r="A524" s="37">
        <f t="shared" si="36"/>
        <v>45449</v>
      </c>
      <c r="B524" s="37">
        <f t="shared" si="34"/>
        <v>45438</v>
      </c>
      <c r="C524" s="37">
        <f t="shared" si="33"/>
        <v>45483</v>
      </c>
      <c r="D524" t="str">
        <f t="shared" si="35"/>
        <v>2024 May 2nd</v>
      </c>
    </row>
    <row r="525" spans="1:4" x14ac:dyDescent="0.3">
      <c r="A525" s="37">
        <f t="shared" si="36"/>
        <v>45450</v>
      </c>
      <c r="B525" s="37">
        <f t="shared" si="34"/>
        <v>45438</v>
      </c>
      <c r="C525" s="37">
        <f t="shared" si="33"/>
        <v>45483</v>
      </c>
      <c r="D525" t="str">
        <f t="shared" si="35"/>
        <v>2024 May 2nd</v>
      </c>
    </row>
    <row r="526" spans="1:4" x14ac:dyDescent="0.3">
      <c r="A526" s="37">
        <f t="shared" si="36"/>
        <v>45451</v>
      </c>
      <c r="B526" s="37">
        <f t="shared" si="34"/>
        <v>45438</v>
      </c>
      <c r="C526" s="37">
        <f t="shared" si="33"/>
        <v>45483</v>
      </c>
      <c r="D526" t="str">
        <f t="shared" si="35"/>
        <v>2024 May 2nd</v>
      </c>
    </row>
    <row r="527" spans="1:4" x14ac:dyDescent="0.3">
      <c r="A527" s="37">
        <f t="shared" si="36"/>
        <v>45452</v>
      </c>
      <c r="B527" s="37">
        <f t="shared" si="34"/>
        <v>45438</v>
      </c>
      <c r="C527" s="37">
        <f t="shared" si="33"/>
        <v>45483</v>
      </c>
      <c r="D527" t="str">
        <f t="shared" si="35"/>
        <v>2024 May 2nd</v>
      </c>
    </row>
    <row r="528" spans="1:4" x14ac:dyDescent="0.3">
      <c r="A528" s="37">
        <f t="shared" si="36"/>
        <v>45453</v>
      </c>
      <c r="B528" s="37">
        <f t="shared" si="34"/>
        <v>45438</v>
      </c>
      <c r="C528" s="37">
        <f t="shared" si="33"/>
        <v>45483</v>
      </c>
      <c r="D528" t="str">
        <f t="shared" si="35"/>
        <v>2024 May 2nd</v>
      </c>
    </row>
    <row r="529" spans="1:4" x14ac:dyDescent="0.3">
      <c r="A529" s="37">
        <f t="shared" si="36"/>
        <v>45454</v>
      </c>
      <c r="B529" s="37">
        <f t="shared" si="34"/>
        <v>45454</v>
      </c>
      <c r="C529" s="37">
        <f t="shared" si="33"/>
        <v>45468</v>
      </c>
      <c r="D529" t="str">
        <f t="shared" si="35"/>
        <v>2024 Jun 1st</v>
      </c>
    </row>
    <row r="530" spans="1:4" x14ac:dyDescent="0.3">
      <c r="A530" s="37">
        <f t="shared" si="36"/>
        <v>45455</v>
      </c>
      <c r="B530" s="37">
        <f t="shared" si="34"/>
        <v>45454</v>
      </c>
      <c r="C530" s="37">
        <f t="shared" si="33"/>
        <v>45468</v>
      </c>
      <c r="D530" t="str">
        <f t="shared" si="35"/>
        <v>2024 Jun 1st</v>
      </c>
    </row>
    <row r="531" spans="1:4" x14ac:dyDescent="0.3">
      <c r="A531" s="37">
        <f t="shared" si="36"/>
        <v>45456</v>
      </c>
      <c r="B531" s="37">
        <f t="shared" si="34"/>
        <v>45454</v>
      </c>
      <c r="C531" s="37">
        <f t="shared" si="33"/>
        <v>45468</v>
      </c>
      <c r="D531" t="str">
        <f t="shared" si="35"/>
        <v>2024 Jun 1st</v>
      </c>
    </row>
    <row r="532" spans="1:4" x14ac:dyDescent="0.3">
      <c r="A532" s="37">
        <f t="shared" si="36"/>
        <v>45457</v>
      </c>
      <c r="B532" s="37">
        <f t="shared" si="34"/>
        <v>45454</v>
      </c>
      <c r="C532" s="37">
        <f t="shared" si="33"/>
        <v>45468</v>
      </c>
      <c r="D532" t="str">
        <f t="shared" si="35"/>
        <v>2024 Jun 1st</v>
      </c>
    </row>
    <row r="533" spans="1:4" x14ac:dyDescent="0.3">
      <c r="A533" s="37">
        <f t="shared" si="36"/>
        <v>45458</v>
      </c>
      <c r="B533" s="37">
        <f t="shared" si="34"/>
        <v>45454</v>
      </c>
      <c r="C533" s="37">
        <f t="shared" si="33"/>
        <v>45468</v>
      </c>
      <c r="D533" t="str">
        <f t="shared" si="35"/>
        <v>2024 Jun 1st</v>
      </c>
    </row>
    <row r="534" spans="1:4" x14ac:dyDescent="0.3">
      <c r="A534" s="37">
        <f t="shared" si="36"/>
        <v>45459</v>
      </c>
      <c r="B534" s="37">
        <f t="shared" si="34"/>
        <v>45454</v>
      </c>
      <c r="C534" s="37">
        <f t="shared" si="33"/>
        <v>45468</v>
      </c>
      <c r="D534" t="str">
        <f t="shared" si="35"/>
        <v>2024 Jun 1st</v>
      </c>
    </row>
    <row r="535" spans="1:4" x14ac:dyDescent="0.3">
      <c r="A535" s="37">
        <f t="shared" si="36"/>
        <v>45460</v>
      </c>
      <c r="B535" s="37">
        <f t="shared" si="34"/>
        <v>45454</v>
      </c>
      <c r="C535" s="37">
        <f t="shared" si="33"/>
        <v>45468</v>
      </c>
      <c r="D535" t="str">
        <f t="shared" si="35"/>
        <v>2024 Jun 1st</v>
      </c>
    </row>
    <row r="536" spans="1:4" x14ac:dyDescent="0.3">
      <c r="A536" s="37">
        <f t="shared" si="36"/>
        <v>45461</v>
      </c>
      <c r="B536" s="37">
        <f t="shared" si="34"/>
        <v>45454</v>
      </c>
      <c r="C536" s="37">
        <f t="shared" si="33"/>
        <v>45468</v>
      </c>
      <c r="D536" t="str">
        <f t="shared" si="35"/>
        <v>2024 Jun 1st</v>
      </c>
    </row>
    <row r="537" spans="1:4" x14ac:dyDescent="0.3">
      <c r="A537" s="37">
        <f t="shared" si="36"/>
        <v>45462</v>
      </c>
      <c r="B537" s="37">
        <f t="shared" si="34"/>
        <v>45454</v>
      </c>
      <c r="C537" s="37">
        <f t="shared" si="33"/>
        <v>45468</v>
      </c>
      <c r="D537" t="str">
        <f t="shared" si="35"/>
        <v>2024 Jun 1st</v>
      </c>
    </row>
    <row r="538" spans="1:4" x14ac:dyDescent="0.3">
      <c r="A538" s="37">
        <f t="shared" si="36"/>
        <v>45463</v>
      </c>
      <c r="B538" s="37">
        <f t="shared" si="34"/>
        <v>45454</v>
      </c>
      <c r="C538" s="37">
        <f t="shared" si="33"/>
        <v>45468</v>
      </c>
      <c r="D538" t="str">
        <f t="shared" si="35"/>
        <v>2024 Jun 1st</v>
      </c>
    </row>
    <row r="539" spans="1:4" x14ac:dyDescent="0.3">
      <c r="A539" s="37">
        <f t="shared" si="36"/>
        <v>45464</v>
      </c>
      <c r="B539" s="37">
        <f t="shared" si="34"/>
        <v>45454</v>
      </c>
      <c r="C539" s="37">
        <f t="shared" si="33"/>
        <v>45468</v>
      </c>
      <c r="D539" t="str">
        <f t="shared" si="35"/>
        <v>2024 Jun 1st</v>
      </c>
    </row>
    <row r="540" spans="1:4" x14ac:dyDescent="0.3">
      <c r="A540" s="37">
        <f t="shared" si="36"/>
        <v>45465</v>
      </c>
      <c r="B540" s="37">
        <f t="shared" si="34"/>
        <v>45454</v>
      </c>
      <c r="C540" s="37">
        <f t="shared" si="33"/>
        <v>45468</v>
      </c>
      <c r="D540" t="str">
        <f t="shared" si="35"/>
        <v>2024 Jun 1st</v>
      </c>
    </row>
    <row r="541" spans="1:4" x14ac:dyDescent="0.3">
      <c r="A541" s="37">
        <f t="shared" si="36"/>
        <v>45466</v>
      </c>
      <c r="B541" s="37">
        <f t="shared" si="34"/>
        <v>45454</v>
      </c>
      <c r="C541" s="37">
        <f t="shared" si="33"/>
        <v>45468</v>
      </c>
      <c r="D541" t="str">
        <f t="shared" si="35"/>
        <v>2024 Jun 1st</v>
      </c>
    </row>
    <row r="542" spans="1:4" x14ac:dyDescent="0.3">
      <c r="A542" s="37">
        <f t="shared" si="36"/>
        <v>45467</v>
      </c>
      <c r="B542" s="37">
        <f t="shared" si="34"/>
        <v>45454</v>
      </c>
      <c r="C542" s="37">
        <f t="shared" si="33"/>
        <v>45468</v>
      </c>
      <c r="D542" t="str">
        <f t="shared" si="35"/>
        <v>2024 Jun 1st</v>
      </c>
    </row>
    <row r="543" spans="1:4" x14ac:dyDescent="0.3">
      <c r="A543" s="37">
        <f t="shared" si="36"/>
        <v>45468</v>
      </c>
      <c r="B543" s="37">
        <f t="shared" si="34"/>
        <v>45454</v>
      </c>
      <c r="C543" s="37">
        <f t="shared" si="33"/>
        <v>45468</v>
      </c>
      <c r="D543" t="str">
        <f t="shared" si="35"/>
        <v>2024 Jun 1st</v>
      </c>
    </row>
    <row r="544" spans="1:4" x14ac:dyDescent="0.3">
      <c r="A544" s="37">
        <f t="shared" si="36"/>
        <v>45469</v>
      </c>
      <c r="B544" s="37">
        <f t="shared" si="34"/>
        <v>45469</v>
      </c>
      <c r="C544" s="37">
        <f t="shared" si="33"/>
        <v>45483</v>
      </c>
      <c r="D544" t="str">
        <f t="shared" si="35"/>
        <v>2024 Jun 2nd</v>
      </c>
    </row>
    <row r="545" spans="1:4" x14ac:dyDescent="0.3">
      <c r="A545" s="37">
        <f t="shared" si="36"/>
        <v>45470</v>
      </c>
      <c r="B545" s="37">
        <f t="shared" si="34"/>
        <v>45469</v>
      </c>
      <c r="C545" s="37">
        <f t="shared" si="33"/>
        <v>45483</v>
      </c>
      <c r="D545" t="str">
        <f t="shared" si="35"/>
        <v>2024 Jun 2nd</v>
      </c>
    </row>
    <row r="546" spans="1:4" x14ac:dyDescent="0.3">
      <c r="A546" s="37">
        <f t="shared" si="36"/>
        <v>45471</v>
      </c>
      <c r="B546" s="37">
        <f t="shared" si="34"/>
        <v>45469</v>
      </c>
      <c r="C546" s="37">
        <f t="shared" si="33"/>
        <v>45483</v>
      </c>
      <c r="D546" t="str">
        <f t="shared" si="35"/>
        <v>2024 Jun 2nd</v>
      </c>
    </row>
    <row r="547" spans="1:4" x14ac:dyDescent="0.3">
      <c r="A547" s="37">
        <f t="shared" si="36"/>
        <v>45472</v>
      </c>
      <c r="B547" s="37">
        <f t="shared" si="34"/>
        <v>45469</v>
      </c>
      <c r="C547" s="37">
        <f t="shared" si="33"/>
        <v>45483</v>
      </c>
      <c r="D547" t="str">
        <f t="shared" si="35"/>
        <v>2024 Jun 2nd</v>
      </c>
    </row>
    <row r="548" spans="1:4" x14ac:dyDescent="0.3">
      <c r="A548" s="37">
        <f t="shared" si="36"/>
        <v>45473</v>
      </c>
      <c r="B548" s="37">
        <f t="shared" si="34"/>
        <v>45469</v>
      </c>
      <c r="C548" s="37">
        <f t="shared" si="33"/>
        <v>45483</v>
      </c>
      <c r="D548" t="str">
        <f t="shared" si="35"/>
        <v>2024 Jun 2nd</v>
      </c>
    </row>
    <row r="549" spans="1:4" x14ac:dyDescent="0.3">
      <c r="A549" s="37">
        <f t="shared" si="36"/>
        <v>45474</v>
      </c>
      <c r="B549" s="37">
        <f t="shared" si="34"/>
        <v>45469</v>
      </c>
      <c r="C549" s="37">
        <f t="shared" si="33"/>
        <v>45514</v>
      </c>
      <c r="D549" t="str">
        <f t="shared" si="35"/>
        <v>2024 Jun 2nd</v>
      </c>
    </row>
    <row r="550" spans="1:4" x14ac:dyDescent="0.3">
      <c r="A550" s="37">
        <f t="shared" si="36"/>
        <v>45475</v>
      </c>
      <c r="B550" s="37">
        <f t="shared" si="34"/>
        <v>45469</v>
      </c>
      <c r="C550" s="37">
        <f t="shared" si="33"/>
        <v>45514</v>
      </c>
      <c r="D550" t="str">
        <f t="shared" si="35"/>
        <v>2024 Jun 2nd</v>
      </c>
    </row>
    <row r="551" spans="1:4" x14ac:dyDescent="0.3">
      <c r="A551" s="37">
        <f t="shared" si="36"/>
        <v>45476</v>
      </c>
      <c r="B551" s="37">
        <f t="shared" si="34"/>
        <v>45469</v>
      </c>
      <c r="C551" s="37">
        <f t="shared" si="33"/>
        <v>45514</v>
      </c>
      <c r="D551" t="str">
        <f t="shared" si="35"/>
        <v>2024 Jun 2nd</v>
      </c>
    </row>
    <row r="552" spans="1:4" x14ac:dyDescent="0.3">
      <c r="A552" s="37">
        <f t="shared" si="36"/>
        <v>45477</v>
      </c>
      <c r="B552" s="37">
        <f t="shared" si="34"/>
        <v>45469</v>
      </c>
      <c r="C552" s="37">
        <f t="shared" si="33"/>
        <v>45514</v>
      </c>
      <c r="D552" t="str">
        <f t="shared" si="35"/>
        <v>2024 Jun 2nd</v>
      </c>
    </row>
    <row r="553" spans="1:4" x14ac:dyDescent="0.3">
      <c r="A553" s="37">
        <f t="shared" si="36"/>
        <v>45478</v>
      </c>
      <c r="B553" s="37">
        <f t="shared" si="34"/>
        <v>45469</v>
      </c>
      <c r="C553" s="37">
        <f t="shared" si="33"/>
        <v>45514</v>
      </c>
      <c r="D553" t="str">
        <f t="shared" si="35"/>
        <v>2024 Jun 2nd</v>
      </c>
    </row>
    <row r="554" spans="1:4" x14ac:dyDescent="0.3">
      <c r="A554" s="37">
        <f t="shared" si="36"/>
        <v>45479</v>
      </c>
      <c r="B554" s="37">
        <f t="shared" si="34"/>
        <v>45469</v>
      </c>
      <c r="C554" s="37">
        <f t="shared" si="33"/>
        <v>45514</v>
      </c>
      <c r="D554" t="str">
        <f t="shared" si="35"/>
        <v>2024 Jun 2nd</v>
      </c>
    </row>
    <row r="555" spans="1:4" x14ac:dyDescent="0.3">
      <c r="A555" s="37">
        <f t="shared" si="36"/>
        <v>45480</v>
      </c>
      <c r="B555" s="37">
        <f t="shared" si="34"/>
        <v>45469</v>
      </c>
      <c r="C555" s="37">
        <f t="shared" si="33"/>
        <v>45514</v>
      </c>
      <c r="D555" t="str">
        <f t="shared" si="35"/>
        <v>2024 Jun 2nd</v>
      </c>
    </row>
    <row r="556" spans="1:4" x14ac:dyDescent="0.3">
      <c r="A556" s="37">
        <f t="shared" si="36"/>
        <v>45481</v>
      </c>
      <c r="B556" s="37">
        <f t="shared" si="34"/>
        <v>45469</v>
      </c>
      <c r="C556" s="37">
        <f t="shared" si="33"/>
        <v>45514</v>
      </c>
      <c r="D556" t="str">
        <f t="shared" si="35"/>
        <v>2024 Jun 2nd</v>
      </c>
    </row>
    <row r="557" spans="1:4" x14ac:dyDescent="0.3">
      <c r="A557" s="37">
        <f t="shared" si="36"/>
        <v>45482</v>
      </c>
      <c r="B557" s="37">
        <f t="shared" si="34"/>
        <v>45469</v>
      </c>
      <c r="C557" s="37">
        <f t="shared" si="33"/>
        <v>45514</v>
      </c>
      <c r="D557" t="str">
        <f t="shared" si="35"/>
        <v>2024 Jun 2nd</v>
      </c>
    </row>
    <row r="558" spans="1:4" x14ac:dyDescent="0.3">
      <c r="A558" s="37">
        <f t="shared" si="36"/>
        <v>45483</v>
      </c>
      <c r="B558" s="37">
        <f t="shared" si="34"/>
        <v>45469</v>
      </c>
      <c r="C558" s="37">
        <f t="shared" ref="C558:C621" si="37">IF(DAY(B558)=11,DATE(YEAR(A558),MONTH(A558),25),DATE(YEAR(A558),MONTH(A558)+1,10))</f>
        <v>45514</v>
      </c>
      <c r="D558" t="str">
        <f t="shared" si="35"/>
        <v>2024 Jun 2nd</v>
      </c>
    </row>
    <row r="559" spans="1:4" x14ac:dyDescent="0.3">
      <c r="A559" s="37">
        <f t="shared" si="36"/>
        <v>45484</v>
      </c>
      <c r="B559" s="37">
        <f t="shared" si="34"/>
        <v>45484</v>
      </c>
      <c r="C559" s="37">
        <f t="shared" si="37"/>
        <v>45498</v>
      </c>
      <c r="D559" t="str">
        <f t="shared" si="35"/>
        <v>2024 Jul 1st</v>
      </c>
    </row>
    <row r="560" spans="1:4" x14ac:dyDescent="0.3">
      <c r="A560" s="37">
        <f t="shared" si="36"/>
        <v>45485</v>
      </c>
      <c r="B560" s="37">
        <f t="shared" si="34"/>
        <v>45484</v>
      </c>
      <c r="C560" s="37">
        <f t="shared" si="37"/>
        <v>45498</v>
      </c>
      <c r="D560" t="str">
        <f t="shared" si="35"/>
        <v>2024 Jul 1st</v>
      </c>
    </row>
    <row r="561" spans="1:4" x14ac:dyDescent="0.3">
      <c r="A561" s="37">
        <f t="shared" si="36"/>
        <v>45486</v>
      </c>
      <c r="B561" s="37">
        <f t="shared" si="34"/>
        <v>45484</v>
      </c>
      <c r="C561" s="37">
        <f t="shared" si="37"/>
        <v>45498</v>
      </c>
      <c r="D561" t="str">
        <f t="shared" si="35"/>
        <v>2024 Jul 1st</v>
      </c>
    </row>
    <row r="562" spans="1:4" x14ac:dyDescent="0.3">
      <c r="A562" s="37">
        <f t="shared" si="36"/>
        <v>45487</v>
      </c>
      <c r="B562" s="37">
        <f t="shared" si="34"/>
        <v>45484</v>
      </c>
      <c r="C562" s="37">
        <f t="shared" si="37"/>
        <v>45498</v>
      </c>
      <c r="D562" t="str">
        <f t="shared" si="35"/>
        <v>2024 Jul 1st</v>
      </c>
    </row>
    <row r="563" spans="1:4" x14ac:dyDescent="0.3">
      <c r="A563" s="37">
        <f t="shared" si="36"/>
        <v>45488</v>
      </c>
      <c r="B563" s="37">
        <f t="shared" si="34"/>
        <v>45484</v>
      </c>
      <c r="C563" s="37">
        <f t="shared" si="37"/>
        <v>45498</v>
      </c>
      <c r="D563" t="str">
        <f t="shared" si="35"/>
        <v>2024 Jul 1st</v>
      </c>
    </row>
    <row r="564" spans="1:4" x14ac:dyDescent="0.3">
      <c r="A564" s="37">
        <f t="shared" si="36"/>
        <v>45489</v>
      </c>
      <c r="B564" s="37">
        <f t="shared" si="34"/>
        <v>45484</v>
      </c>
      <c r="C564" s="37">
        <f t="shared" si="37"/>
        <v>45498</v>
      </c>
      <c r="D564" t="str">
        <f t="shared" si="35"/>
        <v>2024 Jul 1st</v>
      </c>
    </row>
    <row r="565" spans="1:4" x14ac:dyDescent="0.3">
      <c r="A565" s="37">
        <f t="shared" si="36"/>
        <v>45490</v>
      </c>
      <c r="B565" s="37">
        <f t="shared" si="34"/>
        <v>45484</v>
      </c>
      <c r="C565" s="37">
        <f t="shared" si="37"/>
        <v>45498</v>
      </c>
      <c r="D565" t="str">
        <f t="shared" si="35"/>
        <v>2024 Jul 1st</v>
      </c>
    </row>
    <row r="566" spans="1:4" x14ac:dyDescent="0.3">
      <c r="A566" s="37">
        <f t="shared" si="36"/>
        <v>45491</v>
      </c>
      <c r="B566" s="37">
        <f t="shared" si="34"/>
        <v>45484</v>
      </c>
      <c r="C566" s="37">
        <f t="shared" si="37"/>
        <v>45498</v>
      </c>
      <c r="D566" t="str">
        <f t="shared" si="35"/>
        <v>2024 Jul 1st</v>
      </c>
    </row>
    <row r="567" spans="1:4" x14ac:dyDescent="0.3">
      <c r="A567" s="37">
        <f t="shared" si="36"/>
        <v>45492</v>
      </c>
      <c r="B567" s="37">
        <f t="shared" si="34"/>
        <v>45484</v>
      </c>
      <c r="C567" s="37">
        <f t="shared" si="37"/>
        <v>45498</v>
      </c>
      <c r="D567" t="str">
        <f t="shared" si="35"/>
        <v>2024 Jul 1st</v>
      </c>
    </row>
    <row r="568" spans="1:4" x14ac:dyDescent="0.3">
      <c r="A568" s="37">
        <f t="shared" si="36"/>
        <v>45493</v>
      </c>
      <c r="B568" s="37">
        <f t="shared" si="34"/>
        <v>45484</v>
      </c>
      <c r="C568" s="37">
        <f t="shared" si="37"/>
        <v>45498</v>
      </c>
      <c r="D568" t="str">
        <f t="shared" si="35"/>
        <v>2024 Jul 1st</v>
      </c>
    </row>
    <row r="569" spans="1:4" x14ac:dyDescent="0.3">
      <c r="A569" s="37">
        <f t="shared" si="36"/>
        <v>45494</v>
      </c>
      <c r="B569" s="37">
        <f t="shared" si="34"/>
        <v>45484</v>
      </c>
      <c r="C569" s="37">
        <f t="shared" si="37"/>
        <v>45498</v>
      </c>
      <c r="D569" t="str">
        <f t="shared" si="35"/>
        <v>2024 Jul 1st</v>
      </c>
    </row>
    <row r="570" spans="1:4" x14ac:dyDescent="0.3">
      <c r="A570" s="37">
        <f t="shared" si="36"/>
        <v>45495</v>
      </c>
      <c r="B570" s="37">
        <f t="shared" si="34"/>
        <v>45484</v>
      </c>
      <c r="C570" s="37">
        <f t="shared" si="37"/>
        <v>45498</v>
      </c>
      <c r="D570" t="str">
        <f t="shared" si="35"/>
        <v>2024 Jul 1st</v>
      </c>
    </row>
    <row r="571" spans="1:4" x14ac:dyDescent="0.3">
      <c r="A571" s="37">
        <f t="shared" si="36"/>
        <v>45496</v>
      </c>
      <c r="B571" s="37">
        <f t="shared" si="34"/>
        <v>45484</v>
      </c>
      <c r="C571" s="37">
        <f t="shared" si="37"/>
        <v>45498</v>
      </c>
      <c r="D571" t="str">
        <f t="shared" si="35"/>
        <v>2024 Jul 1st</v>
      </c>
    </row>
    <row r="572" spans="1:4" x14ac:dyDescent="0.3">
      <c r="A572" s="37">
        <f t="shared" si="36"/>
        <v>45497</v>
      </c>
      <c r="B572" s="37">
        <f t="shared" si="34"/>
        <v>45484</v>
      </c>
      <c r="C572" s="37">
        <f t="shared" si="37"/>
        <v>45498</v>
      </c>
      <c r="D572" t="str">
        <f t="shared" si="35"/>
        <v>2024 Jul 1st</v>
      </c>
    </row>
    <row r="573" spans="1:4" x14ac:dyDescent="0.3">
      <c r="A573" s="37">
        <f t="shared" si="36"/>
        <v>45498</v>
      </c>
      <c r="B573" s="37">
        <f t="shared" si="34"/>
        <v>45484</v>
      </c>
      <c r="C573" s="37">
        <f t="shared" si="37"/>
        <v>45498</v>
      </c>
      <c r="D573" t="str">
        <f t="shared" si="35"/>
        <v>2024 Jul 1st</v>
      </c>
    </row>
    <row r="574" spans="1:4" x14ac:dyDescent="0.3">
      <c r="A574" s="37">
        <f t="shared" si="36"/>
        <v>45499</v>
      </c>
      <c r="B574" s="37">
        <f t="shared" si="34"/>
        <v>45499</v>
      </c>
      <c r="C574" s="37">
        <f t="shared" si="37"/>
        <v>45514</v>
      </c>
      <c r="D574" t="str">
        <f t="shared" si="35"/>
        <v>2024 Jul 2nd</v>
      </c>
    </row>
    <row r="575" spans="1:4" x14ac:dyDescent="0.3">
      <c r="A575" s="37">
        <f t="shared" si="36"/>
        <v>45500</v>
      </c>
      <c r="B575" s="37">
        <f t="shared" si="34"/>
        <v>45499</v>
      </c>
      <c r="C575" s="37">
        <f t="shared" si="37"/>
        <v>45514</v>
      </c>
      <c r="D575" t="str">
        <f t="shared" si="35"/>
        <v>2024 Jul 2nd</v>
      </c>
    </row>
    <row r="576" spans="1:4" x14ac:dyDescent="0.3">
      <c r="A576" s="37">
        <f t="shared" si="36"/>
        <v>45501</v>
      </c>
      <c r="B576" s="37">
        <f t="shared" si="34"/>
        <v>45499</v>
      </c>
      <c r="C576" s="37">
        <f t="shared" si="37"/>
        <v>45514</v>
      </c>
      <c r="D576" t="str">
        <f t="shared" si="35"/>
        <v>2024 Jul 2nd</v>
      </c>
    </row>
    <row r="577" spans="1:4" x14ac:dyDescent="0.3">
      <c r="A577" s="37">
        <f t="shared" si="36"/>
        <v>45502</v>
      </c>
      <c r="B577" s="37">
        <f t="shared" si="34"/>
        <v>45499</v>
      </c>
      <c r="C577" s="37">
        <f t="shared" si="37"/>
        <v>45514</v>
      </c>
      <c r="D577" t="str">
        <f t="shared" si="35"/>
        <v>2024 Jul 2nd</v>
      </c>
    </row>
    <row r="578" spans="1:4" x14ac:dyDescent="0.3">
      <c r="A578" s="37">
        <f t="shared" si="36"/>
        <v>45503</v>
      </c>
      <c r="B578" s="37">
        <f t="shared" si="34"/>
        <v>45499</v>
      </c>
      <c r="C578" s="37">
        <f t="shared" si="37"/>
        <v>45514</v>
      </c>
      <c r="D578" t="str">
        <f t="shared" si="35"/>
        <v>2024 Jul 2nd</v>
      </c>
    </row>
    <row r="579" spans="1:4" x14ac:dyDescent="0.3">
      <c r="A579" s="37">
        <f t="shared" si="36"/>
        <v>45504</v>
      </c>
      <c r="B579" s="37">
        <f t="shared" ref="B579:B642" si="38">IF(AND(DAY(A579)&gt;=11,DAY(A579)&lt;=25),DATE(YEAR(A579),MONTH(A579),11),DATE(YEAR(A579),IF(AND(DAY(A579)&gt;=1,DAY(A579)&lt;=10),MONTH(A579)-1,MONTH(A579)),26))</f>
        <v>45499</v>
      </c>
      <c r="C579" s="37">
        <f t="shared" si="37"/>
        <v>45514</v>
      </c>
      <c r="D579" t="str">
        <f t="shared" ref="D579:D642" si="39">IF(DAY(B579)=11,TEXT(DATE(YEAR(B579),MONTH(B579),DAY(B579)),"yyyy mmm") &amp;" 1st",TEXT(DATE(YEAR(B579),MONTH(B579),DAY(B579)),"yyyy mmm") &amp;" 2nd")</f>
        <v>2024 Jul 2nd</v>
      </c>
    </row>
    <row r="580" spans="1:4" x14ac:dyDescent="0.3">
      <c r="A580" s="37">
        <f t="shared" ref="A580:A643" si="40">A579+1</f>
        <v>45505</v>
      </c>
      <c r="B580" s="37">
        <f t="shared" si="38"/>
        <v>45499</v>
      </c>
      <c r="C580" s="37">
        <f t="shared" si="37"/>
        <v>45545</v>
      </c>
      <c r="D580" t="str">
        <f t="shared" si="39"/>
        <v>2024 Jul 2nd</v>
      </c>
    </row>
    <row r="581" spans="1:4" x14ac:dyDescent="0.3">
      <c r="A581" s="37">
        <f t="shared" si="40"/>
        <v>45506</v>
      </c>
      <c r="B581" s="37">
        <f t="shared" si="38"/>
        <v>45499</v>
      </c>
      <c r="C581" s="37">
        <f t="shared" si="37"/>
        <v>45545</v>
      </c>
      <c r="D581" t="str">
        <f t="shared" si="39"/>
        <v>2024 Jul 2nd</v>
      </c>
    </row>
    <row r="582" spans="1:4" x14ac:dyDescent="0.3">
      <c r="A582" s="37">
        <f t="shared" si="40"/>
        <v>45507</v>
      </c>
      <c r="B582" s="37">
        <f t="shared" si="38"/>
        <v>45499</v>
      </c>
      <c r="C582" s="37">
        <f t="shared" si="37"/>
        <v>45545</v>
      </c>
      <c r="D582" t="str">
        <f t="shared" si="39"/>
        <v>2024 Jul 2nd</v>
      </c>
    </row>
    <row r="583" spans="1:4" x14ac:dyDescent="0.3">
      <c r="A583" s="37">
        <f t="shared" si="40"/>
        <v>45508</v>
      </c>
      <c r="B583" s="37">
        <f t="shared" si="38"/>
        <v>45499</v>
      </c>
      <c r="C583" s="37">
        <f t="shared" si="37"/>
        <v>45545</v>
      </c>
      <c r="D583" t="str">
        <f t="shared" si="39"/>
        <v>2024 Jul 2nd</v>
      </c>
    </row>
    <row r="584" spans="1:4" x14ac:dyDescent="0.3">
      <c r="A584" s="37">
        <f t="shared" si="40"/>
        <v>45509</v>
      </c>
      <c r="B584" s="37">
        <f t="shared" si="38"/>
        <v>45499</v>
      </c>
      <c r="C584" s="37">
        <f t="shared" si="37"/>
        <v>45545</v>
      </c>
      <c r="D584" t="str">
        <f t="shared" si="39"/>
        <v>2024 Jul 2nd</v>
      </c>
    </row>
    <row r="585" spans="1:4" x14ac:dyDescent="0.3">
      <c r="A585" s="37">
        <f t="shared" si="40"/>
        <v>45510</v>
      </c>
      <c r="B585" s="37">
        <f t="shared" si="38"/>
        <v>45499</v>
      </c>
      <c r="C585" s="37">
        <f t="shared" si="37"/>
        <v>45545</v>
      </c>
      <c r="D585" t="str">
        <f t="shared" si="39"/>
        <v>2024 Jul 2nd</v>
      </c>
    </row>
    <row r="586" spans="1:4" x14ac:dyDescent="0.3">
      <c r="A586" s="37">
        <f t="shared" si="40"/>
        <v>45511</v>
      </c>
      <c r="B586" s="37">
        <f t="shared" si="38"/>
        <v>45499</v>
      </c>
      <c r="C586" s="37">
        <f t="shared" si="37"/>
        <v>45545</v>
      </c>
      <c r="D586" t="str">
        <f t="shared" si="39"/>
        <v>2024 Jul 2nd</v>
      </c>
    </row>
    <row r="587" spans="1:4" x14ac:dyDescent="0.3">
      <c r="A587" s="37">
        <f t="shared" si="40"/>
        <v>45512</v>
      </c>
      <c r="B587" s="37">
        <f t="shared" si="38"/>
        <v>45499</v>
      </c>
      <c r="C587" s="37">
        <f t="shared" si="37"/>
        <v>45545</v>
      </c>
      <c r="D587" t="str">
        <f t="shared" si="39"/>
        <v>2024 Jul 2nd</v>
      </c>
    </row>
    <row r="588" spans="1:4" x14ac:dyDescent="0.3">
      <c r="A588" s="37">
        <f t="shared" si="40"/>
        <v>45513</v>
      </c>
      <c r="B588" s="37">
        <f t="shared" si="38"/>
        <v>45499</v>
      </c>
      <c r="C588" s="37">
        <f t="shared" si="37"/>
        <v>45545</v>
      </c>
      <c r="D588" t="str">
        <f t="shared" si="39"/>
        <v>2024 Jul 2nd</v>
      </c>
    </row>
    <row r="589" spans="1:4" x14ac:dyDescent="0.3">
      <c r="A589" s="37">
        <f t="shared" si="40"/>
        <v>45514</v>
      </c>
      <c r="B589" s="37">
        <f t="shared" si="38"/>
        <v>45499</v>
      </c>
      <c r="C589" s="37">
        <f t="shared" si="37"/>
        <v>45545</v>
      </c>
      <c r="D589" t="str">
        <f t="shared" si="39"/>
        <v>2024 Jul 2nd</v>
      </c>
    </row>
    <row r="590" spans="1:4" x14ac:dyDescent="0.3">
      <c r="A590" s="37">
        <f t="shared" si="40"/>
        <v>45515</v>
      </c>
      <c r="B590" s="37">
        <f t="shared" si="38"/>
        <v>45515</v>
      </c>
      <c r="C590" s="37">
        <f t="shared" si="37"/>
        <v>45529</v>
      </c>
      <c r="D590" t="str">
        <f t="shared" si="39"/>
        <v>2024 Aug 1st</v>
      </c>
    </row>
    <row r="591" spans="1:4" x14ac:dyDescent="0.3">
      <c r="A591" s="37">
        <f t="shared" si="40"/>
        <v>45516</v>
      </c>
      <c r="B591" s="37">
        <f t="shared" si="38"/>
        <v>45515</v>
      </c>
      <c r="C591" s="37">
        <f t="shared" si="37"/>
        <v>45529</v>
      </c>
      <c r="D591" t="str">
        <f t="shared" si="39"/>
        <v>2024 Aug 1st</v>
      </c>
    </row>
    <row r="592" spans="1:4" x14ac:dyDescent="0.3">
      <c r="A592" s="37">
        <f t="shared" si="40"/>
        <v>45517</v>
      </c>
      <c r="B592" s="37">
        <f t="shared" si="38"/>
        <v>45515</v>
      </c>
      <c r="C592" s="37">
        <f t="shared" si="37"/>
        <v>45529</v>
      </c>
      <c r="D592" t="str">
        <f t="shared" si="39"/>
        <v>2024 Aug 1st</v>
      </c>
    </row>
    <row r="593" spans="1:4" x14ac:dyDescent="0.3">
      <c r="A593" s="37">
        <f t="shared" si="40"/>
        <v>45518</v>
      </c>
      <c r="B593" s="37">
        <f t="shared" si="38"/>
        <v>45515</v>
      </c>
      <c r="C593" s="37">
        <f t="shared" si="37"/>
        <v>45529</v>
      </c>
      <c r="D593" t="str">
        <f t="shared" si="39"/>
        <v>2024 Aug 1st</v>
      </c>
    </row>
    <row r="594" spans="1:4" x14ac:dyDescent="0.3">
      <c r="A594" s="37">
        <f t="shared" si="40"/>
        <v>45519</v>
      </c>
      <c r="B594" s="37">
        <f t="shared" si="38"/>
        <v>45515</v>
      </c>
      <c r="C594" s="37">
        <f t="shared" si="37"/>
        <v>45529</v>
      </c>
      <c r="D594" t="str">
        <f t="shared" si="39"/>
        <v>2024 Aug 1st</v>
      </c>
    </row>
    <row r="595" spans="1:4" x14ac:dyDescent="0.3">
      <c r="A595" s="37">
        <f t="shared" si="40"/>
        <v>45520</v>
      </c>
      <c r="B595" s="37">
        <f t="shared" si="38"/>
        <v>45515</v>
      </c>
      <c r="C595" s="37">
        <f t="shared" si="37"/>
        <v>45529</v>
      </c>
      <c r="D595" t="str">
        <f t="shared" si="39"/>
        <v>2024 Aug 1st</v>
      </c>
    </row>
    <row r="596" spans="1:4" x14ac:dyDescent="0.3">
      <c r="A596" s="37">
        <f t="shared" si="40"/>
        <v>45521</v>
      </c>
      <c r="B596" s="37">
        <f t="shared" si="38"/>
        <v>45515</v>
      </c>
      <c r="C596" s="37">
        <f t="shared" si="37"/>
        <v>45529</v>
      </c>
      <c r="D596" t="str">
        <f t="shared" si="39"/>
        <v>2024 Aug 1st</v>
      </c>
    </row>
    <row r="597" spans="1:4" x14ac:dyDescent="0.3">
      <c r="A597" s="37">
        <f t="shared" si="40"/>
        <v>45522</v>
      </c>
      <c r="B597" s="37">
        <f t="shared" si="38"/>
        <v>45515</v>
      </c>
      <c r="C597" s="37">
        <f t="shared" si="37"/>
        <v>45529</v>
      </c>
      <c r="D597" t="str">
        <f t="shared" si="39"/>
        <v>2024 Aug 1st</v>
      </c>
    </row>
    <row r="598" spans="1:4" x14ac:dyDescent="0.3">
      <c r="A598" s="37">
        <f t="shared" si="40"/>
        <v>45523</v>
      </c>
      <c r="B598" s="37">
        <f t="shared" si="38"/>
        <v>45515</v>
      </c>
      <c r="C598" s="37">
        <f t="shared" si="37"/>
        <v>45529</v>
      </c>
      <c r="D598" t="str">
        <f t="shared" si="39"/>
        <v>2024 Aug 1st</v>
      </c>
    </row>
    <row r="599" spans="1:4" x14ac:dyDescent="0.3">
      <c r="A599" s="37">
        <f t="shared" si="40"/>
        <v>45524</v>
      </c>
      <c r="B599" s="37">
        <f t="shared" si="38"/>
        <v>45515</v>
      </c>
      <c r="C599" s="37">
        <f t="shared" si="37"/>
        <v>45529</v>
      </c>
      <c r="D599" t="str">
        <f t="shared" si="39"/>
        <v>2024 Aug 1st</v>
      </c>
    </row>
    <row r="600" spans="1:4" x14ac:dyDescent="0.3">
      <c r="A600" s="37">
        <f t="shared" si="40"/>
        <v>45525</v>
      </c>
      <c r="B600" s="37">
        <f t="shared" si="38"/>
        <v>45515</v>
      </c>
      <c r="C600" s="37">
        <f t="shared" si="37"/>
        <v>45529</v>
      </c>
      <c r="D600" t="str">
        <f t="shared" si="39"/>
        <v>2024 Aug 1st</v>
      </c>
    </row>
    <row r="601" spans="1:4" x14ac:dyDescent="0.3">
      <c r="A601" s="37">
        <f t="shared" si="40"/>
        <v>45526</v>
      </c>
      <c r="B601" s="37">
        <f t="shared" si="38"/>
        <v>45515</v>
      </c>
      <c r="C601" s="37">
        <f t="shared" si="37"/>
        <v>45529</v>
      </c>
      <c r="D601" t="str">
        <f t="shared" si="39"/>
        <v>2024 Aug 1st</v>
      </c>
    </row>
    <row r="602" spans="1:4" x14ac:dyDescent="0.3">
      <c r="A602" s="37">
        <f t="shared" si="40"/>
        <v>45527</v>
      </c>
      <c r="B602" s="37">
        <f t="shared" si="38"/>
        <v>45515</v>
      </c>
      <c r="C602" s="37">
        <f t="shared" si="37"/>
        <v>45529</v>
      </c>
      <c r="D602" t="str">
        <f t="shared" si="39"/>
        <v>2024 Aug 1st</v>
      </c>
    </row>
    <row r="603" spans="1:4" x14ac:dyDescent="0.3">
      <c r="A603" s="37">
        <f t="shared" si="40"/>
        <v>45528</v>
      </c>
      <c r="B603" s="37">
        <f t="shared" si="38"/>
        <v>45515</v>
      </c>
      <c r="C603" s="37">
        <f t="shared" si="37"/>
        <v>45529</v>
      </c>
      <c r="D603" t="str">
        <f t="shared" si="39"/>
        <v>2024 Aug 1st</v>
      </c>
    </row>
    <row r="604" spans="1:4" x14ac:dyDescent="0.3">
      <c r="A604" s="37">
        <f t="shared" si="40"/>
        <v>45529</v>
      </c>
      <c r="B604" s="37">
        <f t="shared" si="38"/>
        <v>45515</v>
      </c>
      <c r="C604" s="37">
        <f t="shared" si="37"/>
        <v>45529</v>
      </c>
      <c r="D604" t="str">
        <f t="shared" si="39"/>
        <v>2024 Aug 1st</v>
      </c>
    </row>
    <row r="605" spans="1:4" x14ac:dyDescent="0.3">
      <c r="A605" s="37">
        <f t="shared" si="40"/>
        <v>45530</v>
      </c>
      <c r="B605" s="37">
        <f t="shared" si="38"/>
        <v>45530</v>
      </c>
      <c r="C605" s="37">
        <f t="shared" si="37"/>
        <v>45545</v>
      </c>
      <c r="D605" t="str">
        <f t="shared" si="39"/>
        <v>2024 Aug 2nd</v>
      </c>
    </row>
    <row r="606" spans="1:4" x14ac:dyDescent="0.3">
      <c r="A606" s="37">
        <f t="shared" si="40"/>
        <v>45531</v>
      </c>
      <c r="B606" s="37">
        <f t="shared" si="38"/>
        <v>45530</v>
      </c>
      <c r="C606" s="37">
        <f t="shared" si="37"/>
        <v>45545</v>
      </c>
      <c r="D606" t="str">
        <f t="shared" si="39"/>
        <v>2024 Aug 2nd</v>
      </c>
    </row>
    <row r="607" spans="1:4" x14ac:dyDescent="0.3">
      <c r="A607" s="37">
        <f t="shared" si="40"/>
        <v>45532</v>
      </c>
      <c r="B607" s="37">
        <f t="shared" si="38"/>
        <v>45530</v>
      </c>
      <c r="C607" s="37">
        <f t="shared" si="37"/>
        <v>45545</v>
      </c>
      <c r="D607" t="str">
        <f t="shared" si="39"/>
        <v>2024 Aug 2nd</v>
      </c>
    </row>
    <row r="608" spans="1:4" x14ac:dyDescent="0.3">
      <c r="A608" s="37">
        <f t="shared" si="40"/>
        <v>45533</v>
      </c>
      <c r="B608" s="37">
        <f t="shared" si="38"/>
        <v>45530</v>
      </c>
      <c r="C608" s="37">
        <f t="shared" si="37"/>
        <v>45545</v>
      </c>
      <c r="D608" t="str">
        <f t="shared" si="39"/>
        <v>2024 Aug 2nd</v>
      </c>
    </row>
    <row r="609" spans="1:4" x14ac:dyDescent="0.3">
      <c r="A609" s="37">
        <f t="shared" si="40"/>
        <v>45534</v>
      </c>
      <c r="B609" s="37">
        <f t="shared" si="38"/>
        <v>45530</v>
      </c>
      <c r="C609" s="37">
        <f t="shared" si="37"/>
        <v>45545</v>
      </c>
      <c r="D609" t="str">
        <f t="shared" si="39"/>
        <v>2024 Aug 2nd</v>
      </c>
    </row>
    <row r="610" spans="1:4" x14ac:dyDescent="0.3">
      <c r="A610" s="37">
        <f t="shared" si="40"/>
        <v>45535</v>
      </c>
      <c r="B610" s="37">
        <f t="shared" si="38"/>
        <v>45530</v>
      </c>
      <c r="C610" s="37">
        <f t="shared" si="37"/>
        <v>45545</v>
      </c>
      <c r="D610" t="str">
        <f t="shared" si="39"/>
        <v>2024 Aug 2nd</v>
      </c>
    </row>
    <row r="611" spans="1:4" x14ac:dyDescent="0.3">
      <c r="A611" s="37">
        <f t="shared" si="40"/>
        <v>45536</v>
      </c>
      <c r="B611" s="37">
        <f t="shared" si="38"/>
        <v>45530</v>
      </c>
      <c r="C611" s="37">
        <f t="shared" si="37"/>
        <v>45575</v>
      </c>
      <c r="D611" t="str">
        <f t="shared" si="39"/>
        <v>2024 Aug 2nd</v>
      </c>
    </row>
    <row r="612" spans="1:4" x14ac:dyDescent="0.3">
      <c r="A612" s="37">
        <f t="shared" si="40"/>
        <v>45537</v>
      </c>
      <c r="B612" s="37">
        <f t="shared" si="38"/>
        <v>45530</v>
      </c>
      <c r="C612" s="37">
        <f t="shared" si="37"/>
        <v>45575</v>
      </c>
      <c r="D612" t="str">
        <f t="shared" si="39"/>
        <v>2024 Aug 2nd</v>
      </c>
    </row>
    <row r="613" spans="1:4" x14ac:dyDescent="0.3">
      <c r="A613" s="37">
        <f t="shared" si="40"/>
        <v>45538</v>
      </c>
      <c r="B613" s="37">
        <f t="shared" si="38"/>
        <v>45530</v>
      </c>
      <c r="C613" s="37">
        <f t="shared" si="37"/>
        <v>45575</v>
      </c>
      <c r="D613" t="str">
        <f t="shared" si="39"/>
        <v>2024 Aug 2nd</v>
      </c>
    </row>
    <row r="614" spans="1:4" x14ac:dyDescent="0.3">
      <c r="A614" s="37">
        <f t="shared" si="40"/>
        <v>45539</v>
      </c>
      <c r="B614" s="37">
        <f t="shared" si="38"/>
        <v>45530</v>
      </c>
      <c r="C614" s="37">
        <f t="shared" si="37"/>
        <v>45575</v>
      </c>
      <c r="D614" t="str">
        <f t="shared" si="39"/>
        <v>2024 Aug 2nd</v>
      </c>
    </row>
    <row r="615" spans="1:4" x14ac:dyDescent="0.3">
      <c r="A615" s="37">
        <f t="shared" si="40"/>
        <v>45540</v>
      </c>
      <c r="B615" s="37">
        <f t="shared" si="38"/>
        <v>45530</v>
      </c>
      <c r="C615" s="37">
        <f t="shared" si="37"/>
        <v>45575</v>
      </c>
      <c r="D615" t="str">
        <f t="shared" si="39"/>
        <v>2024 Aug 2nd</v>
      </c>
    </row>
    <row r="616" spans="1:4" x14ac:dyDescent="0.3">
      <c r="A616" s="37">
        <f t="shared" si="40"/>
        <v>45541</v>
      </c>
      <c r="B616" s="37">
        <f t="shared" si="38"/>
        <v>45530</v>
      </c>
      <c r="C616" s="37">
        <f t="shared" si="37"/>
        <v>45575</v>
      </c>
      <c r="D616" t="str">
        <f t="shared" si="39"/>
        <v>2024 Aug 2nd</v>
      </c>
    </row>
    <row r="617" spans="1:4" x14ac:dyDescent="0.3">
      <c r="A617" s="37">
        <f t="shared" si="40"/>
        <v>45542</v>
      </c>
      <c r="B617" s="37">
        <f t="shared" si="38"/>
        <v>45530</v>
      </c>
      <c r="C617" s="37">
        <f t="shared" si="37"/>
        <v>45575</v>
      </c>
      <c r="D617" t="str">
        <f t="shared" si="39"/>
        <v>2024 Aug 2nd</v>
      </c>
    </row>
    <row r="618" spans="1:4" x14ac:dyDescent="0.3">
      <c r="A618" s="37">
        <f t="shared" si="40"/>
        <v>45543</v>
      </c>
      <c r="B618" s="37">
        <f t="shared" si="38"/>
        <v>45530</v>
      </c>
      <c r="C618" s="37">
        <f t="shared" si="37"/>
        <v>45575</v>
      </c>
      <c r="D618" t="str">
        <f t="shared" si="39"/>
        <v>2024 Aug 2nd</v>
      </c>
    </row>
    <row r="619" spans="1:4" x14ac:dyDescent="0.3">
      <c r="A619" s="37">
        <f t="shared" si="40"/>
        <v>45544</v>
      </c>
      <c r="B619" s="37">
        <f t="shared" si="38"/>
        <v>45530</v>
      </c>
      <c r="C619" s="37">
        <f t="shared" si="37"/>
        <v>45575</v>
      </c>
      <c r="D619" t="str">
        <f t="shared" si="39"/>
        <v>2024 Aug 2nd</v>
      </c>
    </row>
    <row r="620" spans="1:4" x14ac:dyDescent="0.3">
      <c r="A620" s="37">
        <f t="shared" si="40"/>
        <v>45545</v>
      </c>
      <c r="B620" s="37">
        <f t="shared" si="38"/>
        <v>45530</v>
      </c>
      <c r="C620" s="37">
        <f t="shared" si="37"/>
        <v>45575</v>
      </c>
      <c r="D620" t="str">
        <f t="shared" si="39"/>
        <v>2024 Aug 2nd</v>
      </c>
    </row>
    <row r="621" spans="1:4" x14ac:dyDescent="0.3">
      <c r="A621" s="37">
        <f t="shared" si="40"/>
        <v>45546</v>
      </c>
      <c r="B621" s="37">
        <f t="shared" si="38"/>
        <v>45546</v>
      </c>
      <c r="C621" s="37">
        <f t="shared" si="37"/>
        <v>45560</v>
      </c>
      <c r="D621" t="str">
        <f t="shared" si="39"/>
        <v>2024 Sep 1st</v>
      </c>
    </row>
    <row r="622" spans="1:4" x14ac:dyDescent="0.3">
      <c r="A622" s="37">
        <f t="shared" si="40"/>
        <v>45547</v>
      </c>
      <c r="B622" s="37">
        <f t="shared" si="38"/>
        <v>45546</v>
      </c>
      <c r="C622" s="37">
        <f t="shared" ref="C622:C685" si="41">IF(DAY(B622)=11,DATE(YEAR(A622),MONTH(A622),25),DATE(YEAR(A622),MONTH(A622)+1,10))</f>
        <v>45560</v>
      </c>
      <c r="D622" t="str">
        <f t="shared" si="39"/>
        <v>2024 Sep 1st</v>
      </c>
    </row>
    <row r="623" spans="1:4" x14ac:dyDescent="0.3">
      <c r="A623" s="37">
        <f t="shared" si="40"/>
        <v>45548</v>
      </c>
      <c r="B623" s="37">
        <f t="shared" si="38"/>
        <v>45546</v>
      </c>
      <c r="C623" s="37">
        <f t="shared" si="41"/>
        <v>45560</v>
      </c>
      <c r="D623" t="str">
        <f t="shared" si="39"/>
        <v>2024 Sep 1st</v>
      </c>
    </row>
    <row r="624" spans="1:4" x14ac:dyDescent="0.3">
      <c r="A624" s="37">
        <f t="shared" si="40"/>
        <v>45549</v>
      </c>
      <c r="B624" s="37">
        <f t="shared" si="38"/>
        <v>45546</v>
      </c>
      <c r="C624" s="37">
        <f t="shared" si="41"/>
        <v>45560</v>
      </c>
      <c r="D624" t="str">
        <f t="shared" si="39"/>
        <v>2024 Sep 1st</v>
      </c>
    </row>
    <row r="625" spans="1:4" x14ac:dyDescent="0.3">
      <c r="A625" s="37">
        <f t="shared" si="40"/>
        <v>45550</v>
      </c>
      <c r="B625" s="37">
        <f t="shared" si="38"/>
        <v>45546</v>
      </c>
      <c r="C625" s="37">
        <f t="shared" si="41"/>
        <v>45560</v>
      </c>
      <c r="D625" t="str">
        <f t="shared" si="39"/>
        <v>2024 Sep 1st</v>
      </c>
    </row>
    <row r="626" spans="1:4" x14ac:dyDescent="0.3">
      <c r="A626" s="37">
        <f t="shared" si="40"/>
        <v>45551</v>
      </c>
      <c r="B626" s="37">
        <f t="shared" si="38"/>
        <v>45546</v>
      </c>
      <c r="C626" s="37">
        <f t="shared" si="41"/>
        <v>45560</v>
      </c>
      <c r="D626" t="str">
        <f t="shared" si="39"/>
        <v>2024 Sep 1st</v>
      </c>
    </row>
    <row r="627" spans="1:4" x14ac:dyDescent="0.3">
      <c r="A627" s="37">
        <f t="shared" si="40"/>
        <v>45552</v>
      </c>
      <c r="B627" s="37">
        <f t="shared" si="38"/>
        <v>45546</v>
      </c>
      <c r="C627" s="37">
        <f t="shared" si="41"/>
        <v>45560</v>
      </c>
      <c r="D627" t="str">
        <f t="shared" si="39"/>
        <v>2024 Sep 1st</v>
      </c>
    </row>
    <row r="628" spans="1:4" x14ac:dyDescent="0.3">
      <c r="A628" s="37">
        <f t="shared" si="40"/>
        <v>45553</v>
      </c>
      <c r="B628" s="37">
        <f t="shared" si="38"/>
        <v>45546</v>
      </c>
      <c r="C628" s="37">
        <f t="shared" si="41"/>
        <v>45560</v>
      </c>
      <c r="D628" t="str">
        <f t="shared" si="39"/>
        <v>2024 Sep 1st</v>
      </c>
    </row>
    <row r="629" spans="1:4" x14ac:dyDescent="0.3">
      <c r="A629" s="37">
        <f t="shared" si="40"/>
        <v>45554</v>
      </c>
      <c r="B629" s="37">
        <f t="shared" si="38"/>
        <v>45546</v>
      </c>
      <c r="C629" s="37">
        <f t="shared" si="41"/>
        <v>45560</v>
      </c>
      <c r="D629" t="str">
        <f t="shared" si="39"/>
        <v>2024 Sep 1st</v>
      </c>
    </row>
    <row r="630" spans="1:4" x14ac:dyDescent="0.3">
      <c r="A630" s="37">
        <f t="shared" si="40"/>
        <v>45555</v>
      </c>
      <c r="B630" s="37">
        <f t="shared" si="38"/>
        <v>45546</v>
      </c>
      <c r="C630" s="37">
        <f t="shared" si="41"/>
        <v>45560</v>
      </c>
      <c r="D630" t="str">
        <f t="shared" si="39"/>
        <v>2024 Sep 1st</v>
      </c>
    </row>
    <row r="631" spans="1:4" x14ac:dyDescent="0.3">
      <c r="A631" s="37">
        <f t="shared" si="40"/>
        <v>45556</v>
      </c>
      <c r="B631" s="37">
        <f t="shared" si="38"/>
        <v>45546</v>
      </c>
      <c r="C631" s="37">
        <f t="shared" si="41"/>
        <v>45560</v>
      </c>
      <c r="D631" t="str">
        <f t="shared" si="39"/>
        <v>2024 Sep 1st</v>
      </c>
    </row>
    <row r="632" spans="1:4" x14ac:dyDescent="0.3">
      <c r="A632" s="37">
        <f t="shared" si="40"/>
        <v>45557</v>
      </c>
      <c r="B632" s="37">
        <f t="shared" si="38"/>
        <v>45546</v>
      </c>
      <c r="C632" s="37">
        <f t="shared" si="41"/>
        <v>45560</v>
      </c>
      <c r="D632" t="str">
        <f t="shared" si="39"/>
        <v>2024 Sep 1st</v>
      </c>
    </row>
    <row r="633" spans="1:4" x14ac:dyDescent="0.3">
      <c r="A633" s="37">
        <f t="shared" si="40"/>
        <v>45558</v>
      </c>
      <c r="B633" s="37">
        <f t="shared" si="38"/>
        <v>45546</v>
      </c>
      <c r="C633" s="37">
        <f t="shared" si="41"/>
        <v>45560</v>
      </c>
      <c r="D633" t="str">
        <f t="shared" si="39"/>
        <v>2024 Sep 1st</v>
      </c>
    </row>
    <row r="634" spans="1:4" x14ac:dyDescent="0.3">
      <c r="A634" s="37">
        <f t="shared" si="40"/>
        <v>45559</v>
      </c>
      <c r="B634" s="37">
        <f t="shared" si="38"/>
        <v>45546</v>
      </c>
      <c r="C634" s="37">
        <f t="shared" si="41"/>
        <v>45560</v>
      </c>
      <c r="D634" t="str">
        <f t="shared" si="39"/>
        <v>2024 Sep 1st</v>
      </c>
    </row>
    <row r="635" spans="1:4" x14ac:dyDescent="0.3">
      <c r="A635" s="37">
        <f t="shared" si="40"/>
        <v>45560</v>
      </c>
      <c r="B635" s="37">
        <f t="shared" si="38"/>
        <v>45546</v>
      </c>
      <c r="C635" s="37">
        <f t="shared" si="41"/>
        <v>45560</v>
      </c>
      <c r="D635" t="str">
        <f t="shared" si="39"/>
        <v>2024 Sep 1st</v>
      </c>
    </row>
    <row r="636" spans="1:4" x14ac:dyDescent="0.3">
      <c r="A636" s="37">
        <f t="shared" si="40"/>
        <v>45561</v>
      </c>
      <c r="B636" s="37">
        <f t="shared" si="38"/>
        <v>45561</v>
      </c>
      <c r="C636" s="37">
        <f t="shared" si="41"/>
        <v>45575</v>
      </c>
      <c r="D636" t="str">
        <f t="shared" si="39"/>
        <v>2024 Sep 2nd</v>
      </c>
    </row>
    <row r="637" spans="1:4" x14ac:dyDescent="0.3">
      <c r="A637" s="37">
        <f t="shared" si="40"/>
        <v>45562</v>
      </c>
      <c r="B637" s="37">
        <f t="shared" si="38"/>
        <v>45561</v>
      </c>
      <c r="C637" s="37">
        <f t="shared" si="41"/>
        <v>45575</v>
      </c>
      <c r="D637" t="str">
        <f t="shared" si="39"/>
        <v>2024 Sep 2nd</v>
      </c>
    </row>
    <row r="638" spans="1:4" x14ac:dyDescent="0.3">
      <c r="A638" s="37">
        <f t="shared" si="40"/>
        <v>45563</v>
      </c>
      <c r="B638" s="37">
        <f t="shared" si="38"/>
        <v>45561</v>
      </c>
      <c r="C638" s="37">
        <f t="shared" si="41"/>
        <v>45575</v>
      </c>
      <c r="D638" t="str">
        <f t="shared" si="39"/>
        <v>2024 Sep 2nd</v>
      </c>
    </row>
    <row r="639" spans="1:4" x14ac:dyDescent="0.3">
      <c r="A639" s="37">
        <f t="shared" si="40"/>
        <v>45564</v>
      </c>
      <c r="B639" s="37">
        <f t="shared" si="38"/>
        <v>45561</v>
      </c>
      <c r="C639" s="37">
        <f t="shared" si="41"/>
        <v>45575</v>
      </c>
      <c r="D639" t="str">
        <f t="shared" si="39"/>
        <v>2024 Sep 2nd</v>
      </c>
    </row>
    <row r="640" spans="1:4" x14ac:dyDescent="0.3">
      <c r="A640" s="37">
        <f t="shared" si="40"/>
        <v>45565</v>
      </c>
      <c r="B640" s="37">
        <f t="shared" si="38"/>
        <v>45561</v>
      </c>
      <c r="C640" s="37">
        <f t="shared" si="41"/>
        <v>45575</v>
      </c>
      <c r="D640" t="str">
        <f t="shared" si="39"/>
        <v>2024 Sep 2nd</v>
      </c>
    </row>
    <row r="641" spans="1:4" x14ac:dyDescent="0.3">
      <c r="A641" s="37">
        <f t="shared" si="40"/>
        <v>45566</v>
      </c>
      <c r="B641" s="37">
        <f t="shared" si="38"/>
        <v>45561</v>
      </c>
      <c r="C641" s="37">
        <f t="shared" si="41"/>
        <v>45606</v>
      </c>
      <c r="D641" t="str">
        <f t="shared" si="39"/>
        <v>2024 Sep 2nd</v>
      </c>
    </row>
    <row r="642" spans="1:4" x14ac:dyDescent="0.3">
      <c r="A642" s="37">
        <f t="shared" si="40"/>
        <v>45567</v>
      </c>
      <c r="B642" s="37">
        <f t="shared" si="38"/>
        <v>45561</v>
      </c>
      <c r="C642" s="37">
        <f t="shared" si="41"/>
        <v>45606</v>
      </c>
      <c r="D642" t="str">
        <f t="shared" si="39"/>
        <v>2024 Sep 2nd</v>
      </c>
    </row>
    <row r="643" spans="1:4" x14ac:dyDescent="0.3">
      <c r="A643" s="37">
        <f t="shared" si="40"/>
        <v>45568</v>
      </c>
      <c r="B643" s="37">
        <f t="shared" ref="B643:B706" si="42">IF(AND(DAY(A643)&gt;=11,DAY(A643)&lt;=25),DATE(YEAR(A643),MONTH(A643),11),DATE(YEAR(A643),IF(AND(DAY(A643)&gt;=1,DAY(A643)&lt;=10),MONTH(A643)-1,MONTH(A643)),26))</f>
        <v>45561</v>
      </c>
      <c r="C643" s="37">
        <f t="shared" si="41"/>
        <v>45606</v>
      </c>
      <c r="D643" t="str">
        <f t="shared" ref="D643:D706" si="43">IF(DAY(B643)=11,TEXT(DATE(YEAR(B643),MONTH(B643),DAY(B643)),"yyyy mmm") &amp;" 1st",TEXT(DATE(YEAR(B643),MONTH(B643),DAY(B643)),"yyyy mmm") &amp;" 2nd")</f>
        <v>2024 Sep 2nd</v>
      </c>
    </row>
    <row r="644" spans="1:4" x14ac:dyDescent="0.3">
      <c r="A644" s="37">
        <f t="shared" ref="A644:A707" si="44">A643+1</f>
        <v>45569</v>
      </c>
      <c r="B644" s="37">
        <f t="shared" si="42"/>
        <v>45561</v>
      </c>
      <c r="C644" s="37">
        <f t="shared" si="41"/>
        <v>45606</v>
      </c>
      <c r="D644" t="str">
        <f t="shared" si="43"/>
        <v>2024 Sep 2nd</v>
      </c>
    </row>
    <row r="645" spans="1:4" x14ac:dyDescent="0.3">
      <c r="A645" s="37">
        <f t="shared" si="44"/>
        <v>45570</v>
      </c>
      <c r="B645" s="37">
        <f t="shared" si="42"/>
        <v>45561</v>
      </c>
      <c r="C645" s="37">
        <f t="shared" si="41"/>
        <v>45606</v>
      </c>
      <c r="D645" t="str">
        <f t="shared" si="43"/>
        <v>2024 Sep 2nd</v>
      </c>
    </row>
    <row r="646" spans="1:4" x14ac:dyDescent="0.3">
      <c r="A646" s="37">
        <f t="shared" si="44"/>
        <v>45571</v>
      </c>
      <c r="B646" s="37">
        <f t="shared" si="42"/>
        <v>45561</v>
      </c>
      <c r="C646" s="37">
        <f t="shared" si="41"/>
        <v>45606</v>
      </c>
      <c r="D646" t="str">
        <f t="shared" si="43"/>
        <v>2024 Sep 2nd</v>
      </c>
    </row>
    <row r="647" spans="1:4" x14ac:dyDescent="0.3">
      <c r="A647" s="37">
        <f t="shared" si="44"/>
        <v>45572</v>
      </c>
      <c r="B647" s="37">
        <f t="shared" si="42"/>
        <v>45561</v>
      </c>
      <c r="C647" s="37">
        <f t="shared" si="41"/>
        <v>45606</v>
      </c>
      <c r="D647" t="str">
        <f t="shared" si="43"/>
        <v>2024 Sep 2nd</v>
      </c>
    </row>
    <row r="648" spans="1:4" x14ac:dyDescent="0.3">
      <c r="A648" s="37">
        <f t="shared" si="44"/>
        <v>45573</v>
      </c>
      <c r="B648" s="37">
        <f t="shared" si="42"/>
        <v>45561</v>
      </c>
      <c r="C648" s="37">
        <f t="shared" si="41"/>
        <v>45606</v>
      </c>
      <c r="D648" t="str">
        <f t="shared" si="43"/>
        <v>2024 Sep 2nd</v>
      </c>
    </row>
    <row r="649" spans="1:4" x14ac:dyDescent="0.3">
      <c r="A649" s="37">
        <f t="shared" si="44"/>
        <v>45574</v>
      </c>
      <c r="B649" s="37">
        <f t="shared" si="42"/>
        <v>45561</v>
      </c>
      <c r="C649" s="37">
        <f t="shared" si="41"/>
        <v>45606</v>
      </c>
      <c r="D649" t="str">
        <f t="shared" si="43"/>
        <v>2024 Sep 2nd</v>
      </c>
    </row>
    <row r="650" spans="1:4" x14ac:dyDescent="0.3">
      <c r="A650" s="37">
        <f t="shared" si="44"/>
        <v>45575</v>
      </c>
      <c r="B650" s="37">
        <f t="shared" si="42"/>
        <v>45561</v>
      </c>
      <c r="C650" s="37">
        <f t="shared" si="41"/>
        <v>45606</v>
      </c>
      <c r="D650" t="str">
        <f t="shared" si="43"/>
        <v>2024 Sep 2nd</v>
      </c>
    </row>
    <row r="651" spans="1:4" x14ac:dyDescent="0.3">
      <c r="A651" s="37">
        <f t="shared" si="44"/>
        <v>45576</v>
      </c>
      <c r="B651" s="37">
        <f t="shared" si="42"/>
        <v>45576</v>
      </c>
      <c r="C651" s="37">
        <f t="shared" si="41"/>
        <v>45590</v>
      </c>
      <c r="D651" t="str">
        <f t="shared" si="43"/>
        <v>2024 Oct 1st</v>
      </c>
    </row>
    <row r="652" spans="1:4" x14ac:dyDescent="0.3">
      <c r="A652" s="37">
        <f t="shared" si="44"/>
        <v>45577</v>
      </c>
      <c r="B652" s="37">
        <f t="shared" si="42"/>
        <v>45576</v>
      </c>
      <c r="C652" s="37">
        <f t="shared" si="41"/>
        <v>45590</v>
      </c>
      <c r="D652" t="str">
        <f t="shared" si="43"/>
        <v>2024 Oct 1st</v>
      </c>
    </row>
    <row r="653" spans="1:4" x14ac:dyDescent="0.3">
      <c r="A653" s="37">
        <f t="shared" si="44"/>
        <v>45578</v>
      </c>
      <c r="B653" s="37">
        <f t="shared" si="42"/>
        <v>45576</v>
      </c>
      <c r="C653" s="37">
        <f t="shared" si="41"/>
        <v>45590</v>
      </c>
      <c r="D653" t="str">
        <f t="shared" si="43"/>
        <v>2024 Oct 1st</v>
      </c>
    </row>
    <row r="654" spans="1:4" x14ac:dyDescent="0.3">
      <c r="A654" s="37">
        <f t="shared" si="44"/>
        <v>45579</v>
      </c>
      <c r="B654" s="37">
        <f t="shared" si="42"/>
        <v>45576</v>
      </c>
      <c r="C654" s="37">
        <f t="shared" si="41"/>
        <v>45590</v>
      </c>
      <c r="D654" t="str">
        <f t="shared" si="43"/>
        <v>2024 Oct 1st</v>
      </c>
    </row>
    <row r="655" spans="1:4" x14ac:dyDescent="0.3">
      <c r="A655" s="37">
        <f t="shared" si="44"/>
        <v>45580</v>
      </c>
      <c r="B655" s="37">
        <f t="shared" si="42"/>
        <v>45576</v>
      </c>
      <c r="C655" s="37">
        <f t="shared" si="41"/>
        <v>45590</v>
      </c>
      <c r="D655" t="str">
        <f t="shared" si="43"/>
        <v>2024 Oct 1st</v>
      </c>
    </row>
    <row r="656" spans="1:4" x14ac:dyDescent="0.3">
      <c r="A656" s="37">
        <f t="shared" si="44"/>
        <v>45581</v>
      </c>
      <c r="B656" s="37">
        <f t="shared" si="42"/>
        <v>45576</v>
      </c>
      <c r="C656" s="37">
        <f t="shared" si="41"/>
        <v>45590</v>
      </c>
      <c r="D656" t="str">
        <f t="shared" si="43"/>
        <v>2024 Oct 1st</v>
      </c>
    </row>
    <row r="657" spans="1:4" x14ac:dyDescent="0.3">
      <c r="A657" s="37">
        <f t="shared" si="44"/>
        <v>45582</v>
      </c>
      <c r="B657" s="37">
        <f t="shared" si="42"/>
        <v>45576</v>
      </c>
      <c r="C657" s="37">
        <f t="shared" si="41"/>
        <v>45590</v>
      </c>
      <c r="D657" t="str">
        <f t="shared" si="43"/>
        <v>2024 Oct 1st</v>
      </c>
    </row>
    <row r="658" spans="1:4" x14ac:dyDescent="0.3">
      <c r="A658" s="37">
        <f t="shared" si="44"/>
        <v>45583</v>
      </c>
      <c r="B658" s="37">
        <f t="shared" si="42"/>
        <v>45576</v>
      </c>
      <c r="C658" s="37">
        <f t="shared" si="41"/>
        <v>45590</v>
      </c>
      <c r="D658" t="str">
        <f t="shared" si="43"/>
        <v>2024 Oct 1st</v>
      </c>
    </row>
    <row r="659" spans="1:4" x14ac:dyDescent="0.3">
      <c r="A659" s="37">
        <f t="shared" si="44"/>
        <v>45584</v>
      </c>
      <c r="B659" s="37">
        <f t="shared" si="42"/>
        <v>45576</v>
      </c>
      <c r="C659" s="37">
        <f t="shared" si="41"/>
        <v>45590</v>
      </c>
      <c r="D659" t="str">
        <f t="shared" si="43"/>
        <v>2024 Oct 1st</v>
      </c>
    </row>
    <row r="660" spans="1:4" x14ac:dyDescent="0.3">
      <c r="A660" s="37">
        <f t="shared" si="44"/>
        <v>45585</v>
      </c>
      <c r="B660" s="37">
        <f t="shared" si="42"/>
        <v>45576</v>
      </c>
      <c r="C660" s="37">
        <f t="shared" si="41"/>
        <v>45590</v>
      </c>
      <c r="D660" t="str">
        <f t="shared" si="43"/>
        <v>2024 Oct 1st</v>
      </c>
    </row>
    <row r="661" spans="1:4" x14ac:dyDescent="0.3">
      <c r="A661" s="37">
        <f t="shared" si="44"/>
        <v>45586</v>
      </c>
      <c r="B661" s="37">
        <f t="shared" si="42"/>
        <v>45576</v>
      </c>
      <c r="C661" s="37">
        <f t="shared" si="41"/>
        <v>45590</v>
      </c>
      <c r="D661" t="str">
        <f t="shared" si="43"/>
        <v>2024 Oct 1st</v>
      </c>
    </row>
    <row r="662" spans="1:4" x14ac:dyDescent="0.3">
      <c r="A662" s="37">
        <f t="shared" si="44"/>
        <v>45587</v>
      </c>
      <c r="B662" s="37">
        <f t="shared" si="42"/>
        <v>45576</v>
      </c>
      <c r="C662" s="37">
        <f t="shared" si="41"/>
        <v>45590</v>
      </c>
      <c r="D662" t="str">
        <f t="shared" si="43"/>
        <v>2024 Oct 1st</v>
      </c>
    </row>
    <row r="663" spans="1:4" x14ac:dyDescent="0.3">
      <c r="A663" s="37">
        <f t="shared" si="44"/>
        <v>45588</v>
      </c>
      <c r="B663" s="37">
        <f t="shared" si="42"/>
        <v>45576</v>
      </c>
      <c r="C663" s="37">
        <f t="shared" si="41"/>
        <v>45590</v>
      </c>
      <c r="D663" t="str">
        <f t="shared" si="43"/>
        <v>2024 Oct 1st</v>
      </c>
    </row>
    <row r="664" spans="1:4" x14ac:dyDescent="0.3">
      <c r="A664" s="37">
        <f t="shared" si="44"/>
        <v>45589</v>
      </c>
      <c r="B664" s="37">
        <f t="shared" si="42"/>
        <v>45576</v>
      </c>
      <c r="C664" s="37">
        <f t="shared" si="41"/>
        <v>45590</v>
      </c>
      <c r="D664" t="str">
        <f t="shared" si="43"/>
        <v>2024 Oct 1st</v>
      </c>
    </row>
    <row r="665" spans="1:4" x14ac:dyDescent="0.3">
      <c r="A665" s="37">
        <f t="shared" si="44"/>
        <v>45590</v>
      </c>
      <c r="B665" s="37">
        <f t="shared" si="42"/>
        <v>45576</v>
      </c>
      <c r="C665" s="37">
        <f t="shared" si="41"/>
        <v>45590</v>
      </c>
      <c r="D665" t="str">
        <f t="shared" si="43"/>
        <v>2024 Oct 1st</v>
      </c>
    </row>
    <row r="666" spans="1:4" x14ac:dyDescent="0.3">
      <c r="A666" s="37">
        <f t="shared" si="44"/>
        <v>45591</v>
      </c>
      <c r="B666" s="37">
        <f t="shared" si="42"/>
        <v>45591</v>
      </c>
      <c r="C666" s="37">
        <f t="shared" si="41"/>
        <v>45606</v>
      </c>
      <c r="D666" t="str">
        <f t="shared" si="43"/>
        <v>2024 Oct 2nd</v>
      </c>
    </row>
    <row r="667" spans="1:4" x14ac:dyDescent="0.3">
      <c r="A667" s="37">
        <f t="shared" si="44"/>
        <v>45592</v>
      </c>
      <c r="B667" s="37">
        <f t="shared" si="42"/>
        <v>45591</v>
      </c>
      <c r="C667" s="37">
        <f t="shared" si="41"/>
        <v>45606</v>
      </c>
      <c r="D667" t="str">
        <f t="shared" si="43"/>
        <v>2024 Oct 2nd</v>
      </c>
    </row>
    <row r="668" spans="1:4" x14ac:dyDescent="0.3">
      <c r="A668" s="37">
        <f t="shared" si="44"/>
        <v>45593</v>
      </c>
      <c r="B668" s="37">
        <f t="shared" si="42"/>
        <v>45591</v>
      </c>
      <c r="C668" s="37">
        <f t="shared" si="41"/>
        <v>45606</v>
      </c>
      <c r="D668" t="str">
        <f t="shared" si="43"/>
        <v>2024 Oct 2nd</v>
      </c>
    </row>
    <row r="669" spans="1:4" x14ac:dyDescent="0.3">
      <c r="A669" s="37">
        <f t="shared" si="44"/>
        <v>45594</v>
      </c>
      <c r="B669" s="37">
        <f t="shared" si="42"/>
        <v>45591</v>
      </c>
      <c r="C669" s="37">
        <f t="shared" si="41"/>
        <v>45606</v>
      </c>
      <c r="D669" t="str">
        <f t="shared" si="43"/>
        <v>2024 Oct 2nd</v>
      </c>
    </row>
    <row r="670" spans="1:4" x14ac:dyDescent="0.3">
      <c r="A670" s="37">
        <f t="shared" si="44"/>
        <v>45595</v>
      </c>
      <c r="B670" s="37">
        <f t="shared" si="42"/>
        <v>45591</v>
      </c>
      <c r="C670" s="37">
        <f t="shared" si="41"/>
        <v>45606</v>
      </c>
      <c r="D670" t="str">
        <f t="shared" si="43"/>
        <v>2024 Oct 2nd</v>
      </c>
    </row>
    <row r="671" spans="1:4" x14ac:dyDescent="0.3">
      <c r="A671" s="37">
        <f t="shared" si="44"/>
        <v>45596</v>
      </c>
      <c r="B671" s="37">
        <f t="shared" si="42"/>
        <v>45591</v>
      </c>
      <c r="C671" s="37">
        <f t="shared" si="41"/>
        <v>45606</v>
      </c>
      <c r="D671" t="str">
        <f t="shared" si="43"/>
        <v>2024 Oct 2nd</v>
      </c>
    </row>
    <row r="672" spans="1:4" x14ac:dyDescent="0.3">
      <c r="A672" s="37">
        <f t="shared" si="44"/>
        <v>45597</v>
      </c>
      <c r="B672" s="37">
        <f t="shared" si="42"/>
        <v>45591</v>
      </c>
      <c r="C672" s="37">
        <f t="shared" si="41"/>
        <v>45636</v>
      </c>
      <c r="D672" t="str">
        <f t="shared" si="43"/>
        <v>2024 Oct 2nd</v>
      </c>
    </row>
    <row r="673" spans="1:4" x14ac:dyDescent="0.3">
      <c r="A673" s="37">
        <f t="shared" si="44"/>
        <v>45598</v>
      </c>
      <c r="B673" s="37">
        <f t="shared" si="42"/>
        <v>45591</v>
      </c>
      <c r="C673" s="37">
        <f t="shared" si="41"/>
        <v>45636</v>
      </c>
      <c r="D673" t="str">
        <f t="shared" si="43"/>
        <v>2024 Oct 2nd</v>
      </c>
    </row>
    <row r="674" spans="1:4" x14ac:dyDescent="0.3">
      <c r="A674" s="37">
        <f t="shared" si="44"/>
        <v>45599</v>
      </c>
      <c r="B674" s="37">
        <f t="shared" si="42"/>
        <v>45591</v>
      </c>
      <c r="C674" s="37">
        <f t="shared" si="41"/>
        <v>45636</v>
      </c>
      <c r="D674" t="str">
        <f t="shared" si="43"/>
        <v>2024 Oct 2nd</v>
      </c>
    </row>
    <row r="675" spans="1:4" x14ac:dyDescent="0.3">
      <c r="A675" s="37">
        <f t="shared" si="44"/>
        <v>45600</v>
      </c>
      <c r="B675" s="37">
        <f t="shared" si="42"/>
        <v>45591</v>
      </c>
      <c r="C675" s="37">
        <f t="shared" si="41"/>
        <v>45636</v>
      </c>
      <c r="D675" t="str">
        <f t="shared" si="43"/>
        <v>2024 Oct 2nd</v>
      </c>
    </row>
    <row r="676" spans="1:4" x14ac:dyDescent="0.3">
      <c r="A676" s="37">
        <f t="shared" si="44"/>
        <v>45601</v>
      </c>
      <c r="B676" s="37">
        <f t="shared" si="42"/>
        <v>45591</v>
      </c>
      <c r="C676" s="37">
        <f t="shared" si="41"/>
        <v>45636</v>
      </c>
      <c r="D676" t="str">
        <f t="shared" si="43"/>
        <v>2024 Oct 2nd</v>
      </c>
    </row>
    <row r="677" spans="1:4" x14ac:dyDescent="0.3">
      <c r="A677" s="37">
        <f t="shared" si="44"/>
        <v>45602</v>
      </c>
      <c r="B677" s="37">
        <f t="shared" si="42"/>
        <v>45591</v>
      </c>
      <c r="C677" s="37">
        <f t="shared" si="41"/>
        <v>45636</v>
      </c>
      <c r="D677" t="str">
        <f t="shared" si="43"/>
        <v>2024 Oct 2nd</v>
      </c>
    </row>
    <row r="678" spans="1:4" x14ac:dyDescent="0.3">
      <c r="A678" s="37">
        <f t="shared" si="44"/>
        <v>45603</v>
      </c>
      <c r="B678" s="37">
        <f t="shared" si="42"/>
        <v>45591</v>
      </c>
      <c r="C678" s="37">
        <f t="shared" si="41"/>
        <v>45636</v>
      </c>
      <c r="D678" t="str">
        <f t="shared" si="43"/>
        <v>2024 Oct 2nd</v>
      </c>
    </row>
    <row r="679" spans="1:4" x14ac:dyDescent="0.3">
      <c r="A679" s="37">
        <f t="shared" si="44"/>
        <v>45604</v>
      </c>
      <c r="B679" s="37">
        <f t="shared" si="42"/>
        <v>45591</v>
      </c>
      <c r="C679" s="37">
        <f t="shared" si="41"/>
        <v>45636</v>
      </c>
      <c r="D679" t="str">
        <f t="shared" si="43"/>
        <v>2024 Oct 2nd</v>
      </c>
    </row>
    <row r="680" spans="1:4" x14ac:dyDescent="0.3">
      <c r="A680" s="37">
        <f t="shared" si="44"/>
        <v>45605</v>
      </c>
      <c r="B680" s="37">
        <f t="shared" si="42"/>
        <v>45591</v>
      </c>
      <c r="C680" s="37">
        <f t="shared" si="41"/>
        <v>45636</v>
      </c>
      <c r="D680" t="str">
        <f t="shared" si="43"/>
        <v>2024 Oct 2nd</v>
      </c>
    </row>
    <row r="681" spans="1:4" x14ac:dyDescent="0.3">
      <c r="A681" s="37">
        <f t="shared" si="44"/>
        <v>45606</v>
      </c>
      <c r="B681" s="37">
        <f t="shared" si="42"/>
        <v>45591</v>
      </c>
      <c r="C681" s="37">
        <f t="shared" si="41"/>
        <v>45636</v>
      </c>
      <c r="D681" t="str">
        <f t="shared" si="43"/>
        <v>2024 Oct 2nd</v>
      </c>
    </row>
    <row r="682" spans="1:4" x14ac:dyDescent="0.3">
      <c r="A682" s="37">
        <f t="shared" si="44"/>
        <v>45607</v>
      </c>
      <c r="B682" s="37">
        <f t="shared" si="42"/>
        <v>45607</v>
      </c>
      <c r="C682" s="37">
        <f t="shared" si="41"/>
        <v>45621</v>
      </c>
      <c r="D682" t="str">
        <f t="shared" si="43"/>
        <v>2024 Nov 1st</v>
      </c>
    </row>
    <row r="683" spans="1:4" x14ac:dyDescent="0.3">
      <c r="A683" s="37">
        <f t="shared" si="44"/>
        <v>45608</v>
      </c>
      <c r="B683" s="37">
        <f t="shared" si="42"/>
        <v>45607</v>
      </c>
      <c r="C683" s="37">
        <f t="shared" si="41"/>
        <v>45621</v>
      </c>
      <c r="D683" t="str">
        <f t="shared" si="43"/>
        <v>2024 Nov 1st</v>
      </c>
    </row>
    <row r="684" spans="1:4" x14ac:dyDescent="0.3">
      <c r="A684" s="37">
        <f t="shared" si="44"/>
        <v>45609</v>
      </c>
      <c r="B684" s="37">
        <f t="shared" si="42"/>
        <v>45607</v>
      </c>
      <c r="C684" s="37">
        <f t="shared" si="41"/>
        <v>45621</v>
      </c>
      <c r="D684" t="str">
        <f t="shared" si="43"/>
        <v>2024 Nov 1st</v>
      </c>
    </row>
    <row r="685" spans="1:4" x14ac:dyDescent="0.3">
      <c r="A685" s="37">
        <f t="shared" si="44"/>
        <v>45610</v>
      </c>
      <c r="B685" s="37">
        <f t="shared" si="42"/>
        <v>45607</v>
      </c>
      <c r="C685" s="37">
        <f t="shared" si="41"/>
        <v>45621</v>
      </c>
      <c r="D685" t="str">
        <f t="shared" si="43"/>
        <v>2024 Nov 1st</v>
      </c>
    </row>
    <row r="686" spans="1:4" x14ac:dyDescent="0.3">
      <c r="A686" s="37">
        <f t="shared" si="44"/>
        <v>45611</v>
      </c>
      <c r="B686" s="37">
        <f t="shared" si="42"/>
        <v>45607</v>
      </c>
      <c r="C686" s="37">
        <f t="shared" ref="C686:C732" si="45">IF(DAY(B686)=11,DATE(YEAR(A686),MONTH(A686),25),DATE(YEAR(A686),MONTH(A686)+1,10))</f>
        <v>45621</v>
      </c>
      <c r="D686" t="str">
        <f t="shared" si="43"/>
        <v>2024 Nov 1st</v>
      </c>
    </row>
    <row r="687" spans="1:4" x14ac:dyDescent="0.3">
      <c r="A687" s="37">
        <f t="shared" si="44"/>
        <v>45612</v>
      </c>
      <c r="B687" s="37">
        <f t="shared" si="42"/>
        <v>45607</v>
      </c>
      <c r="C687" s="37">
        <f t="shared" si="45"/>
        <v>45621</v>
      </c>
      <c r="D687" t="str">
        <f t="shared" si="43"/>
        <v>2024 Nov 1st</v>
      </c>
    </row>
    <row r="688" spans="1:4" x14ac:dyDescent="0.3">
      <c r="A688" s="37">
        <f t="shared" si="44"/>
        <v>45613</v>
      </c>
      <c r="B688" s="37">
        <f t="shared" si="42"/>
        <v>45607</v>
      </c>
      <c r="C688" s="37">
        <f t="shared" si="45"/>
        <v>45621</v>
      </c>
      <c r="D688" t="str">
        <f t="shared" si="43"/>
        <v>2024 Nov 1st</v>
      </c>
    </row>
    <row r="689" spans="1:4" x14ac:dyDescent="0.3">
      <c r="A689" s="37">
        <f t="shared" si="44"/>
        <v>45614</v>
      </c>
      <c r="B689" s="37">
        <f t="shared" si="42"/>
        <v>45607</v>
      </c>
      <c r="C689" s="37">
        <f t="shared" si="45"/>
        <v>45621</v>
      </c>
      <c r="D689" t="str">
        <f t="shared" si="43"/>
        <v>2024 Nov 1st</v>
      </c>
    </row>
    <row r="690" spans="1:4" x14ac:dyDescent="0.3">
      <c r="A690" s="37">
        <f t="shared" si="44"/>
        <v>45615</v>
      </c>
      <c r="B690" s="37">
        <f t="shared" si="42"/>
        <v>45607</v>
      </c>
      <c r="C690" s="37">
        <f t="shared" si="45"/>
        <v>45621</v>
      </c>
      <c r="D690" t="str">
        <f t="shared" si="43"/>
        <v>2024 Nov 1st</v>
      </c>
    </row>
    <row r="691" spans="1:4" x14ac:dyDescent="0.3">
      <c r="A691" s="37">
        <f t="shared" si="44"/>
        <v>45616</v>
      </c>
      <c r="B691" s="37">
        <f t="shared" si="42"/>
        <v>45607</v>
      </c>
      <c r="C691" s="37">
        <f t="shared" si="45"/>
        <v>45621</v>
      </c>
      <c r="D691" t="str">
        <f t="shared" si="43"/>
        <v>2024 Nov 1st</v>
      </c>
    </row>
    <row r="692" spans="1:4" x14ac:dyDescent="0.3">
      <c r="A692" s="37">
        <f t="shared" si="44"/>
        <v>45617</v>
      </c>
      <c r="B692" s="37">
        <f t="shared" si="42"/>
        <v>45607</v>
      </c>
      <c r="C692" s="37">
        <f t="shared" si="45"/>
        <v>45621</v>
      </c>
      <c r="D692" t="str">
        <f t="shared" si="43"/>
        <v>2024 Nov 1st</v>
      </c>
    </row>
    <row r="693" spans="1:4" x14ac:dyDescent="0.3">
      <c r="A693" s="37">
        <f t="shared" si="44"/>
        <v>45618</v>
      </c>
      <c r="B693" s="37">
        <f t="shared" si="42"/>
        <v>45607</v>
      </c>
      <c r="C693" s="37">
        <f t="shared" si="45"/>
        <v>45621</v>
      </c>
      <c r="D693" t="str">
        <f t="shared" si="43"/>
        <v>2024 Nov 1st</v>
      </c>
    </row>
    <row r="694" spans="1:4" x14ac:dyDescent="0.3">
      <c r="A694" s="37">
        <f t="shared" si="44"/>
        <v>45619</v>
      </c>
      <c r="B694" s="37">
        <f t="shared" si="42"/>
        <v>45607</v>
      </c>
      <c r="C694" s="37">
        <f t="shared" si="45"/>
        <v>45621</v>
      </c>
      <c r="D694" t="str">
        <f t="shared" si="43"/>
        <v>2024 Nov 1st</v>
      </c>
    </row>
    <row r="695" spans="1:4" x14ac:dyDescent="0.3">
      <c r="A695" s="37">
        <f t="shared" si="44"/>
        <v>45620</v>
      </c>
      <c r="B695" s="37">
        <f t="shared" si="42"/>
        <v>45607</v>
      </c>
      <c r="C695" s="37">
        <f t="shared" si="45"/>
        <v>45621</v>
      </c>
      <c r="D695" t="str">
        <f t="shared" si="43"/>
        <v>2024 Nov 1st</v>
      </c>
    </row>
    <row r="696" spans="1:4" x14ac:dyDescent="0.3">
      <c r="A696" s="37">
        <f t="shared" si="44"/>
        <v>45621</v>
      </c>
      <c r="B696" s="37">
        <f t="shared" si="42"/>
        <v>45607</v>
      </c>
      <c r="C696" s="37">
        <f t="shared" si="45"/>
        <v>45621</v>
      </c>
      <c r="D696" t="str">
        <f t="shared" si="43"/>
        <v>2024 Nov 1st</v>
      </c>
    </row>
    <row r="697" spans="1:4" x14ac:dyDescent="0.3">
      <c r="A697" s="37">
        <f t="shared" si="44"/>
        <v>45622</v>
      </c>
      <c r="B697" s="37">
        <f t="shared" si="42"/>
        <v>45622</v>
      </c>
      <c r="C697" s="37">
        <f t="shared" si="45"/>
        <v>45636</v>
      </c>
      <c r="D697" t="str">
        <f t="shared" si="43"/>
        <v>2024 Nov 2nd</v>
      </c>
    </row>
    <row r="698" spans="1:4" x14ac:dyDescent="0.3">
      <c r="A698" s="37">
        <f t="shared" si="44"/>
        <v>45623</v>
      </c>
      <c r="B698" s="37">
        <f t="shared" si="42"/>
        <v>45622</v>
      </c>
      <c r="C698" s="37">
        <f t="shared" si="45"/>
        <v>45636</v>
      </c>
      <c r="D698" t="str">
        <f t="shared" si="43"/>
        <v>2024 Nov 2nd</v>
      </c>
    </row>
    <row r="699" spans="1:4" x14ac:dyDescent="0.3">
      <c r="A699" s="37">
        <f t="shared" si="44"/>
        <v>45624</v>
      </c>
      <c r="B699" s="37">
        <f t="shared" si="42"/>
        <v>45622</v>
      </c>
      <c r="C699" s="37">
        <f t="shared" si="45"/>
        <v>45636</v>
      </c>
      <c r="D699" t="str">
        <f t="shared" si="43"/>
        <v>2024 Nov 2nd</v>
      </c>
    </row>
    <row r="700" spans="1:4" x14ac:dyDescent="0.3">
      <c r="A700" s="37">
        <f t="shared" si="44"/>
        <v>45625</v>
      </c>
      <c r="B700" s="37">
        <f t="shared" si="42"/>
        <v>45622</v>
      </c>
      <c r="C700" s="37">
        <f t="shared" si="45"/>
        <v>45636</v>
      </c>
      <c r="D700" t="str">
        <f t="shared" si="43"/>
        <v>2024 Nov 2nd</v>
      </c>
    </row>
    <row r="701" spans="1:4" x14ac:dyDescent="0.3">
      <c r="A701" s="37">
        <f t="shared" si="44"/>
        <v>45626</v>
      </c>
      <c r="B701" s="37">
        <f t="shared" si="42"/>
        <v>45622</v>
      </c>
      <c r="C701" s="37">
        <f t="shared" si="45"/>
        <v>45636</v>
      </c>
      <c r="D701" t="str">
        <f t="shared" si="43"/>
        <v>2024 Nov 2nd</v>
      </c>
    </row>
    <row r="702" spans="1:4" x14ac:dyDescent="0.3">
      <c r="A702" s="37">
        <f t="shared" si="44"/>
        <v>45627</v>
      </c>
      <c r="B702" s="37">
        <f t="shared" si="42"/>
        <v>45622</v>
      </c>
      <c r="C702" s="37">
        <f t="shared" si="45"/>
        <v>45667</v>
      </c>
      <c r="D702" t="str">
        <f t="shared" si="43"/>
        <v>2024 Nov 2nd</v>
      </c>
    </row>
    <row r="703" spans="1:4" x14ac:dyDescent="0.3">
      <c r="A703" s="37">
        <f t="shared" si="44"/>
        <v>45628</v>
      </c>
      <c r="B703" s="37">
        <f t="shared" si="42"/>
        <v>45622</v>
      </c>
      <c r="C703" s="37">
        <f t="shared" si="45"/>
        <v>45667</v>
      </c>
      <c r="D703" t="str">
        <f t="shared" si="43"/>
        <v>2024 Nov 2nd</v>
      </c>
    </row>
    <row r="704" spans="1:4" x14ac:dyDescent="0.3">
      <c r="A704" s="37">
        <f t="shared" si="44"/>
        <v>45629</v>
      </c>
      <c r="B704" s="37">
        <f t="shared" si="42"/>
        <v>45622</v>
      </c>
      <c r="C704" s="37">
        <f t="shared" si="45"/>
        <v>45667</v>
      </c>
      <c r="D704" t="str">
        <f t="shared" si="43"/>
        <v>2024 Nov 2nd</v>
      </c>
    </row>
    <row r="705" spans="1:4" x14ac:dyDescent="0.3">
      <c r="A705" s="37">
        <f t="shared" si="44"/>
        <v>45630</v>
      </c>
      <c r="B705" s="37">
        <f t="shared" si="42"/>
        <v>45622</v>
      </c>
      <c r="C705" s="37">
        <f t="shared" si="45"/>
        <v>45667</v>
      </c>
      <c r="D705" t="str">
        <f t="shared" si="43"/>
        <v>2024 Nov 2nd</v>
      </c>
    </row>
    <row r="706" spans="1:4" x14ac:dyDescent="0.3">
      <c r="A706" s="37">
        <f t="shared" si="44"/>
        <v>45631</v>
      </c>
      <c r="B706" s="37">
        <f t="shared" si="42"/>
        <v>45622</v>
      </c>
      <c r="C706" s="37">
        <f t="shared" si="45"/>
        <v>45667</v>
      </c>
      <c r="D706" t="str">
        <f t="shared" si="43"/>
        <v>2024 Nov 2nd</v>
      </c>
    </row>
    <row r="707" spans="1:4" x14ac:dyDescent="0.3">
      <c r="A707" s="37">
        <f t="shared" si="44"/>
        <v>45632</v>
      </c>
      <c r="B707" s="37">
        <f t="shared" ref="B707:B732" si="46">IF(AND(DAY(A707)&gt;=11,DAY(A707)&lt;=25),DATE(YEAR(A707),MONTH(A707),11),DATE(YEAR(A707),IF(AND(DAY(A707)&gt;=1,DAY(A707)&lt;=10),MONTH(A707)-1,MONTH(A707)),26))</f>
        <v>45622</v>
      </c>
      <c r="C707" s="37">
        <f t="shared" si="45"/>
        <v>45667</v>
      </c>
      <c r="D707" t="str">
        <f t="shared" ref="D707:D733" si="47">IF(DAY(B707)=11,TEXT(DATE(YEAR(B707),MONTH(B707),DAY(B707)),"yyyy mmm") &amp;" 1st",TEXT(DATE(YEAR(B707),MONTH(B707),DAY(B707)),"yyyy mmm") &amp;" 2nd")</f>
        <v>2024 Nov 2nd</v>
      </c>
    </row>
    <row r="708" spans="1:4" x14ac:dyDescent="0.3">
      <c r="A708" s="37">
        <f t="shared" ref="A708:A733" si="48">A707+1</f>
        <v>45633</v>
      </c>
      <c r="B708" s="37">
        <f t="shared" si="46"/>
        <v>45622</v>
      </c>
      <c r="C708" s="37">
        <f t="shared" si="45"/>
        <v>45667</v>
      </c>
      <c r="D708" t="str">
        <f t="shared" si="47"/>
        <v>2024 Nov 2nd</v>
      </c>
    </row>
    <row r="709" spans="1:4" x14ac:dyDescent="0.3">
      <c r="A709" s="37">
        <f t="shared" si="48"/>
        <v>45634</v>
      </c>
      <c r="B709" s="37">
        <f t="shared" si="46"/>
        <v>45622</v>
      </c>
      <c r="C709" s="37">
        <f t="shared" si="45"/>
        <v>45667</v>
      </c>
      <c r="D709" t="str">
        <f t="shared" si="47"/>
        <v>2024 Nov 2nd</v>
      </c>
    </row>
    <row r="710" spans="1:4" x14ac:dyDescent="0.3">
      <c r="A710" s="37">
        <f t="shared" si="48"/>
        <v>45635</v>
      </c>
      <c r="B710" s="37">
        <f t="shared" si="46"/>
        <v>45622</v>
      </c>
      <c r="C710" s="37">
        <f t="shared" si="45"/>
        <v>45667</v>
      </c>
      <c r="D710" t="str">
        <f t="shared" si="47"/>
        <v>2024 Nov 2nd</v>
      </c>
    </row>
    <row r="711" spans="1:4" x14ac:dyDescent="0.3">
      <c r="A711" s="37">
        <f t="shared" si="48"/>
        <v>45636</v>
      </c>
      <c r="B711" s="37">
        <f t="shared" si="46"/>
        <v>45622</v>
      </c>
      <c r="C711" s="37">
        <f t="shared" si="45"/>
        <v>45667</v>
      </c>
      <c r="D711" t="str">
        <f t="shared" si="47"/>
        <v>2024 Nov 2nd</v>
      </c>
    </row>
    <row r="712" spans="1:4" x14ac:dyDescent="0.3">
      <c r="A712" s="37">
        <f t="shared" si="48"/>
        <v>45637</v>
      </c>
      <c r="B712" s="37">
        <f t="shared" si="46"/>
        <v>45637</v>
      </c>
      <c r="C712" s="37">
        <f t="shared" si="45"/>
        <v>45651</v>
      </c>
      <c r="D712" t="str">
        <f t="shared" si="47"/>
        <v>2024 Dec 1st</v>
      </c>
    </row>
    <row r="713" spans="1:4" x14ac:dyDescent="0.3">
      <c r="A713" s="37">
        <f t="shared" si="48"/>
        <v>45638</v>
      </c>
      <c r="B713" s="37">
        <f t="shared" si="46"/>
        <v>45637</v>
      </c>
      <c r="C713" s="37">
        <f t="shared" si="45"/>
        <v>45651</v>
      </c>
      <c r="D713" t="str">
        <f t="shared" si="47"/>
        <v>2024 Dec 1st</v>
      </c>
    </row>
    <row r="714" spans="1:4" x14ac:dyDescent="0.3">
      <c r="A714" s="37">
        <f t="shared" si="48"/>
        <v>45639</v>
      </c>
      <c r="B714" s="37">
        <f t="shared" si="46"/>
        <v>45637</v>
      </c>
      <c r="C714" s="37">
        <f t="shared" si="45"/>
        <v>45651</v>
      </c>
      <c r="D714" t="str">
        <f t="shared" si="47"/>
        <v>2024 Dec 1st</v>
      </c>
    </row>
    <row r="715" spans="1:4" x14ac:dyDescent="0.3">
      <c r="A715" s="37">
        <f t="shared" si="48"/>
        <v>45640</v>
      </c>
      <c r="B715" s="37">
        <f t="shared" si="46"/>
        <v>45637</v>
      </c>
      <c r="C715" s="37">
        <f t="shared" si="45"/>
        <v>45651</v>
      </c>
      <c r="D715" t="str">
        <f t="shared" si="47"/>
        <v>2024 Dec 1st</v>
      </c>
    </row>
    <row r="716" spans="1:4" x14ac:dyDescent="0.3">
      <c r="A716" s="37">
        <f t="shared" si="48"/>
        <v>45641</v>
      </c>
      <c r="B716" s="37">
        <f t="shared" si="46"/>
        <v>45637</v>
      </c>
      <c r="C716" s="37">
        <f t="shared" si="45"/>
        <v>45651</v>
      </c>
      <c r="D716" t="str">
        <f t="shared" si="47"/>
        <v>2024 Dec 1st</v>
      </c>
    </row>
    <row r="717" spans="1:4" x14ac:dyDescent="0.3">
      <c r="A717" s="37">
        <f t="shared" si="48"/>
        <v>45642</v>
      </c>
      <c r="B717" s="37">
        <f t="shared" si="46"/>
        <v>45637</v>
      </c>
      <c r="C717" s="37">
        <f t="shared" si="45"/>
        <v>45651</v>
      </c>
      <c r="D717" t="str">
        <f t="shared" si="47"/>
        <v>2024 Dec 1st</v>
      </c>
    </row>
    <row r="718" spans="1:4" x14ac:dyDescent="0.3">
      <c r="A718" s="37">
        <f t="shared" si="48"/>
        <v>45643</v>
      </c>
      <c r="B718" s="37">
        <f t="shared" si="46"/>
        <v>45637</v>
      </c>
      <c r="C718" s="37">
        <f t="shared" si="45"/>
        <v>45651</v>
      </c>
      <c r="D718" t="str">
        <f t="shared" si="47"/>
        <v>2024 Dec 1st</v>
      </c>
    </row>
    <row r="719" spans="1:4" x14ac:dyDescent="0.3">
      <c r="A719" s="37">
        <f t="shared" si="48"/>
        <v>45644</v>
      </c>
      <c r="B719" s="37">
        <f t="shared" si="46"/>
        <v>45637</v>
      </c>
      <c r="C719" s="37">
        <f t="shared" si="45"/>
        <v>45651</v>
      </c>
      <c r="D719" t="str">
        <f t="shared" si="47"/>
        <v>2024 Dec 1st</v>
      </c>
    </row>
    <row r="720" spans="1:4" x14ac:dyDescent="0.3">
      <c r="A720" s="37">
        <f t="shared" si="48"/>
        <v>45645</v>
      </c>
      <c r="B720" s="37">
        <f t="shared" si="46"/>
        <v>45637</v>
      </c>
      <c r="C720" s="37">
        <f t="shared" si="45"/>
        <v>45651</v>
      </c>
      <c r="D720" t="str">
        <f t="shared" si="47"/>
        <v>2024 Dec 1st</v>
      </c>
    </row>
    <row r="721" spans="1:4" x14ac:dyDescent="0.3">
      <c r="A721" s="37">
        <f t="shared" si="48"/>
        <v>45646</v>
      </c>
      <c r="B721" s="37">
        <f t="shared" si="46"/>
        <v>45637</v>
      </c>
      <c r="C721" s="37">
        <f t="shared" si="45"/>
        <v>45651</v>
      </c>
      <c r="D721" t="str">
        <f t="shared" si="47"/>
        <v>2024 Dec 1st</v>
      </c>
    </row>
    <row r="722" spans="1:4" x14ac:dyDescent="0.3">
      <c r="A722" s="37">
        <f t="shared" si="48"/>
        <v>45647</v>
      </c>
      <c r="B722" s="37">
        <f t="shared" si="46"/>
        <v>45637</v>
      </c>
      <c r="C722" s="37">
        <f t="shared" si="45"/>
        <v>45651</v>
      </c>
      <c r="D722" t="str">
        <f t="shared" si="47"/>
        <v>2024 Dec 1st</v>
      </c>
    </row>
    <row r="723" spans="1:4" x14ac:dyDescent="0.3">
      <c r="A723" s="37">
        <f t="shared" si="48"/>
        <v>45648</v>
      </c>
      <c r="B723" s="37">
        <f t="shared" si="46"/>
        <v>45637</v>
      </c>
      <c r="C723" s="37">
        <f t="shared" si="45"/>
        <v>45651</v>
      </c>
      <c r="D723" t="str">
        <f t="shared" si="47"/>
        <v>2024 Dec 1st</v>
      </c>
    </row>
    <row r="724" spans="1:4" x14ac:dyDescent="0.3">
      <c r="A724" s="37">
        <f t="shared" si="48"/>
        <v>45649</v>
      </c>
      <c r="B724" s="37">
        <f t="shared" si="46"/>
        <v>45637</v>
      </c>
      <c r="C724" s="37">
        <f t="shared" si="45"/>
        <v>45651</v>
      </c>
      <c r="D724" t="str">
        <f t="shared" si="47"/>
        <v>2024 Dec 1st</v>
      </c>
    </row>
    <row r="725" spans="1:4" x14ac:dyDescent="0.3">
      <c r="A725" s="37">
        <f t="shared" si="48"/>
        <v>45650</v>
      </c>
      <c r="B725" s="37">
        <f t="shared" si="46"/>
        <v>45637</v>
      </c>
      <c r="C725" s="37">
        <f t="shared" si="45"/>
        <v>45651</v>
      </c>
      <c r="D725" t="str">
        <f t="shared" si="47"/>
        <v>2024 Dec 1st</v>
      </c>
    </row>
    <row r="726" spans="1:4" x14ac:dyDescent="0.3">
      <c r="A726" s="37">
        <f t="shared" si="48"/>
        <v>45651</v>
      </c>
      <c r="B726" s="37">
        <f t="shared" si="46"/>
        <v>45637</v>
      </c>
      <c r="C726" s="37">
        <f t="shared" si="45"/>
        <v>45651</v>
      </c>
      <c r="D726" t="str">
        <f t="shared" si="47"/>
        <v>2024 Dec 1st</v>
      </c>
    </row>
    <row r="727" spans="1:4" x14ac:dyDescent="0.3">
      <c r="A727" s="37">
        <f t="shared" si="48"/>
        <v>45652</v>
      </c>
      <c r="B727" s="37">
        <f t="shared" si="46"/>
        <v>45652</v>
      </c>
      <c r="C727" s="37">
        <f t="shared" si="45"/>
        <v>45667</v>
      </c>
      <c r="D727" t="str">
        <f t="shared" si="47"/>
        <v>2024 Dec 2nd</v>
      </c>
    </row>
    <row r="728" spans="1:4" x14ac:dyDescent="0.3">
      <c r="A728" s="37">
        <f t="shared" si="48"/>
        <v>45653</v>
      </c>
      <c r="B728" s="37">
        <f t="shared" si="46"/>
        <v>45652</v>
      </c>
      <c r="C728" s="37">
        <f t="shared" si="45"/>
        <v>45667</v>
      </c>
      <c r="D728" t="str">
        <f t="shared" si="47"/>
        <v>2024 Dec 2nd</v>
      </c>
    </row>
    <row r="729" spans="1:4" x14ac:dyDescent="0.3">
      <c r="A729" s="37">
        <f t="shared" si="48"/>
        <v>45654</v>
      </c>
      <c r="B729" s="37">
        <f t="shared" si="46"/>
        <v>45652</v>
      </c>
      <c r="C729" s="37">
        <f t="shared" si="45"/>
        <v>45667</v>
      </c>
      <c r="D729" t="str">
        <f t="shared" si="47"/>
        <v>2024 Dec 2nd</v>
      </c>
    </row>
    <row r="730" spans="1:4" x14ac:dyDescent="0.3">
      <c r="A730" s="37">
        <f t="shared" si="48"/>
        <v>45655</v>
      </c>
      <c r="B730" s="37">
        <f t="shared" si="46"/>
        <v>45652</v>
      </c>
      <c r="C730" s="37">
        <f t="shared" si="45"/>
        <v>45667</v>
      </c>
      <c r="D730" t="str">
        <f t="shared" si="47"/>
        <v>2024 Dec 2nd</v>
      </c>
    </row>
    <row r="731" spans="1:4" x14ac:dyDescent="0.3">
      <c r="A731" s="37">
        <f t="shared" si="48"/>
        <v>45656</v>
      </c>
      <c r="B731" s="37">
        <f t="shared" si="46"/>
        <v>45652</v>
      </c>
      <c r="C731" s="37">
        <f t="shared" si="45"/>
        <v>45667</v>
      </c>
      <c r="D731" t="str">
        <f t="shared" si="47"/>
        <v>2024 Dec 2nd</v>
      </c>
    </row>
    <row r="732" spans="1:4" x14ac:dyDescent="0.3">
      <c r="A732" s="37">
        <f t="shared" si="48"/>
        <v>45657</v>
      </c>
      <c r="B732" s="37">
        <f t="shared" si="46"/>
        <v>45652</v>
      </c>
      <c r="C732" s="37">
        <f t="shared" si="45"/>
        <v>45667</v>
      </c>
      <c r="D732" t="str">
        <f t="shared" si="47"/>
        <v>2024 Dec 2nd</v>
      </c>
    </row>
    <row r="733" spans="1:4" x14ac:dyDescent="0.3">
      <c r="A733" s="37">
        <f t="shared" si="48"/>
        <v>45658</v>
      </c>
      <c r="B733" s="37">
        <f t="shared" ref="B733" si="49">IF(AND(DAY(A733)&gt;=11,DAY(A733)&lt;=25),DATE(YEAR(A733),MONTH(A733),11),DATE(YEAR(A733),IF(AND(DAY(A733)&gt;=1,DAY(A733)&lt;=10),MONTH(A733)-1,MONTH(A733)),26))</f>
        <v>45652</v>
      </c>
      <c r="C733" s="37">
        <f t="shared" ref="C733" si="50">IF(DAY(B733)=11,DATE(YEAR(A733),MONTH(A733),25),DATE(YEAR(A733),MONTH(A733)+1,10))</f>
        <v>45698</v>
      </c>
      <c r="D733" t="str">
        <f t="shared" si="47"/>
        <v>2024 Dec 2nd</v>
      </c>
    </row>
    <row r="734" spans="1:4" x14ac:dyDescent="0.3">
      <c r="A734" s="37"/>
    </row>
    <row r="735" spans="1:4" x14ac:dyDescent="0.3">
      <c r="A735" s="37"/>
    </row>
    <row r="736" spans="1:4" x14ac:dyDescent="0.3">
      <c r="A736" s="37"/>
    </row>
    <row r="737" spans="1:1" x14ac:dyDescent="0.3">
      <c r="A737" s="37"/>
    </row>
    <row r="738" spans="1:1" x14ac:dyDescent="0.3">
      <c r="A738" s="37"/>
    </row>
    <row r="739" spans="1:1" x14ac:dyDescent="0.3">
      <c r="A739" s="37"/>
    </row>
    <row r="740" spans="1:1" x14ac:dyDescent="0.3">
      <c r="A740" s="37"/>
    </row>
    <row r="741" spans="1:1" x14ac:dyDescent="0.3">
      <c r="A741" s="37"/>
    </row>
    <row r="742" spans="1:1" x14ac:dyDescent="0.3">
      <c r="A742" s="37"/>
    </row>
    <row r="743" spans="1:1" x14ac:dyDescent="0.3">
      <c r="A743" s="37"/>
    </row>
    <row r="744" spans="1:1" x14ac:dyDescent="0.3">
      <c r="A744" s="37"/>
    </row>
    <row r="745" spans="1:1" x14ac:dyDescent="0.3">
      <c r="A745" s="37"/>
    </row>
    <row r="746" spans="1:1" x14ac:dyDescent="0.3">
      <c r="A746" s="37"/>
    </row>
    <row r="747" spans="1:1" x14ac:dyDescent="0.3">
      <c r="A747" s="37"/>
    </row>
    <row r="748" spans="1:1" x14ac:dyDescent="0.3">
      <c r="A748" s="37"/>
    </row>
    <row r="749" spans="1:1" x14ac:dyDescent="0.3">
      <c r="A749" s="37"/>
    </row>
    <row r="750" spans="1:1" x14ac:dyDescent="0.3">
      <c r="A750" s="37"/>
    </row>
    <row r="751" spans="1:1" x14ac:dyDescent="0.3">
      <c r="A751" s="37"/>
    </row>
    <row r="752" spans="1:1" x14ac:dyDescent="0.3">
      <c r="A752" s="37"/>
    </row>
    <row r="753" spans="1:1" x14ac:dyDescent="0.3">
      <c r="A753" s="37"/>
    </row>
    <row r="754" spans="1:1" x14ac:dyDescent="0.3">
      <c r="A754" s="37"/>
    </row>
    <row r="755" spans="1:1" x14ac:dyDescent="0.3">
      <c r="A755" s="37"/>
    </row>
    <row r="756" spans="1:1" x14ac:dyDescent="0.3">
      <c r="A756" s="37"/>
    </row>
    <row r="757" spans="1:1" x14ac:dyDescent="0.3">
      <c r="A757" s="37"/>
    </row>
    <row r="758" spans="1:1" x14ac:dyDescent="0.3">
      <c r="A758" s="37"/>
    </row>
    <row r="759" spans="1:1" x14ac:dyDescent="0.3">
      <c r="A759" s="37"/>
    </row>
    <row r="760" spans="1:1" x14ac:dyDescent="0.3">
      <c r="A760" s="37"/>
    </row>
    <row r="761" spans="1:1" x14ac:dyDescent="0.3">
      <c r="A761" s="37"/>
    </row>
    <row r="762" spans="1:1" x14ac:dyDescent="0.3">
      <c r="A762" s="37"/>
    </row>
    <row r="763" spans="1:1" x14ac:dyDescent="0.3">
      <c r="A763" s="37"/>
    </row>
    <row r="764" spans="1:1" x14ac:dyDescent="0.3">
      <c r="A764" s="37"/>
    </row>
    <row r="765" spans="1:1" x14ac:dyDescent="0.3">
      <c r="A765" s="37"/>
    </row>
    <row r="766" spans="1:1" x14ac:dyDescent="0.3">
      <c r="A766" s="37"/>
    </row>
    <row r="767" spans="1:1" x14ac:dyDescent="0.3">
      <c r="A767" s="37"/>
    </row>
    <row r="768" spans="1:1" x14ac:dyDescent="0.3">
      <c r="A768" s="37"/>
    </row>
    <row r="769" spans="1:1" x14ac:dyDescent="0.3">
      <c r="A769" s="37"/>
    </row>
    <row r="770" spans="1:1" x14ac:dyDescent="0.3">
      <c r="A770" s="37"/>
    </row>
    <row r="771" spans="1:1" x14ac:dyDescent="0.3">
      <c r="A771" s="37"/>
    </row>
    <row r="772" spans="1:1" x14ac:dyDescent="0.3">
      <c r="A772" s="37"/>
    </row>
    <row r="773" spans="1:1" x14ac:dyDescent="0.3">
      <c r="A773" s="37"/>
    </row>
    <row r="774" spans="1:1" x14ac:dyDescent="0.3">
      <c r="A774" s="37"/>
    </row>
    <row r="775" spans="1:1" x14ac:dyDescent="0.3">
      <c r="A775" s="37"/>
    </row>
    <row r="776" spans="1:1" x14ac:dyDescent="0.3">
      <c r="A776" s="37"/>
    </row>
    <row r="777" spans="1:1" x14ac:dyDescent="0.3">
      <c r="A777" s="37"/>
    </row>
    <row r="778" spans="1:1" x14ac:dyDescent="0.3">
      <c r="A778" s="37"/>
    </row>
    <row r="779" spans="1:1" x14ac:dyDescent="0.3">
      <c r="A779" s="37"/>
    </row>
    <row r="780" spans="1:1" x14ac:dyDescent="0.3">
      <c r="A780" s="37"/>
    </row>
    <row r="781" spans="1:1" x14ac:dyDescent="0.3">
      <c r="A781" s="37"/>
    </row>
    <row r="782" spans="1:1" x14ac:dyDescent="0.3">
      <c r="A782" s="37"/>
    </row>
    <row r="783" spans="1:1" x14ac:dyDescent="0.3">
      <c r="A783" s="37"/>
    </row>
    <row r="784" spans="1:1" x14ac:dyDescent="0.3">
      <c r="A784" s="37"/>
    </row>
    <row r="785" spans="1:1" x14ac:dyDescent="0.3">
      <c r="A785" s="37"/>
    </row>
    <row r="786" spans="1:1" x14ac:dyDescent="0.3">
      <c r="A786" s="37"/>
    </row>
    <row r="787" spans="1:1" x14ac:dyDescent="0.3">
      <c r="A787" s="37"/>
    </row>
    <row r="788" spans="1:1" x14ac:dyDescent="0.3">
      <c r="A788" s="37"/>
    </row>
    <row r="789" spans="1:1" x14ac:dyDescent="0.3">
      <c r="A789" s="37"/>
    </row>
    <row r="790" spans="1:1" x14ac:dyDescent="0.3">
      <c r="A790" s="37"/>
    </row>
    <row r="791" spans="1:1" x14ac:dyDescent="0.3">
      <c r="A791" s="37"/>
    </row>
    <row r="792" spans="1:1" x14ac:dyDescent="0.3">
      <c r="A792" s="37"/>
    </row>
    <row r="793" spans="1:1" x14ac:dyDescent="0.3">
      <c r="A793" s="37"/>
    </row>
    <row r="794" spans="1:1" x14ac:dyDescent="0.3">
      <c r="A794" s="37"/>
    </row>
    <row r="795" spans="1:1" x14ac:dyDescent="0.3">
      <c r="A795" s="37"/>
    </row>
    <row r="796" spans="1:1" x14ac:dyDescent="0.3">
      <c r="A796" s="37"/>
    </row>
    <row r="797" spans="1:1" x14ac:dyDescent="0.3">
      <c r="A797" s="37"/>
    </row>
    <row r="798" spans="1:1" x14ac:dyDescent="0.3">
      <c r="A798" s="37"/>
    </row>
    <row r="799" spans="1:1" x14ac:dyDescent="0.3">
      <c r="A799" s="37"/>
    </row>
    <row r="800" spans="1:1" x14ac:dyDescent="0.3">
      <c r="A800" s="37"/>
    </row>
    <row r="801" spans="1:1" x14ac:dyDescent="0.3">
      <c r="A801" s="37"/>
    </row>
    <row r="802" spans="1:1" x14ac:dyDescent="0.3">
      <c r="A802" s="37"/>
    </row>
    <row r="803" spans="1:1" x14ac:dyDescent="0.3">
      <c r="A803" s="37"/>
    </row>
    <row r="804" spans="1:1" x14ac:dyDescent="0.3">
      <c r="A804" s="37"/>
    </row>
    <row r="805" spans="1:1" x14ac:dyDescent="0.3">
      <c r="A805" s="37"/>
    </row>
    <row r="806" spans="1:1" x14ac:dyDescent="0.3">
      <c r="A806" s="37"/>
    </row>
    <row r="807" spans="1:1" x14ac:dyDescent="0.3">
      <c r="A807" s="37"/>
    </row>
    <row r="808" spans="1:1" x14ac:dyDescent="0.3">
      <c r="A808" s="37"/>
    </row>
    <row r="809" spans="1:1" x14ac:dyDescent="0.3">
      <c r="A809" s="37"/>
    </row>
    <row r="810" spans="1:1" x14ac:dyDescent="0.3">
      <c r="A810" s="37"/>
    </row>
    <row r="811" spans="1:1" x14ac:dyDescent="0.3">
      <c r="A811" s="37"/>
    </row>
    <row r="812" spans="1:1" x14ac:dyDescent="0.3">
      <c r="A812" s="37"/>
    </row>
    <row r="813" spans="1:1" x14ac:dyDescent="0.3">
      <c r="A813" s="37"/>
    </row>
    <row r="814" spans="1:1" x14ac:dyDescent="0.3">
      <c r="A814" s="37"/>
    </row>
    <row r="815" spans="1:1" x14ac:dyDescent="0.3">
      <c r="A815" s="37"/>
    </row>
    <row r="816" spans="1:1" x14ac:dyDescent="0.3">
      <c r="A816" s="37"/>
    </row>
    <row r="817" spans="1:1" x14ac:dyDescent="0.3">
      <c r="A817" s="37"/>
    </row>
    <row r="818" spans="1:1" x14ac:dyDescent="0.3">
      <c r="A818" s="37"/>
    </row>
    <row r="819" spans="1:1" x14ac:dyDescent="0.3">
      <c r="A819" s="37"/>
    </row>
    <row r="820" spans="1:1" x14ac:dyDescent="0.3">
      <c r="A820" s="37"/>
    </row>
    <row r="821" spans="1:1" x14ac:dyDescent="0.3">
      <c r="A821" s="37"/>
    </row>
    <row r="822" spans="1:1" x14ac:dyDescent="0.3">
      <c r="A822" s="37"/>
    </row>
    <row r="823" spans="1:1" x14ac:dyDescent="0.3">
      <c r="A823" s="37"/>
    </row>
    <row r="824" spans="1:1" x14ac:dyDescent="0.3">
      <c r="A824" s="37"/>
    </row>
    <row r="825" spans="1:1" x14ac:dyDescent="0.3">
      <c r="A825" s="37"/>
    </row>
    <row r="826" spans="1:1" x14ac:dyDescent="0.3">
      <c r="A826" s="37"/>
    </row>
    <row r="827" spans="1:1" x14ac:dyDescent="0.3">
      <c r="A827" s="37"/>
    </row>
    <row r="828" spans="1:1" x14ac:dyDescent="0.3">
      <c r="A828" s="37"/>
    </row>
    <row r="829" spans="1:1" x14ac:dyDescent="0.3">
      <c r="A829" s="37"/>
    </row>
    <row r="830" spans="1:1" x14ac:dyDescent="0.3">
      <c r="A830" s="37"/>
    </row>
    <row r="831" spans="1:1" x14ac:dyDescent="0.3">
      <c r="A831" s="37"/>
    </row>
    <row r="832" spans="1:1" x14ac:dyDescent="0.3">
      <c r="A832" s="37"/>
    </row>
    <row r="833" spans="1:1" x14ac:dyDescent="0.3">
      <c r="A833" s="37"/>
    </row>
    <row r="834" spans="1:1" x14ac:dyDescent="0.3">
      <c r="A834" s="37"/>
    </row>
    <row r="835" spans="1:1" x14ac:dyDescent="0.3">
      <c r="A835" s="37"/>
    </row>
    <row r="836" spans="1:1" x14ac:dyDescent="0.3">
      <c r="A836" s="37"/>
    </row>
    <row r="837" spans="1:1" x14ac:dyDescent="0.3">
      <c r="A837" s="37"/>
    </row>
    <row r="838" spans="1:1" x14ac:dyDescent="0.3">
      <c r="A838" s="37"/>
    </row>
    <row r="839" spans="1:1" x14ac:dyDescent="0.3">
      <c r="A839" s="37"/>
    </row>
    <row r="840" spans="1:1" x14ac:dyDescent="0.3">
      <c r="A840" s="37"/>
    </row>
    <row r="841" spans="1:1" x14ac:dyDescent="0.3">
      <c r="A841" s="37"/>
    </row>
    <row r="842" spans="1:1" x14ac:dyDescent="0.3">
      <c r="A842" s="37"/>
    </row>
    <row r="843" spans="1:1" x14ac:dyDescent="0.3">
      <c r="A843" s="37"/>
    </row>
    <row r="844" spans="1:1" x14ac:dyDescent="0.3">
      <c r="A844" s="37"/>
    </row>
    <row r="845" spans="1:1" x14ac:dyDescent="0.3">
      <c r="A845" s="37"/>
    </row>
    <row r="846" spans="1:1" x14ac:dyDescent="0.3">
      <c r="A846" s="37"/>
    </row>
    <row r="847" spans="1:1" x14ac:dyDescent="0.3">
      <c r="A847" s="37"/>
    </row>
    <row r="848" spans="1:1" x14ac:dyDescent="0.3">
      <c r="A848" s="37"/>
    </row>
    <row r="849" spans="1:1" x14ac:dyDescent="0.3">
      <c r="A849" s="37"/>
    </row>
    <row r="850" spans="1:1" x14ac:dyDescent="0.3">
      <c r="A850" s="37"/>
    </row>
    <row r="851" spans="1:1" x14ac:dyDescent="0.3">
      <c r="A851" s="37"/>
    </row>
    <row r="852" spans="1:1" x14ac:dyDescent="0.3">
      <c r="A852" s="37"/>
    </row>
    <row r="853" spans="1:1" x14ac:dyDescent="0.3">
      <c r="A853" s="37"/>
    </row>
    <row r="854" spans="1:1" x14ac:dyDescent="0.3">
      <c r="A854" s="37"/>
    </row>
    <row r="855" spans="1:1" x14ac:dyDescent="0.3">
      <c r="A855" s="37"/>
    </row>
    <row r="856" spans="1:1" x14ac:dyDescent="0.3">
      <c r="A856" s="37"/>
    </row>
    <row r="857" spans="1:1" x14ac:dyDescent="0.3">
      <c r="A857" s="37"/>
    </row>
    <row r="858" spans="1:1" x14ac:dyDescent="0.3">
      <c r="A858" s="37"/>
    </row>
    <row r="859" spans="1:1" x14ac:dyDescent="0.3">
      <c r="A859" s="37"/>
    </row>
    <row r="860" spans="1:1" x14ac:dyDescent="0.3">
      <c r="A860" s="37"/>
    </row>
    <row r="861" spans="1:1" x14ac:dyDescent="0.3">
      <c r="A861" s="37"/>
    </row>
    <row r="862" spans="1:1" x14ac:dyDescent="0.3">
      <c r="A862" s="37"/>
    </row>
    <row r="863" spans="1:1" x14ac:dyDescent="0.3">
      <c r="A863" s="37"/>
    </row>
    <row r="864" spans="1:1" x14ac:dyDescent="0.3">
      <c r="A864" s="37"/>
    </row>
    <row r="865" spans="1:1" x14ac:dyDescent="0.3">
      <c r="A865" s="37"/>
    </row>
    <row r="866" spans="1:1" x14ac:dyDescent="0.3">
      <c r="A866" s="37"/>
    </row>
    <row r="867" spans="1:1" x14ac:dyDescent="0.3">
      <c r="A867" s="37"/>
    </row>
    <row r="868" spans="1:1" x14ac:dyDescent="0.3">
      <c r="A868" s="37"/>
    </row>
    <row r="869" spans="1:1" x14ac:dyDescent="0.3">
      <c r="A869" s="37"/>
    </row>
    <row r="870" spans="1:1" x14ac:dyDescent="0.3">
      <c r="A870" s="37"/>
    </row>
    <row r="871" spans="1:1" x14ac:dyDescent="0.3">
      <c r="A871" s="37"/>
    </row>
    <row r="872" spans="1:1" x14ac:dyDescent="0.3">
      <c r="A872" s="37"/>
    </row>
    <row r="873" spans="1:1" x14ac:dyDescent="0.3">
      <c r="A873" s="37"/>
    </row>
    <row r="874" spans="1:1" x14ac:dyDescent="0.3">
      <c r="A874" s="37"/>
    </row>
    <row r="875" spans="1:1" x14ac:dyDescent="0.3">
      <c r="A875" s="37"/>
    </row>
    <row r="876" spans="1:1" x14ac:dyDescent="0.3">
      <c r="A876" s="37"/>
    </row>
    <row r="877" spans="1:1" x14ac:dyDescent="0.3">
      <c r="A877" s="37"/>
    </row>
    <row r="878" spans="1:1" x14ac:dyDescent="0.3">
      <c r="A878" s="37"/>
    </row>
    <row r="879" spans="1:1" x14ac:dyDescent="0.3">
      <c r="A879" s="37"/>
    </row>
    <row r="880" spans="1:1" x14ac:dyDescent="0.3">
      <c r="A880" s="37"/>
    </row>
    <row r="881" spans="1:1" x14ac:dyDescent="0.3">
      <c r="A881" s="37"/>
    </row>
    <row r="882" spans="1:1" x14ac:dyDescent="0.3">
      <c r="A882" s="37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Variance Summary</vt:lpstr>
      <vt:lpstr>Checking(ZSERIALS)</vt:lpstr>
      <vt:lpstr>System(MB51)</vt:lpstr>
      <vt:lpstr>MLR</vt:lpstr>
      <vt:lpstr>Checking</vt:lpstr>
      <vt:lpstr>Set of Installation</vt:lpstr>
      <vt:lpstr>Cuttof 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Regional Business Center 4</dc:creator>
  <cp:lastModifiedBy>Regional Business Center 4</cp:lastModifiedBy>
  <dcterms:created xsi:type="dcterms:W3CDTF">2023-12-14T07:44:39Z</dcterms:created>
  <dcterms:modified xsi:type="dcterms:W3CDTF">2024-01-17T01:36:59Z</dcterms:modified>
</cp:coreProperties>
</file>